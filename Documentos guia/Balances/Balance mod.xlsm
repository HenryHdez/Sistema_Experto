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Escritorio\Balances\"/>
    </mc:Choice>
  </mc:AlternateContent>
  <xr:revisionPtr revIDLastSave="0" documentId="13_ncr:1_{08459DE7-50BA-40AE-B720-37376425B261}" xr6:coauthVersionLast="36" xr6:coauthVersionMax="41" xr10:uidLastSave="{00000000-0000-0000-0000-000000000000}"/>
  <bookViews>
    <workbookView xWindow="-105" yWindow="-105" windowWidth="23250" windowHeight="12570" xr2:uid="{00000000-000D-0000-FFFF-FFFF00000000}"/>
  </bookViews>
  <sheets>
    <sheet name="Balance de Jugo" sheetId="11" r:id="rId1"/>
    <sheet name="Desde_Caña" sheetId="10" r:id="rId2"/>
    <sheet name="Desde_Miel" sheetId="13" r:id="rId3"/>
  </sheets>
  <functionGroups builtInGroupCount="19"/>
  <calcPr calcId="179021"/>
  <extLst>
    <ext xmlns:x14="http://schemas.microsoft.com/office/spreadsheetml/2009/9/main" uri="{8193D73E-4604-4355-AFF4-8A2333D13BE4}">
      <x14:definedNames>
        <x14:definedName name="deltaH_KJKg">
          <x14:argumentDescriptions count="9">
            <x14:argumentDescription index="0">Temperatura de entrada (°C)</x14:argumentDescription>
            <x14:argumentDescription index="1">Temperatura de salida (°C)</x14:argumentDescription>
            <x14:argumentDescription index="2">Concentración molar de CO</x14:argumentDescription>
            <x14:argumentDescription index="3">Concentración molar de CO2</x14:argumentDescription>
            <x14:argumentDescription index="4">Concentración molar de N2</x14:argumentDescription>
            <x14:argumentDescription index="5">Concentración molar de O2</x14:argumentDescription>
            <x14:argumentDescription index="6">Concentración molar de H2O</x14:argumentDescription>
            <x14:argumentDescription index="7">Temperatura de los gases (°C)</x14:argumentDescription>
            <x14:argumentDescription index="8">Presión de los gases kPa</x14:argumentDescription>
          </x14:argumentDescriptions>
        </x14:definedName>
        <x14:definedName name="deltaH_KJKmol">
          <x14:argumentDescriptions count="9">
            <x14:argumentDescription index="0">Temperatura de entrada (°C)</x14:argumentDescription>
            <x14:argumentDescription index="1">Temperatura de salida (°C)</x14:argumentDescription>
            <x14:argumentDescription index="2">Concentración molar de CO</x14:argumentDescription>
            <x14:argumentDescription index="3">Concentración molar de CO2</x14:argumentDescription>
            <x14:argumentDescription index="4">Concentración molar de N2</x14:argumentDescription>
            <x14:argumentDescription index="5">Concentración molar de O2</x14:argumentDescription>
            <x14:argumentDescription index="6">Concentración molar de H2O</x14:argumentDescription>
            <x14:argumentDescription index="7">Temperatura de los gases (°C)</x14:argumentDescription>
            <x14:argumentDescription index="8">Presión de los gases kPa</x14:argumentDescription>
          </x14:argumentDescriptions>
        </x14:definedName>
        <x14:definedName name="Densidad_kgm3">
          <x14:argumentDescriptions count="7">
            <x14:argumentDescription index="0">Concentración molar de CO</x14:argumentDescription>
            <x14:argumentDescription index="1">Concentración molar de CO2</x14:argumentDescription>
            <x14:argumentDescription index="2">Concentración molar de N2</x14:argumentDescription>
            <x14:argumentDescription index="3">Concentración molar de O2</x14:argumentDescription>
            <x14:argumentDescription index="4">Concentración molar de H2O</x14:argumentDescription>
            <x14:argumentDescription index="5">Temperatura de los gases (°C)</x14:argumentDescription>
            <x14:argumentDescription index="6">Presión de los gases kPa</x14:argumentDescription>
          </x14:argumentDescriptions>
        </x14:definedName>
        <x14:definedName name="MasaMolecular">
          <x14:argumentDescriptions count="5">
            <x14:argumentDescription index="0">Concentración molar de CO</x14:argumentDescription>
            <x14:argumentDescription index="1">Concentración molar de CO2</x14:argumentDescription>
            <x14:argumentDescription index="2">Concentración molar de N2</x14:argumentDescription>
            <x14:argumentDescription index="3">Concentración molar de O2</x14:argumentDescription>
            <x14:argumentDescription index="4">Concentración molar de H2O</x14:argumentDescription>
          </x14:argumentDescriptions>
        </x14:definedName>
        <x14:definedName name="Tsalida_KJKg">
          <x14:argumentDescriptions count="9">
            <x14:argumentDescription index="0">Cambio de entalpía (KJ/kg)</x14:argumentDescription>
            <x14:argumentDescription index="1">Temperatura de entrada (°C)</x14:argumentDescription>
            <x14:argumentDescription index="2">Concentración molar de CO</x14:argumentDescription>
            <x14:argumentDescription index="3">Concentración molar de CO2</x14:argumentDescription>
            <x14:argumentDescription index="4">Concentración molar de N2</x14:argumentDescription>
            <x14:argumentDescription index="5">Concentración molar de O2</x14:argumentDescription>
            <x14:argumentDescription index="6">Concentración molar de H2O</x14:argumentDescription>
            <x14:argumentDescription index="7">Temperatura de los gases (°C)</x14:argumentDescription>
            <x14:argumentDescription index="8">Presión de los gases kPa</x14:argumentDescription>
          </x14:argumentDescriptions>
        </x14:definedName>
        <x14:definedName name="Tsalida_KJKmol">
          <x14:argumentDescriptions count="9">
            <x14:argumentDescription index="0">Cambio de entalpía (KJ/kmol)</x14:argumentDescription>
            <x14:argumentDescription index="1">Temperatura de entrada (°C)</x14:argumentDescription>
            <x14:argumentDescription index="2">Concentración molar de CO</x14:argumentDescription>
            <x14:argumentDescription index="3">Concentración molar de CO2</x14:argumentDescription>
            <x14:argumentDescription index="4">Concentración molar de N2</x14:argumentDescription>
            <x14:argumentDescription index="5">Concentración molar de O2</x14:argumentDescription>
            <x14:argumentDescription index="6">Concentración molar de H2O</x14:argumentDescription>
            <x14:argumentDescription index="7">Temperatura de los gases (°C)</x14:argumentDescription>
            <x14:argumentDescription index="8">Presión de los gases kPa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12" i="13" l="1"/>
  <c r="H106" i="13"/>
  <c r="D106" i="13"/>
  <c r="O101" i="13"/>
  <c r="H80" i="13"/>
  <c r="D79" i="13"/>
  <c r="H79" i="13" s="1"/>
  <c r="D78" i="13"/>
  <c r="H78" i="13" s="1"/>
  <c r="L77" i="13"/>
  <c r="L79" i="13" s="1"/>
  <c r="L80" i="13" s="1"/>
  <c r="L81" i="13" s="1"/>
  <c r="L83" i="13" s="1"/>
  <c r="J77" i="13"/>
  <c r="J80" i="13" s="1"/>
  <c r="D77" i="13"/>
  <c r="H77" i="13" s="1"/>
  <c r="K22" i="13"/>
  <c r="G19" i="13"/>
  <c r="C12" i="13"/>
  <c r="C11" i="13"/>
  <c r="K7" i="13"/>
  <c r="K9" i="13" s="1"/>
  <c r="K12" i="13" s="1"/>
  <c r="K16" i="13" s="1"/>
  <c r="I47" i="13"/>
  <c r="C14" i="13"/>
  <c r="F35" i="10"/>
  <c r="H85" i="13"/>
  <c r="I66" i="13"/>
  <c r="D28" i="13"/>
  <c r="D37" i="13"/>
  <c r="I37" i="13"/>
  <c r="I38" i="13"/>
  <c r="C64" i="13"/>
  <c r="H82" i="13"/>
  <c r="D61" i="13"/>
  <c r="C44" i="13"/>
  <c r="C13" i="13"/>
  <c r="D85" i="13"/>
  <c r="L107" i="13"/>
  <c r="G6" i="13"/>
  <c r="C41" i="13"/>
  <c r="H107" i="13"/>
  <c r="I56" i="13"/>
  <c r="I48" i="13"/>
  <c r="D107" i="13"/>
  <c r="C53" i="13"/>
  <c r="C67" i="13"/>
  <c r="C56" i="13"/>
  <c r="I55" i="13"/>
  <c r="G7" i="13"/>
  <c r="I67" i="13"/>
  <c r="D82" i="13"/>
  <c r="G5" i="13"/>
  <c r="C45" i="13" l="1"/>
  <c r="E77" i="13" s="1"/>
  <c r="C57" i="13"/>
  <c r="E78" i="13" s="1"/>
  <c r="G8" i="13"/>
  <c r="G12" i="13" s="1"/>
  <c r="K8" i="13"/>
  <c r="K11" i="13" s="1"/>
  <c r="K15" i="13" s="1"/>
  <c r="K10" i="13"/>
  <c r="K13" i="13" s="1"/>
  <c r="K17" i="13" s="1"/>
  <c r="G10" i="13"/>
  <c r="G14" i="13" s="1"/>
  <c r="D50" i="13"/>
  <c r="G9" i="13"/>
  <c r="G13" i="13" s="1"/>
  <c r="C68" i="13"/>
  <c r="E79" i="13" s="1"/>
  <c r="I79" i="13" s="1"/>
  <c r="D94" i="13"/>
  <c r="C15" i="13"/>
  <c r="K23" i="13" s="1"/>
  <c r="H88" i="13"/>
  <c r="D88" i="13"/>
  <c r="J78" i="13"/>
  <c r="H126" i="10"/>
  <c r="D126" i="10"/>
  <c r="E80" i="13" l="1"/>
  <c r="I77" i="13"/>
  <c r="I80" i="13" s="1"/>
  <c r="H86" i="13" s="1"/>
  <c r="D98" i="13"/>
  <c r="H94" i="13"/>
  <c r="D100" i="13"/>
  <c r="G18" i="13"/>
  <c r="G16" i="13" s="1"/>
  <c r="G17" i="13"/>
  <c r="K21" i="13"/>
  <c r="K19" i="13" s="1"/>
  <c r="K20" i="13"/>
  <c r="G20" i="13"/>
  <c r="G21" i="13" s="1"/>
  <c r="G22" i="13" s="1"/>
  <c r="H98" i="13"/>
  <c r="O132" i="10"/>
  <c r="H108" i="13" l="1"/>
  <c r="L98" i="13"/>
  <c r="K24" i="13"/>
  <c r="K25" i="13" s="1"/>
  <c r="H95" i="13"/>
  <c r="H101" i="13" s="1"/>
  <c r="H103" i="13" s="1"/>
  <c r="H87" i="13"/>
  <c r="H100" i="13"/>
  <c r="H96" i="13"/>
  <c r="L94" i="13"/>
  <c r="L95" i="13" s="1"/>
  <c r="L97" i="13" s="1"/>
  <c r="D101" i="13"/>
  <c r="D103" i="13" s="1"/>
  <c r="D86" i="13"/>
  <c r="O121" i="10"/>
  <c r="H127" i="10"/>
  <c r="L127" i="10"/>
  <c r="D127" i="10"/>
  <c r="D95" i="13" l="1"/>
  <c r="D87" i="13"/>
  <c r="H102" i="13"/>
  <c r="L100" i="13"/>
  <c r="L101" i="13" s="1"/>
  <c r="L103" i="13" s="1"/>
  <c r="H97" i="13"/>
  <c r="H89" i="13"/>
  <c r="H99" i="13" s="1"/>
  <c r="L108" i="13"/>
  <c r="L99" i="13"/>
  <c r="D102" i="13"/>
  <c r="R10" i="11"/>
  <c r="R5" i="11"/>
  <c r="R6" i="11"/>
  <c r="AA6" i="11"/>
  <c r="K8" i="11"/>
  <c r="X15" i="11" s="1"/>
  <c r="X18" i="11" s="1"/>
  <c r="X20" i="11" s="1"/>
  <c r="R8" i="11"/>
  <c r="K9" i="11"/>
  <c r="R9" i="11"/>
  <c r="R14" i="11" s="1"/>
  <c r="D10" i="11"/>
  <c r="X21" i="11" s="1"/>
  <c r="K10" i="11"/>
  <c r="K11" i="11"/>
  <c r="K15" i="11" s="1"/>
  <c r="R12" i="11"/>
  <c r="X16" i="11"/>
  <c r="R17" i="11"/>
  <c r="X17" i="11"/>
  <c r="R18" i="11"/>
  <c r="R20" i="11"/>
  <c r="D24" i="11"/>
  <c r="R4" i="11" s="1"/>
  <c r="D36" i="11"/>
  <c r="D37" i="11"/>
  <c r="E40" i="10"/>
  <c r="D97" i="13" l="1"/>
  <c r="D89" i="13"/>
  <c r="D99" i="13" s="1"/>
  <c r="D112" i="13" s="1"/>
  <c r="L104" i="13"/>
  <c r="L105" i="13" s="1"/>
  <c r="H104" i="13"/>
  <c r="H105" i="13" s="1"/>
  <c r="D104" i="13"/>
  <c r="D105" i="13" s="1"/>
  <c r="D113" i="13" s="1"/>
  <c r="D108" i="13"/>
  <c r="D96" i="13"/>
  <c r="X25" i="11"/>
  <c r="K12" i="11"/>
  <c r="K13" i="11" s="1"/>
  <c r="K14" i="11" s="1"/>
  <c r="D19" i="11" s="1"/>
  <c r="R13" i="11"/>
  <c r="R16" i="11"/>
  <c r="X6" i="11"/>
  <c r="X7" i="11" s="1"/>
  <c r="X9" i="11" s="1"/>
  <c r="L97" i="10"/>
  <c r="H100" i="10"/>
  <c r="H105" i="10"/>
  <c r="H102" i="10"/>
  <c r="K23" i="11" l="1"/>
  <c r="X26" i="11"/>
  <c r="L99" i="10"/>
  <c r="L100" i="10" s="1"/>
  <c r="L101" i="10" s="1"/>
  <c r="L103" i="10" s="1"/>
  <c r="J97" i="10"/>
  <c r="D105" i="10"/>
  <c r="D102" i="10"/>
  <c r="Z26" i="11" l="1"/>
  <c r="X28" i="11"/>
  <c r="X31" i="11" s="1"/>
  <c r="Y31" i="11" s="1"/>
  <c r="K26" i="11"/>
  <c r="K21" i="11"/>
  <c r="J100" i="10"/>
  <c r="D99" i="10"/>
  <c r="H99" i="10" s="1"/>
  <c r="D98" i="10"/>
  <c r="H98" i="10" s="1"/>
  <c r="D97" i="10"/>
  <c r="H97" i="10" s="1"/>
  <c r="E55" i="10"/>
  <c r="E52" i="10"/>
  <c r="J59" i="10"/>
  <c r="J70" i="10"/>
  <c r="J71" i="10"/>
  <c r="E66" i="10"/>
  <c r="J60" i="10"/>
  <c r="F60" i="10"/>
  <c r="E43" i="10"/>
  <c r="E63" i="10"/>
  <c r="D114" i="10" l="1"/>
  <c r="K27" i="11"/>
  <c r="K35" i="11" s="1"/>
  <c r="K22" i="11"/>
  <c r="K24" i="11"/>
  <c r="K25" i="11"/>
  <c r="K33" i="11" s="1"/>
  <c r="K19" i="11"/>
  <c r="J98" i="10"/>
  <c r="E56" i="10"/>
  <c r="E98" i="10" s="1"/>
  <c r="E44" i="10"/>
  <c r="E97" i="10" s="1"/>
  <c r="I97" i="10" s="1"/>
  <c r="E67" i="10"/>
  <c r="E99" i="10" s="1"/>
  <c r="I99" i="10" s="1"/>
  <c r="K5" i="10"/>
  <c r="K7" i="10" s="1"/>
  <c r="K10" i="10" s="1"/>
  <c r="K14" i="10" s="1"/>
  <c r="K20" i="10"/>
  <c r="G17" i="10"/>
  <c r="C10" i="10"/>
  <c r="C9" i="10"/>
  <c r="J47" i="10"/>
  <c r="J37" i="10"/>
  <c r="G5" i="10"/>
  <c r="C11" i="10"/>
  <c r="G4" i="10"/>
  <c r="J48" i="10"/>
  <c r="J36" i="10"/>
  <c r="G3" i="10"/>
  <c r="C12" i="10"/>
  <c r="D120" i="10" l="1"/>
  <c r="H120" i="10" s="1"/>
  <c r="H114" i="10"/>
  <c r="D35" i="11"/>
  <c r="K37" i="11"/>
  <c r="K18" i="11"/>
  <c r="K29" i="11" s="1"/>
  <c r="K30" i="11" s="1"/>
  <c r="F19" i="11" s="1"/>
  <c r="D20" i="11" s="1"/>
  <c r="K20" i="11"/>
  <c r="K34" i="11"/>
  <c r="K36" i="11" s="1"/>
  <c r="I100" i="10"/>
  <c r="H106" i="10" s="1"/>
  <c r="E100" i="10"/>
  <c r="K6" i="10"/>
  <c r="K9" i="10" s="1"/>
  <c r="K13" i="10" s="1"/>
  <c r="K8" i="10"/>
  <c r="K11" i="10" s="1"/>
  <c r="K15" i="10" s="1"/>
  <c r="C13" i="10"/>
  <c r="G6" i="10"/>
  <c r="G10" i="10" s="1"/>
  <c r="G7" i="10"/>
  <c r="G11" i="10" s="1"/>
  <c r="G8" i="10"/>
  <c r="G12" i="10" s="1"/>
  <c r="L114" i="10" l="1"/>
  <c r="L115" i="10" s="1"/>
  <c r="L117" i="10" s="1"/>
  <c r="D106" i="10"/>
  <c r="D107" i="10" s="1"/>
  <c r="D117" i="10" s="1"/>
  <c r="D121" i="10"/>
  <c r="L120" i="10"/>
  <c r="L121" i="10" s="1"/>
  <c r="L123" i="10" s="1"/>
  <c r="H107" i="10"/>
  <c r="H117" i="10" s="1"/>
  <c r="H115" i="10"/>
  <c r="H116" i="10" s="1"/>
  <c r="R21" i="11"/>
  <c r="R22" i="11" s="1"/>
  <c r="R24" i="11"/>
  <c r="K28" i="11"/>
  <c r="K19" i="10"/>
  <c r="K17" i="10" s="1"/>
  <c r="K18" i="10"/>
  <c r="G18" i="10"/>
  <c r="K21" i="10"/>
  <c r="G16" i="10"/>
  <c r="G14" i="10" s="1"/>
  <c r="G15" i="10"/>
  <c r="K22" i="10" l="1"/>
  <c r="K23" i="10" s="1"/>
  <c r="D115" i="10"/>
  <c r="H121" i="10"/>
  <c r="D122" i="10"/>
  <c r="D123" i="10"/>
  <c r="D21" i="11"/>
  <c r="G19" i="10"/>
  <c r="G20" i="10" s="1"/>
  <c r="E26" i="10"/>
  <c r="F32" i="10"/>
  <c r="K26" i="10" l="1"/>
  <c r="D116" i="10"/>
  <c r="D128" i="10"/>
  <c r="H123" i="10"/>
  <c r="H122" i="10"/>
  <c r="H108" i="10"/>
  <c r="D108" i="10"/>
  <c r="F49" i="10"/>
  <c r="H109" i="10" l="1"/>
  <c r="H119" i="10" s="1"/>
  <c r="H118" i="10"/>
  <c r="D109" i="10"/>
  <c r="D119" i="10" s="1"/>
  <c r="D118" i="10"/>
  <c r="D132" i="10" l="1"/>
  <c r="D135" i="10"/>
  <c r="L118" i="10"/>
  <c r="H128" i="10"/>
  <c r="L119" i="10"/>
  <c r="L128" i="10"/>
  <c r="D124" i="10" l="1"/>
  <c r="D125" i="10" s="1"/>
  <c r="H124" i="10"/>
  <c r="H125" i="10" s="1"/>
  <c r="L124" i="10"/>
  <c r="L125" i="10" s="1"/>
  <c r="D133" i="10" l="1"/>
  <c r="D136" i="10"/>
</calcChain>
</file>

<file path=xl/sharedStrings.xml><?xml version="1.0" encoding="utf-8"?>
<sst xmlns="http://schemas.openxmlformats.org/spreadsheetml/2006/main" count="957" uniqueCount="321">
  <si>
    <t>Qtotal</t>
  </si>
  <si>
    <t>kg/h</t>
  </si>
  <si>
    <t>Panela producida</t>
  </si>
  <si>
    <t>Jugo clarificado</t>
  </si>
  <si>
    <t>°Brix Jugo crudo</t>
  </si>
  <si>
    <t>°Brix Jugo clarificado</t>
  </si>
  <si>
    <t>°Brix mieles</t>
  </si>
  <si>
    <t>°Brix Panela</t>
  </si>
  <si>
    <t>Balance de Materia</t>
  </si>
  <si>
    <t>Q clarificación</t>
  </si>
  <si>
    <t>kJ/h</t>
  </si>
  <si>
    <t>Q Evaporación</t>
  </si>
  <si>
    <t>Q Concentración</t>
  </si>
  <si>
    <t>kW</t>
  </si>
  <si>
    <t>Eff Caldera</t>
  </si>
  <si>
    <t>Q Pérdidas caldera</t>
  </si>
  <si>
    <t>Q Perdidas intercambiadores</t>
  </si>
  <si>
    <t>Eff intercambiadores</t>
  </si>
  <si>
    <t>%Humedad Bagazo</t>
  </si>
  <si>
    <t>Mieles</t>
  </si>
  <si>
    <t>Jugo crudo</t>
  </si>
  <si>
    <t>Masa Caña</t>
  </si>
  <si>
    <t>%Extracción</t>
  </si>
  <si>
    <t>Masa Bagazo</t>
  </si>
  <si>
    <t>VCN bagazo</t>
  </si>
  <si>
    <t>kJ/kg</t>
  </si>
  <si>
    <t>Energia disponible</t>
  </si>
  <si>
    <t>Balance de energía - Sistema abierto</t>
  </si>
  <si>
    <t>Balance de energía -  EME</t>
  </si>
  <si>
    <t>Vapor requerido EME</t>
  </si>
  <si>
    <t>kPa</t>
  </si>
  <si>
    <t>Pvapor (kPa) absoluto</t>
  </si>
  <si>
    <t>Calor latente vapor</t>
  </si>
  <si>
    <t>Q Deficit</t>
  </si>
  <si>
    <t>Q exceso</t>
  </si>
  <si>
    <t>Bagazo Deficit</t>
  </si>
  <si>
    <t>Bagazo Exceso</t>
  </si>
  <si>
    <t>Flujo de caña</t>
  </si>
  <si>
    <t>% Extracción</t>
  </si>
  <si>
    <t>Concentración jugos crudo</t>
  </si>
  <si>
    <t>°Brix</t>
  </si>
  <si>
    <t>Flujo Jugo Crudo</t>
  </si>
  <si>
    <t>Presión Ambiente</t>
  </si>
  <si>
    <t>Bar</t>
  </si>
  <si>
    <t>T Ambiente</t>
  </si>
  <si>
    <t>°C</t>
  </si>
  <si>
    <t>Concentración Panela</t>
  </si>
  <si>
    <t>Concentración Jugo clarificado</t>
  </si>
  <si>
    <t>Porcentaje de cachaza</t>
  </si>
  <si>
    <t>%</t>
  </si>
  <si>
    <t>Flujo de jugo clarificado</t>
  </si>
  <si>
    <t>Flujo de cachaza</t>
  </si>
  <si>
    <t>T Cachaza</t>
  </si>
  <si>
    <t>Flujo de Vapor</t>
  </si>
  <si>
    <t>Tvapor</t>
  </si>
  <si>
    <t>Concentración Mieles de caña</t>
  </si>
  <si>
    <t>Flujo de mieles</t>
  </si>
  <si>
    <t>Flujo de vapor</t>
  </si>
  <si>
    <t>Flujo de panela</t>
  </si>
  <si>
    <t>Eff</t>
  </si>
  <si>
    <t>Q ideal</t>
  </si>
  <si>
    <t>Pvapor</t>
  </si>
  <si>
    <t>Flujo vapor</t>
  </si>
  <si>
    <t>PSIg</t>
  </si>
  <si>
    <t>Lamda vapor</t>
  </si>
  <si>
    <t>Resumen</t>
  </si>
  <si>
    <t>Clariicación</t>
  </si>
  <si>
    <t>Pvapor (PSIg)</t>
  </si>
  <si>
    <t xml:space="preserve">Evaporación </t>
  </si>
  <si>
    <t>Concentración</t>
  </si>
  <si>
    <t>Total</t>
  </si>
  <si>
    <t>Flujo vapor (kg/h)</t>
  </si>
  <si>
    <t>Eficiencia Caldera</t>
  </si>
  <si>
    <t>Humedad Bagazo</t>
  </si>
  <si>
    <t>Poder Calorifico bagazo</t>
  </si>
  <si>
    <t>Bagazo requerido</t>
  </si>
  <si>
    <t xml:space="preserve">Calor latente a P caldera </t>
  </si>
  <si>
    <t>Energía requerida</t>
  </si>
  <si>
    <t>Bagazo producido</t>
  </si>
  <si>
    <t>Deficit / Exceso</t>
  </si>
  <si>
    <t xml:space="preserve">Verdes </t>
  </si>
  <si>
    <t>Datos</t>
  </si>
  <si>
    <t>Azul</t>
  </si>
  <si>
    <t>Calculados</t>
  </si>
  <si>
    <t>Rojo</t>
  </si>
  <si>
    <t xml:space="preserve">calores </t>
  </si>
  <si>
    <t>Suposiciones</t>
  </si>
  <si>
    <t>Supocision</t>
  </si>
  <si>
    <t>Supocicion</t>
  </si>
  <si>
    <t>Doble Efecto</t>
  </si>
  <si>
    <t>m^2</t>
  </si>
  <si>
    <t>D ext</t>
  </si>
  <si>
    <t>mm</t>
  </si>
  <si>
    <t>D Int</t>
  </si>
  <si>
    <t>Espesor</t>
  </si>
  <si>
    <t>Area x tubo</t>
  </si>
  <si>
    <t>metros de tubo</t>
  </si>
  <si>
    <t>m</t>
  </si>
  <si>
    <t>m^2/m</t>
  </si>
  <si>
    <t>N° tubos</t>
  </si>
  <si>
    <t>Longitud Tubo</t>
  </si>
  <si>
    <t>Ad</t>
  </si>
  <si>
    <t>KW</t>
  </si>
  <si>
    <t>Qt</t>
  </si>
  <si>
    <t>Total (F.L.)</t>
  </si>
  <si>
    <r>
      <t>T</t>
    </r>
    <r>
      <rPr>
        <sz val="8"/>
        <color theme="1"/>
        <rFont val="Calibri"/>
        <family val="2"/>
        <scheme val="minor"/>
      </rPr>
      <t>e</t>
    </r>
  </si>
  <si>
    <t>Temperatura Ebullición Agua</t>
  </si>
  <si>
    <t>mmHG</t>
  </si>
  <si>
    <r>
      <t>P</t>
    </r>
    <r>
      <rPr>
        <sz val="8"/>
        <color theme="1"/>
        <rFont val="Calibri"/>
        <family val="2"/>
        <scheme val="minor"/>
      </rPr>
      <t>a</t>
    </r>
  </si>
  <si>
    <t>Presion Atmosferica</t>
  </si>
  <si>
    <t>Qcn</t>
  </si>
  <si>
    <t>Concentracion</t>
  </si>
  <si>
    <t>Hibv</t>
  </si>
  <si>
    <t>Humedad inicial bagazo</t>
  </si>
  <si>
    <t>Qev1</t>
  </si>
  <si>
    <t>Evaporacion</t>
  </si>
  <si>
    <r>
      <t>T</t>
    </r>
    <r>
      <rPr>
        <sz val="8"/>
        <color theme="1"/>
        <rFont val="Calibri"/>
        <family val="2"/>
        <scheme val="minor"/>
      </rPr>
      <t>a</t>
    </r>
  </si>
  <si>
    <t>Temperatura Ambiente</t>
  </si>
  <si>
    <t>Qcl</t>
  </si>
  <si>
    <t xml:space="preserve"> Clarificacion</t>
  </si>
  <si>
    <t>h</t>
  </si>
  <si>
    <t>Altura del Sitio</t>
  </si>
  <si>
    <t>Calor Requerido por Etapa</t>
  </si>
  <si>
    <t>f</t>
  </si>
  <si>
    <t>Porcentaje de Fibra</t>
  </si>
  <si>
    <t>Extr</t>
  </si>
  <si>
    <t>Extraccion</t>
  </si>
  <si>
    <t>Kg/h</t>
  </si>
  <si>
    <r>
      <t>m</t>
    </r>
    <r>
      <rPr>
        <sz val="8"/>
        <color theme="1"/>
        <rFont val="Calibri"/>
        <family val="2"/>
        <scheme val="minor"/>
      </rPr>
      <t>bs</t>
    </r>
  </si>
  <si>
    <t>Bag. seco</t>
  </si>
  <si>
    <t>λ</t>
  </si>
  <si>
    <t>Exceso de Aire</t>
  </si>
  <si>
    <r>
      <t>m</t>
    </r>
    <r>
      <rPr>
        <sz val="8"/>
        <color theme="1"/>
        <rFont val="Calibri"/>
        <family val="2"/>
        <scheme val="minor"/>
      </rPr>
      <t>ev</t>
    </r>
  </si>
  <si>
    <t>Bag. humedo</t>
  </si>
  <si>
    <r>
      <t>H</t>
    </r>
    <r>
      <rPr>
        <sz val="8"/>
        <color theme="1"/>
        <rFont val="Calibri"/>
        <family val="2"/>
        <scheme val="minor"/>
      </rPr>
      <t>b</t>
    </r>
  </si>
  <si>
    <t>Humedad del bagazo</t>
  </si>
  <si>
    <t>$</t>
  </si>
  <si>
    <t>Total Producción</t>
  </si>
  <si>
    <r>
      <rPr>
        <sz val="10"/>
        <color rgb="FF000000"/>
        <rFont val="Arial"/>
        <family val="2"/>
      </rPr>
      <t>m</t>
    </r>
    <r>
      <rPr>
        <sz val="8"/>
        <color theme="1"/>
        <rFont val="Calibri"/>
        <family val="2"/>
        <scheme val="minor"/>
      </rPr>
      <t>bsum</t>
    </r>
  </si>
  <si>
    <t>Bag. Suministrado</t>
  </si>
  <si>
    <t>ward</t>
  </si>
  <si>
    <t>Tpcam</t>
  </si>
  <si>
    <t>Tipo de camara</t>
  </si>
  <si>
    <t>$/Kg</t>
  </si>
  <si>
    <t>Precio de Panela</t>
  </si>
  <si>
    <r>
      <t>m</t>
    </r>
    <r>
      <rPr>
        <sz val="8"/>
        <color theme="1"/>
        <rFont val="Calibri"/>
        <family val="2"/>
        <scheme val="minor"/>
      </rPr>
      <t>Cn</t>
    </r>
  </si>
  <si>
    <t>A Concentracion</t>
  </si>
  <si>
    <t>°Bx</t>
  </si>
  <si>
    <r>
      <t>B</t>
    </r>
    <r>
      <rPr>
        <sz val="8"/>
        <color theme="1"/>
        <rFont val="Calibri"/>
        <family val="2"/>
        <scheme val="minor"/>
      </rPr>
      <t>p</t>
    </r>
  </si>
  <si>
    <t>CSS Panela</t>
  </si>
  <si>
    <t>kg</t>
  </si>
  <si>
    <t>Producion Mensual</t>
  </si>
  <si>
    <r>
      <t>m</t>
    </r>
    <r>
      <rPr>
        <sz val="8"/>
        <color theme="1"/>
        <rFont val="Calibri"/>
        <family val="2"/>
        <scheme val="minor"/>
      </rPr>
      <t>EV</t>
    </r>
  </si>
  <si>
    <t>A Evaporacion</t>
  </si>
  <si>
    <r>
      <t>Css</t>
    </r>
    <r>
      <rPr>
        <sz val="8"/>
        <color theme="1"/>
        <rFont val="Calibri"/>
        <family val="2"/>
        <scheme val="minor"/>
      </rPr>
      <t>TE</t>
    </r>
  </si>
  <si>
    <t>CSS  del Jugo Posevaporacion</t>
  </si>
  <si>
    <t>Total Costos</t>
  </si>
  <si>
    <t>Densidad del Bagazo</t>
  </si>
  <si>
    <r>
      <t>m</t>
    </r>
    <r>
      <rPr>
        <sz val="6"/>
        <color theme="1"/>
        <rFont val="Calibri"/>
        <family val="2"/>
        <scheme val="minor"/>
      </rPr>
      <t>Cl</t>
    </r>
  </si>
  <si>
    <t>A Clarificacion</t>
  </si>
  <si>
    <r>
      <t>Css</t>
    </r>
    <r>
      <rPr>
        <sz val="8"/>
        <color theme="1"/>
        <rFont val="Calibri"/>
        <family val="2"/>
        <scheme val="minor"/>
      </rPr>
      <t>Cl</t>
    </r>
  </si>
  <si>
    <t>CSS  del Jugo Calrificado</t>
  </si>
  <si>
    <t>Otros Insumos</t>
  </si>
  <si>
    <t>Kg/semana</t>
  </si>
  <si>
    <t>Bagazo Almazenado</t>
  </si>
  <si>
    <r>
      <t>m</t>
    </r>
    <r>
      <rPr>
        <sz val="6"/>
        <color theme="1"/>
        <rFont val="Calibri"/>
        <family val="2"/>
        <scheme val="minor"/>
      </rPr>
      <t>H2O</t>
    </r>
  </si>
  <si>
    <t>Agua a Evaporar</t>
  </si>
  <si>
    <r>
      <t>Css</t>
    </r>
    <r>
      <rPr>
        <sz val="8"/>
        <color theme="1"/>
        <rFont val="Calibri"/>
        <family val="2"/>
        <scheme val="minor"/>
      </rPr>
      <t>i</t>
    </r>
  </si>
  <si>
    <t>CSS del Jugo De Caña</t>
  </si>
  <si>
    <t>U</t>
  </si>
  <si>
    <t>Numero de Operarios</t>
  </si>
  <si>
    <r>
      <t>m</t>
    </r>
    <r>
      <rPr>
        <sz val="6"/>
        <color theme="1"/>
        <rFont val="Calibri"/>
        <family val="2"/>
        <scheme val="minor"/>
      </rPr>
      <t>EV</t>
    </r>
  </si>
  <si>
    <t>Jugo Clarificado</t>
  </si>
  <si>
    <t>Chz</t>
  </si>
  <si>
    <t>Cachaza</t>
  </si>
  <si>
    <t>Costo Operario</t>
  </si>
  <si>
    <t>Apar</t>
  </si>
  <si>
    <t>Area de Parrilla</t>
  </si>
  <si>
    <r>
      <t>m</t>
    </r>
    <r>
      <rPr>
        <sz val="6"/>
        <color theme="1"/>
        <rFont val="Calibri"/>
        <family val="2"/>
        <scheme val="minor"/>
      </rPr>
      <t>chz</t>
    </r>
  </si>
  <si>
    <t>Bgz</t>
  </si>
  <si>
    <t>Bagazillo en Prelimpiador</t>
  </si>
  <si>
    <t>$/Año</t>
  </si>
  <si>
    <t>Costo de Cultivo</t>
  </si>
  <si>
    <r>
      <t>Q</t>
    </r>
    <r>
      <rPr>
        <sz val="8"/>
        <color theme="1"/>
        <rFont val="Calibri"/>
        <family val="2"/>
        <scheme val="minor"/>
      </rPr>
      <t>sum</t>
    </r>
  </si>
  <si>
    <t>Calor Suministrado</t>
  </si>
  <si>
    <t>Jugo Pre Limp</t>
  </si>
  <si>
    <r>
      <t>E</t>
    </r>
    <r>
      <rPr>
        <sz val="8"/>
        <color theme="1"/>
        <rFont val="Calibri"/>
        <family val="2"/>
        <scheme val="minor"/>
      </rPr>
      <t>ff</t>
    </r>
  </si>
  <si>
    <t>Eficiencia Calculada</t>
  </si>
  <si>
    <t>$/mes</t>
  </si>
  <si>
    <t>Gastado en la Molienda</t>
  </si>
  <si>
    <t>MJ/kg</t>
  </si>
  <si>
    <t>VCN</t>
  </si>
  <si>
    <t>Poder Calorifico Vagazo</t>
  </si>
  <si>
    <r>
      <t>m</t>
    </r>
    <r>
      <rPr>
        <sz val="6"/>
        <color theme="1"/>
        <rFont val="Calibri"/>
        <family val="2"/>
        <scheme val="minor"/>
      </rPr>
      <t>bzll</t>
    </r>
  </si>
  <si>
    <t>Bagazillo</t>
  </si>
  <si>
    <t>Kg/Kg</t>
  </si>
  <si>
    <t>Fcb</t>
  </si>
  <si>
    <t>Factor Consumo Bagazo</t>
  </si>
  <si>
    <t>$/KWh</t>
  </si>
  <si>
    <t>Precio KWh</t>
  </si>
  <si>
    <r>
      <t>m</t>
    </r>
    <r>
      <rPr>
        <sz val="6"/>
        <color theme="1"/>
        <rFont val="Calibri"/>
        <family val="2"/>
        <scheme val="minor"/>
      </rPr>
      <t>j</t>
    </r>
  </si>
  <si>
    <t>Jugo</t>
  </si>
  <si>
    <r>
      <t>m</t>
    </r>
    <r>
      <rPr>
        <sz val="8"/>
        <color theme="1"/>
        <rFont val="Calibri"/>
        <family val="2"/>
        <scheme val="minor"/>
      </rPr>
      <t>p</t>
    </r>
  </si>
  <si>
    <t>Capacidad Estimada de la hornilla</t>
  </si>
  <si>
    <t>KWh</t>
  </si>
  <si>
    <t>Consumo Trifasico</t>
  </si>
  <si>
    <t>KJ/Kg °C</t>
  </si>
  <si>
    <r>
      <t>C</t>
    </r>
    <r>
      <rPr>
        <sz val="8"/>
        <color theme="1"/>
        <rFont val="Calibri"/>
        <family val="2"/>
        <scheme val="minor"/>
      </rPr>
      <t>p</t>
    </r>
  </si>
  <si>
    <t>Eva</t>
  </si>
  <si>
    <r>
      <t>m</t>
    </r>
    <r>
      <rPr>
        <sz val="6"/>
        <color theme="1"/>
        <rFont val="Calibri"/>
        <family val="2"/>
        <scheme val="minor"/>
      </rPr>
      <t>c</t>
    </r>
  </si>
  <si>
    <t>Caña</t>
  </si>
  <si>
    <t>MAX</t>
  </si>
  <si>
    <t>Datos de Entrada</t>
  </si>
  <si>
    <t>KVAR</t>
  </si>
  <si>
    <t>Potencia Reactiva</t>
  </si>
  <si>
    <t>Clarificado</t>
  </si>
  <si>
    <t>Masas</t>
  </si>
  <si>
    <t>Potencia Activa</t>
  </si>
  <si>
    <t xml:space="preserve"> Inicial</t>
  </si>
  <si>
    <r>
      <t>J</t>
    </r>
    <r>
      <rPr>
        <sz val="6"/>
        <color theme="1"/>
        <rFont val="Calibri"/>
        <family val="2"/>
        <scheme val="minor"/>
      </rPr>
      <t>dT</t>
    </r>
  </si>
  <si>
    <t>Horas al Dia</t>
  </si>
  <si>
    <t>h/mes</t>
  </si>
  <si>
    <t>Tiempo de Uso</t>
  </si>
  <si>
    <t>Calor espesifico jugo</t>
  </si>
  <si>
    <t>T/h</t>
  </si>
  <si>
    <t>Capacidad del Molino</t>
  </si>
  <si>
    <t>Dias</t>
  </si>
  <si>
    <t>Dias de Trabajo</t>
  </si>
  <si>
    <t>v</t>
  </si>
  <si>
    <t>Corriente</t>
  </si>
  <si>
    <t>KJ/kg</t>
  </si>
  <si>
    <r>
      <rPr>
        <sz val="11"/>
        <color theme="1"/>
        <rFont val="Calibri"/>
        <family val="2"/>
      </rPr>
      <t>ΔH</t>
    </r>
    <r>
      <rPr>
        <sz val="8"/>
        <color theme="1"/>
        <rFont val="Calibri"/>
        <family val="2"/>
      </rPr>
      <t>v</t>
    </r>
  </si>
  <si>
    <t>Masa De panela</t>
  </si>
  <si>
    <t>sem</t>
  </si>
  <si>
    <t>Jornada de Trabajo</t>
  </si>
  <si>
    <t xml:space="preserve">Coseno </t>
  </si>
  <si>
    <t>Evaporación</t>
  </si>
  <si>
    <r>
      <t>C</t>
    </r>
    <r>
      <rPr>
        <sz val="6"/>
        <color theme="1"/>
        <rFont val="Calibri"/>
        <family val="2"/>
        <scheme val="minor"/>
      </rPr>
      <t>ssi</t>
    </r>
  </si>
  <si>
    <t>CSS de la Caña</t>
  </si>
  <si>
    <t>Eficiencia</t>
  </si>
  <si>
    <t>Clarificacón</t>
  </si>
  <si>
    <t>Jugo Crudo</t>
  </si>
  <si>
    <t>T/Ha</t>
  </si>
  <si>
    <r>
      <t>C</t>
    </r>
    <r>
      <rPr>
        <sz val="6"/>
        <color theme="1"/>
        <rFont val="Calibri"/>
        <family val="2"/>
        <scheme val="minor"/>
      </rPr>
      <t>ñH</t>
    </r>
  </si>
  <si>
    <t>Caña por Hectarea Esperada</t>
  </si>
  <si>
    <t>Hp</t>
  </si>
  <si>
    <t>Potencia Nomina</t>
  </si>
  <si>
    <t>Entalpia de Evaporizacion</t>
  </si>
  <si>
    <t>Caña Molida por Hora</t>
  </si>
  <si>
    <t>meses</t>
  </si>
  <si>
    <r>
      <t>P</t>
    </r>
    <r>
      <rPr>
        <sz val="6"/>
        <color theme="1"/>
        <rFont val="Calibri"/>
        <family val="2"/>
        <scheme val="minor"/>
      </rPr>
      <t>vg</t>
    </r>
  </si>
  <si>
    <t>Periodo vegetatio</t>
  </si>
  <si>
    <t>Electrico</t>
  </si>
  <si>
    <r>
      <t>T</t>
    </r>
    <r>
      <rPr>
        <sz val="8"/>
        <color theme="1"/>
        <rFont val="Calibri"/>
        <family val="2"/>
        <scheme val="minor"/>
      </rPr>
      <t>SCon</t>
    </r>
  </si>
  <si>
    <t>T/sem</t>
  </si>
  <si>
    <t>Caña molida a la semana</t>
  </si>
  <si>
    <t>Ha</t>
  </si>
  <si>
    <r>
      <t>A</t>
    </r>
    <r>
      <rPr>
        <sz val="6"/>
        <color theme="1"/>
        <rFont val="Calibri"/>
        <family val="2"/>
        <scheme val="minor"/>
      </rPr>
      <t>spc</t>
    </r>
  </si>
  <si>
    <t>Area de Caña Sembrada Para Calculo</t>
  </si>
  <si>
    <r>
      <t>T</t>
    </r>
    <r>
      <rPr>
        <sz val="8"/>
        <color theme="1"/>
        <rFont val="Calibri"/>
        <family val="2"/>
        <scheme val="minor"/>
      </rPr>
      <t>SEva</t>
    </r>
  </si>
  <si>
    <t>Ha/mes</t>
  </si>
  <si>
    <t>Area Cosechada al mes</t>
  </si>
  <si>
    <r>
      <t>A</t>
    </r>
    <r>
      <rPr>
        <sz val="6"/>
        <color theme="1"/>
        <rFont val="Calibri"/>
        <family val="2"/>
        <scheme val="minor"/>
      </rPr>
      <t>sp</t>
    </r>
  </si>
  <si>
    <t>Area de Caña Sembrada Propia</t>
  </si>
  <si>
    <t>$/gal</t>
  </si>
  <si>
    <t>Precio Galon Diesel</t>
  </si>
  <si>
    <r>
      <t>T</t>
    </r>
    <r>
      <rPr>
        <sz val="8"/>
        <color theme="1"/>
        <rFont val="Calibri"/>
        <family val="2"/>
        <scheme val="minor"/>
      </rPr>
      <t>Sclf</t>
    </r>
  </si>
  <si>
    <t>T/mes</t>
  </si>
  <si>
    <t>Caña molida al mes</t>
  </si>
  <si>
    <r>
      <t>A</t>
    </r>
    <r>
      <rPr>
        <sz val="6"/>
        <color theme="1"/>
        <rFont val="Calibri"/>
        <family val="2"/>
        <scheme val="minor"/>
      </rPr>
      <t>sar</t>
    </r>
  </si>
  <si>
    <t>Area de Caña Sembrada al rededor</t>
  </si>
  <si>
    <t>L/mes</t>
  </si>
  <si>
    <t>Consumo Total</t>
  </si>
  <si>
    <t>Temperatura Ebullicion</t>
  </si>
  <si>
    <t>tiempo de Uso</t>
  </si>
  <si>
    <t>kg/m3</t>
  </si>
  <si>
    <r>
      <t>ρ</t>
    </r>
    <r>
      <rPr>
        <sz val="8"/>
        <color theme="1"/>
        <rFont val="Calibri"/>
        <family val="2"/>
      </rPr>
      <t>Con</t>
    </r>
  </si>
  <si>
    <t>Inicial P. Con</t>
  </si>
  <si>
    <t>Manual</t>
  </si>
  <si>
    <t>Transporte</t>
  </si>
  <si>
    <t>L/h</t>
  </si>
  <si>
    <t>Consumo</t>
  </si>
  <si>
    <r>
      <t>ρ</t>
    </r>
    <r>
      <rPr>
        <sz val="8"/>
        <color theme="1"/>
        <rFont val="Calibri"/>
        <family val="2"/>
      </rPr>
      <t>Eva1</t>
    </r>
  </si>
  <si>
    <t>Inicial P. Eva 1</t>
  </si>
  <si>
    <t xml:space="preserve">Cosecha </t>
  </si>
  <si>
    <t>Potencia</t>
  </si>
  <si>
    <r>
      <rPr>
        <sz val="11"/>
        <color theme="1"/>
        <rFont val="Calibri"/>
        <family val="2"/>
      </rPr>
      <t>ρ</t>
    </r>
    <r>
      <rPr>
        <sz val="8"/>
        <color theme="1"/>
        <rFont val="Calibri"/>
        <family val="2"/>
      </rPr>
      <t>Clf</t>
    </r>
  </si>
  <si>
    <t>Inicial P. Clf</t>
  </si>
  <si>
    <t>Alimentacion de Caña</t>
  </si>
  <si>
    <t>Diesel</t>
  </si>
  <si>
    <t>Densidad</t>
  </si>
  <si>
    <t>Alimentacion de Bagazo</t>
  </si>
  <si>
    <t>consumo</t>
  </si>
  <si>
    <t>Propiedades de los Jugos</t>
  </si>
  <si>
    <t>Panela</t>
  </si>
  <si>
    <t>Producto</t>
  </si>
  <si>
    <t>Unidad 25 Kg/h</t>
  </si>
  <si>
    <t>Energia Suministrada</t>
  </si>
  <si>
    <t>Energia Necesaria</t>
  </si>
  <si>
    <t>Bagazo Disponible</t>
  </si>
  <si>
    <t>Eficiencia Estimada</t>
  </si>
  <si>
    <t>KJ</t>
  </si>
  <si>
    <t>Energia Recuperada</t>
  </si>
  <si>
    <t>Evaporación Abierta</t>
  </si>
  <si>
    <t>Bagazo
Seco
30 %</t>
  </si>
  <si>
    <t>Bagazo
Humedo
53%</t>
  </si>
  <si>
    <t>Evaporacion 2 Efectos</t>
  </si>
  <si>
    <t>Poder Calorifico Carbon</t>
  </si>
  <si>
    <t>Poder Calorifico Gas Natural</t>
  </si>
  <si>
    <t>Exceso de Gas Natura</t>
  </si>
  <si>
    <t>KJ/KG</t>
  </si>
  <si>
    <t>Exceso de Carbon</t>
  </si>
  <si>
    <t>KJ/m3</t>
  </si>
  <si>
    <t>Flujo de Bagazo</t>
  </si>
  <si>
    <t>Humedad de Bagazo</t>
  </si>
  <si>
    <t>C.S.S jugos crudo</t>
  </si>
  <si>
    <t>C.S.S Jugo clarificado</t>
  </si>
  <si>
    <t>C.S.S Mieles de caña</t>
  </si>
  <si>
    <t>C.S.S Panela</t>
  </si>
  <si>
    <t>Presión Vapor</t>
  </si>
  <si>
    <t>Flujo de Floculante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</si>
</sst>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$&quot;\ * #,##0_-;\-&quot;$&quot;\ * #,##0_-;_-&quot;$&quot;\ * &quot;-&quot;_-;_-@_-"/>
    <numFmt numFmtId="164" formatCode="0.0"/>
    <numFmt numFmtId="165" formatCode="0.000"/>
    <numFmt numFmtId="166" formatCode="#,##0.000"/>
  </numFmts>
  <fonts count="9" x14ac:knownFonts="1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  <font>
      <sz val="6"/>
      <color theme="1"/>
      <name val="Calibri"/>
      <family val="2"/>
      <scheme val="minor"/>
    </font>
    <font>
      <sz val="8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1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2" fontId="1" fillId="2" borderId="1" xfId="1" applyNumberFormat="1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4" borderId="11" xfId="0" applyNumberForma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9" fontId="0" fillId="3" borderId="13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164" fontId="0" fillId="6" borderId="19" xfId="0" applyNumberFormat="1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0" borderId="0" xfId="0" applyAlignment="1">
      <alignment vertical="center"/>
    </xf>
    <xf numFmtId="165" fontId="0" fillId="5" borderId="5" xfId="0" applyNumberForma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/>
    <xf numFmtId="166" fontId="0" fillId="7" borderId="20" xfId="0" applyNumberFormat="1" applyFill="1" applyBorder="1" applyAlignment="1">
      <alignment horizontal="center" vertical="center" shrinkToFit="1"/>
    </xf>
    <xf numFmtId="166" fontId="0" fillId="7" borderId="19" xfId="0" applyNumberFormat="1" applyFill="1" applyBorder="1" applyAlignment="1">
      <alignment horizontal="center" vertical="center" shrinkToFit="1"/>
    </xf>
    <xf numFmtId="0" fontId="0" fillId="2" borderId="0" xfId="0" applyFill="1" applyAlignment="1">
      <alignment horizontal="center" vertical="center" shrinkToFit="1"/>
    </xf>
    <xf numFmtId="166" fontId="0" fillId="7" borderId="4" xfId="0" applyNumberFormat="1" applyFill="1" applyBorder="1" applyAlignment="1">
      <alignment horizontal="center" vertical="center"/>
    </xf>
    <xf numFmtId="166" fontId="0" fillId="7" borderId="3" xfId="0" applyNumberFormat="1" applyFill="1" applyBorder="1" applyAlignment="1">
      <alignment horizontal="center" vertical="center"/>
    </xf>
    <xf numFmtId="166" fontId="0" fillId="7" borderId="8" xfId="0" applyNumberFormat="1" applyFill="1" applyBorder="1" applyAlignment="1">
      <alignment horizontal="left" vertical="center"/>
    </xf>
    <xf numFmtId="166" fontId="0" fillId="7" borderId="17" xfId="0" applyNumberFormat="1" applyFill="1" applyBorder="1" applyAlignment="1">
      <alignment horizontal="center" vertical="center" shrinkToFit="1"/>
    </xf>
    <xf numFmtId="166" fontId="0" fillId="7" borderId="0" xfId="0" applyNumberFormat="1" applyFill="1" applyBorder="1" applyAlignment="1">
      <alignment horizontal="center" vertical="center" shrinkToFit="1"/>
    </xf>
    <xf numFmtId="166" fontId="0" fillId="7" borderId="2" xfId="0" applyNumberFormat="1" applyFill="1" applyBorder="1" applyAlignment="1">
      <alignment vertical="center"/>
    </xf>
    <xf numFmtId="166" fontId="0" fillId="7" borderId="1" xfId="0" applyNumberFormat="1" applyFill="1" applyBorder="1" applyAlignment="1">
      <alignment horizontal="center" vertical="center"/>
    </xf>
    <xf numFmtId="166" fontId="0" fillId="7" borderId="9" xfId="0" applyNumberFormat="1" applyFill="1" applyBorder="1" applyAlignment="1">
      <alignment vertical="center"/>
    </xf>
    <xf numFmtId="9" fontId="0" fillId="7" borderId="1" xfId="3" applyFont="1" applyFill="1" applyBorder="1" applyAlignment="1">
      <alignment horizontal="center" vertical="center"/>
    </xf>
    <xf numFmtId="166" fontId="0" fillId="3" borderId="4" xfId="0" applyNumberFormat="1" applyFill="1" applyBorder="1" applyAlignment="1">
      <alignment horizontal="center" vertical="center"/>
    </xf>
    <xf numFmtId="166" fontId="0" fillId="3" borderId="3" xfId="0" applyNumberForma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/>
    </xf>
    <xf numFmtId="166" fontId="0" fillId="7" borderId="15" xfId="0" applyNumberFormat="1" applyFill="1" applyBorder="1" applyAlignment="1">
      <alignment horizontal="center" vertical="center" shrinkToFit="1"/>
    </xf>
    <xf numFmtId="166" fontId="0" fillId="7" borderId="11" xfId="0" applyNumberFormat="1" applyFill="1" applyBorder="1" applyAlignment="1">
      <alignment horizontal="center" vertical="center" shrinkToFit="1"/>
    </xf>
    <xf numFmtId="166" fontId="0" fillId="3" borderId="2" xfId="0" applyNumberFormat="1" applyFill="1" applyBorder="1" applyAlignment="1">
      <alignment horizontal="center" vertical="center"/>
    </xf>
    <xf numFmtId="166" fontId="0" fillId="3" borderId="1" xfId="0" applyNumberFormat="1" applyFill="1" applyBorder="1" applyAlignment="1">
      <alignment horizontal="center" vertical="center"/>
    </xf>
    <xf numFmtId="166" fontId="0" fillId="3" borderId="9" xfId="0" applyNumberFormat="1" applyFill="1" applyBorder="1" applyAlignment="1">
      <alignment horizontal="left" vertical="center"/>
    </xf>
    <xf numFmtId="9" fontId="0" fillId="3" borderId="1" xfId="3" applyFont="1" applyFill="1" applyBorder="1" applyAlignment="1">
      <alignment horizontal="center" vertical="center"/>
    </xf>
    <xf numFmtId="42" fontId="0" fillId="2" borderId="0" xfId="2" applyFont="1" applyFill="1" applyAlignment="1"/>
    <xf numFmtId="3" fontId="0" fillId="2" borderId="0" xfId="0" applyNumberFormat="1" applyFill="1" applyAlignment="1"/>
    <xf numFmtId="0" fontId="0" fillId="2" borderId="0" xfId="0" applyFill="1" applyBorder="1" applyAlignment="1">
      <alignment shrinkToFit="1"/>
    </xf>
    <xf numFmtId="0" fontId="0" fillId="2" borderId="0" xfId="0" applyFill="1" applyBorder="1"/>
    <xf numFmtId="165" fontId="0" fillId="7" borderId="19" xfId="0" applyNumberFormat="1" applyFill="1" applyBorder="1" applyAlignment="1">
      <alignment horizontal="center" vertical="center" shrinkToFit="1"/>
    </xf>
    <xf numFmtId="0" fontId="0" fillId="7" borderId="19" xfId="0" applyFill="1" applyBorder="1" applyAlignment="1">
      <alignment horizontal="center" vertical="center" shrinkToFit="1"/>
    </xf>
    <xf numFmtId="2" fontId="0" fillId="3" borderId="1" xfId="0" applyNumberForma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165" fontId="0" fillId="7" borderId="0" xfId="0" applyNumberFormat="1" applyFill="1" applyBorder="1" applyAlignment="1">
      <alignment horizontal="center" vertical="center" shrinkToFit="1"/>
    </xf>
    <xf numFmtId="0" fontId="0" fillId="3" borderId="13" xfId="0" applyFill="1" applyBorder="1" applyAlignment="1">
      <alignment horizontal="center"/>
    </xf>
    <xf numFmtId="0" fontId="0" fillId="3" borderId="24" xfId="0" applyFill="1" applyBorder="1"/>
    <xf numFmtId="165" fontId="0" fillId="7" borderId="0" xfId="0" applyNumberFormat="1" applyFill="1" applyBorder="1" applyAlignment="1">
      <alignment horizontal="center"/>
    </xf>
    <xf numFmtId="0" fontId="5" fillId="7" borderId="0" xfId="0" applyFont="1" applyFill="1" applyBorder="1" applyAlignment="1">
      <alignment horizontal="center"/>
    </xf>
    <xf numFmtId="166" fontId="0" fillId="3" borderId="25" xfId="0" applyNumberFormat="1" applyFill="1" applyBorder="1" applyAlignment="1">
      <alignment horizontal="center" vertical="center"/>
    </xf>
    <xf numFmtId="166" fontId="0" fillId="3" borderId="26" xfId="0" applyNumberFormat="1" applyFill="1" applyBorder="1" applyAlignment="1">
      <alignment horizontal="center" vertical="center"/>
    </xf>
    <xf numFmtId="166" fontId="0" fillId="3" borderId="27" xfId="0" applyNumberFormat="1" applyFill="1" applyBorder="1" applyAlignment="1">
      <alignment horizontal="left" vertical="center"/>
    </xf>
    <xf numFmtId="0" fontId="0" fillId="7" borderId="28" xfId="0" applyFill="1" applyBorder="1" applyAlignment="1">
      <alignment horizontal="center"/>
    </xf>
    <xf numFmtId="3" fontId="0" fillId="7" borderId="29" xfId="0" applyNumberFormat="1" applyFill="1" applyBorder="1"/>
    <xf numFmtId="0" fontId="0" fillId="7" borderId="31" xfId="0" applyFill="1" applyBorder="1" applyAlignment="1"/>
    <xf numFmtId="0" fontId="0" fillId="7" borderId="32" xfId="0" applyFill="1" applyBorder="1" applyAlignment="1"/>
    <xf numFmtId="0" fontId="0" fillId="5" borderId="13" xfId="0" applyFill="1" applyBorder="1" applyAlignment="1">
      <alignment horizontal="center"/>
    </xf>
    <xf numFmtId="3" fontId="0" fillId="5" borderId="24" xfId="0" applyNumberFormat="1" applyFill="1" applyBorder="1"/>
    <xf numFmtId="0" fontId="0" fillId="7" borderId="4" xfId="0" applyFill="1" applyBorder="1" applyAlignment="1">
      <alignment horizontal="center"/>
    </xf>
    <xf numFmtId="3" fontId="0" fillId="7" borderId="3" xfId="0" applyNumberFormat="1" applyFill="1" applyBorder="1"/>
    <xf numFmtId="0" fontId="0" fillId="7" borderId="2" xfId="0" applyFill="1" applyBorder="1" applyAlignment="1">
      <alignment horizontal="center"/>
    </xf>
    <xf numFmtId="0" fontId="0" fillId="7" borderId="1" xfId="0" applyFill="1" applyBorder="1"/>
    <xf numFmtId="166" fontId="0" fillId="2" borderId="0" xfId="0" applyNumberFormat="1" applyFill="1" applyBorder="1" applyAlignment="1">
      <alignment horizontal="center" vertical="center" shrinkToFit="1"/>
    </xf>
    <xf numFmtId="3" fontId="0" fillId="7" borderId="1" xfId="0" applyNumberFormat="1" applyFill="1" applyBorder="1" applyAlignment="1"/>
    <xf numFmtId="0" fontId="0" fillId="2" borderId="0" xfId="0" applyFill="1" applyBorder="1" applyAlignment="1">
      <alignment horizontal="center"/>
    </xf>
    <xf numFmtId="0" fontId="0" fillId="7" borderId="20" xfId="0" applyFill="1" applyBorder="1" applyAlignment="1">
      <alignment horizontal="center" vertical="center" shrinkToFit="1"/>
    </xf>
    <xf numFmtId="0" fontId="0" fillId="7" borderId="0" xfId="0" applyFill="1" applyBorder="1" applyAlignment="1">
      <alignment horizontal="center"/>
    </xf>
    <xf numFmtId="3" fontId="0" fillId="7" borderId="1" xfId="0" applyNumberFormat="1" applyFill="1" applyBorder="1"/>
    <xf numFmtId="0" fontId="0" fillId="7" borderId="17" xfId="0" applyFill="1" applyBorder="1" applyAlignment="1">
      <alignment horizontal="center" vertical="center" shrinkToFit="1"/>
    </xf>
    <xf numFmtId="0" fontId="0" fillId="7" borderId="0" xfId="0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/>
    </xf>
    <xf numFmtId="10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9" xfId="0" applyFill="1" applyBorder="1" applyAlignment="1">
      <alignment horizontal="left" vertical="center"/>
    </xf>
    <xf numFmtId="3" fontId="0" fillId="7" borderId="29" xfId="0" applyNumberFormat="1" applyFill="1" applyBorder="1" applyAlignment="1">
      <alignment horizontal="center"/>
    </xf>
    <xf numFmtId="0" fontId="0" fillId="7" borderId="15" xfId="0" applyFill="1" applyBorder="1" applyAlignment="1">
      <alignment horizontal="center" vertical="center" shrinkToFit="1"/>
    </xf>
    <xf numFmtId="0" fontId="0" fillId="7" borderId="11" xfId="0" applyFill="1" applyBorder="1" applyAlignment="1">
      <alignment horizontal="center" vertical="center" shrinkToFit="1"/>
    </xf>
    <xf numFmtId="165" fontId="0" fillId="2" borderId="0" xfId="0" applyNumberFormat="1" applyFill="1"/>
    <xf numFmtId="165" fontId="0" fillId="3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165" fontId="0" fillId="2" borderId="0" xfId="0" applyNumberFormat="1" applyFill="1" applyAlignment="1">
      <alignment horizontal="center" vertical="center" shrinkToFit="1"/>
    </xf>
    <xf numFmtId="0" fontId="0" fillId="2" borderId="0" xfId="0" applyFill="1" applyBorder="1" applyAlignment="1">
      <alignment horizontal="center" vertical="center" shrinkToFit="1"/>
    </xf>
    <xf numFmtId="165" fontId="0" fillId="7" borderId="11" xfId="0" applyNumberFormat="1" applyFill="1" applyBorder="1" applyAlignment="1">
      <alignment horizontal="center" vertical="center" shrinkToFit="1"/>
    </xf>
    <xf numFmtId="165" fontId="0" fillId="7" borderId="1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 shrinkToFit="1"/>
    </xf>
    <xf numFmtId="0" fontId="0" fillId="7" borderId="3" xfId="0" applyFill="1" applyBorder="1"/>
    <xf numFmtId="0" fontId="0" fillId="7" borderId="3" xfId="0" applyFill="1" applyBorder="1" applyAlignment="1">
      <alignment horizontal="center"/>
    </xf>
    <xf numFmtId="0" fontId="0" fillId="7" borderId="8" xfId="0" applyFill="1" applyBorder="1" applyAlignment="1"/>
    <xf numFmtId="0" fontId="0" fillId="7" borderId="9" xfId="0" applyFill="1" applyBorder="1"/>
    <xf numFmtId="166" fontId="6" fillId="7" borderId="19" xfId="0" applyNumberFormat="1" applyFont="1" applyFill="1" applyBorder="1" applyAlignment="1">
      <alignment horizontal="center" vertical="center" shrinkToFit="1"/>
    </xf>
    <xf numFmtId="165" fontId="0" fillId="7" borderId="1" xfId="0" applyNumberFormat="1" applyFill="1" applyBorder="1"/>
    <xf numFmtId="166" fontId="6" fillId="7" borderId="0" xfId="0" applyNumberFormat="1" applyFont="1" applyFill="1" applyBorder="1" applyAlignment="1">
      <alignment horizontal="center" vertical="center" shrinkToFit="1"/>
    </xf>
    <xf numFmtId="166" fontId="0" fillId="7" borderId="2" xfId="0" applyNumberFormat="1" applyFill="1" applyBorder="1" applyAlignment="1">
      <alignment horizontal="center" vertical="center"/>
    </xf>
    <xf numFmtId="166" fontId="0" fillId="7" borderId="9" xfId="0" applyNumberFormat="1" applyFill="1" applyBorder="1" applyAlignment="1">
      <alignment horizontal="left" vertical="center"/>
    </xf>
    <xf numFmtId="0" fontId="0" fillId="7" borderId="31" xfId="0" applyFill="1" applyBorder="1" applyAlignment="1">
      <alignment horizontal="center"/>
    </xf>
    <xf numFmtId="0" fontId="0" fillId="7" borderId="32" xfId="0" applyFill="1" applyBorder="1" applyAlignment="1">
      <alignment horizontal="center"/>
    </xf>
    <xf numFmtId="0" fontId="0" fillId="7" borderId="4" xfId="0" applyFill="1" applyBorder="1"/>
    <xf numFmtId="0" fontId="0" fillId="7" borderId="2" xfId="0" applyFill="1" applyBorder="1"/>
    <xf numFmtId="0" fontId="0" fillId="7" borderId="6" xfId="0" applyFill="1" applyBorder="1" applyAlignment="1">
      <alignment horizontal="center"/>
    </xf>
    <xf numFmtId="165" fontId="0" fillId="7" borderId="5" xfId="0" applyNumberFormat="1" applyFill="1" applyBorder="1"/>
    <xf numFmtId="0" fontId="0" fillId="7" borderId="5" xfId="0" applyFill="1" applyBorder="1"/>
    <xf numFmtId="0" fontId="0" fillId="7" borderId="5" xfId="0" applyFill="1" applyBorder="1" applyAlignment="1">
      <alignment horizontal="center"/>
    </xf>
    <xf numFmtId="0" fontId="0" fillId="7" borderId="7" xfId="0" applyFill="1" applyBorder="1"/>
    <xf numFmtId="0" fontId="0" fillId="7" borderId="31" xfId="0" applyFill="1" applyBorder="1"/>
    <xf numFmtId="0" fontId="0" fillId="7" borderId="32" xfId="0" applyFill="1" applyBorder="1"/>
    <xf numFmtId="166" fontId="6" fillId="7" borderId="11" xfId="0" applyNumberFormat="1" applyFont="1" applyFill="1" applyBorder="1" applyAlignment="1">
      <alignment horizontal="center" vertical="center" shrinkToFit="1"/>
    </xf>
    <xf numFmtId="9" fontId="0" fillId="0" borderId="1" xfId="3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9" fontId="0" fillId="0" borderId="11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horizontal="right"/>
    </xf>
    <xf numFmtId="0" fontId="3" fillId="5" borderId="7" xfId="0" applyFon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9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9" fontId="0" fillId="2" borderId="3" xfId="0" applyNumberForma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164" fontId="0" fillId="2" borderId="11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165" fontId="0" fillId="2" borderId="5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2" borderId="3" xfId="0" applyNumberFormat="1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9" fontId="0" fillId="8" borderId="1" xfId="0" applyNumberForma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0" fontId="0" fillId="7" borderId="16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7" xfId="0" applyFill="1" applyBorder="1" applyAlignment="1">
      <alignment horizontal="left"/>
    </xf>
    <xf numFmtId="0" fontId="0" fillId="7" borderId="5" xfId="0" applyFill="1" applyBorder="1" applyAlignment="1">
      <alignment horizontal="left"/>
    </xf>
    <xf numFmtId="0" fontId="0" fillId="7" borderId="9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7" borderId="8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0" fillId="7" borderId="14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19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shrinkToFit="1"/>
    </xf>
    <xf numFmtId="0" fontId="0" fillId="7" borderId="22" xfId="0" applyFill="1" applyBorder="1" applyAlignment="1">
      <alignment horizontal="center" shrinkToFit="1"/>
    </xf>
    <xf numFmtId="0" fontId="0" fillId="7" borderId="23" xfId="0" applyFill="1" applyBorder="1" applyAlignment="1">
      <alignment horizontal="center" shrinkToFit="1"/>
    </xf>
    <xf numFmtId="166" fontId="0" fillId="7" borderId="14" xfId="0" applyNumberFormat="1" applyFont="1" applyFill="1" applyBorder="1" applyAlignment="1">
      <alignment horizontal="center" vertical="center"/>
    </xf>
    <xf numFmtId="166" fontId="0" fillId="7" borderId="11" xfId="0" applyNumberFormat="1" applyFon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 shrinkToFit="1"/>
    </xf>
    <xf numFmtId="0" fontId="0" fillId="7" borderId="11" xfId="0" applyFill="1" applyBorder="1" applyAlignment="1">
      <alignment horizontal="center" vertical="center" shrinkToFit="1"/>
    </xf>
    <xf numFmtId="0" fontId="0" fillId="7" borderId="15" xfId="0" applyFill="1" applyBorder="1" applyAlignment="1">
      <alignment horizontal="center" vertical="center" shrinkToFit="1"/>
    </xf>
    <xf numFmtId="166" fontId="0" fillId="7" borderId="16" xfId="0" applyNumberFormat="1" applyFont="1" applyFill="1" applyBorder="1" applyAlignment="1">
      <alignment horizontal="center" vertical="center"/>
    </xf>
    <xf numFmtId="166" fontId="0" fillId="7" borderId="0" xfId="0" applyNumberFormat="1" applyFont="1" applyFill="1" applyBorder="1" applyAlignment="1">
      <alignment horizontal="center" vertical="center"/>
    </xf>
    <xf numFmtId="166" fontId="0" fillId="7" borderId="14" xfId="0" applyNumberFormat="1" applyFill="1" applyBorder="1" applyAlignment="1">
      <alignment horizontal="center" vertical="center" shrinkToFit="1"/>
    </xf>
    <xf numFmtId="166" fontId="0" fillId="7" borderId="11" xfId="0" applyNumberFormat="1" applyFill="1" applyBorder="1" applyAlignment="1">
      <alignment horizontal="center" vertical="center" shrinkToFit="1"/>
    </xf>
    <xf numFmtId="166" fontId="0" fillId="7" borderId="16" xfId="0" applyNumberFormat="1" applyFill="1" applyBorder="1" applyAlignment="1">
      <alignment horizontal="center" vertical="center" shrinkToFit="1"/>
    </xf>
    <xf numFmtId="166" fontId="0" fillId="7" borderId="0" xfId="0" applyNumberFormat="1" applyFill="1" applyBorder="1" applyAlignment="1">
      <alignment horizontal="center" vertical="center" shrinkToFit="1"/>
    </xf>
    <xf numFmtId="166" fontId="0" fillId="7" borderId="18" xfId="0" applyNumberFormat="1" applyFill="1" applyBorder="1" applyAlignment="1">
      <alignment horizontal="center" vertical="center" shrinkToFit="1"/>
    </xf>
    <xf numFmtId="166" fontId="0" fillId="7" borderId="19" xfId="0" applyNumberFormat="1" applyFill="1" applyBorder="1" applyAlignment="1">
      <alignment horizontal="center" vertical="center" shrinkToFit="1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166" fontId="0" fillId="0" borderId="41" xfId="0" applyNumberFormat="1" applyBorder="1" applyAlignment="1">
      <alignment horizontal="center" vertical="center"/>
    </xf>
    <xf numFmtId="166" fontId="0" fillId="0" borderId="40" xfId="0" applyNumberFormat="1" applyBorder="1" applyAlignment="1">
      <alignment horizontal="center" vertical="center"/>
    </xf>
    <xf numFmtId="166" fontId="0" fillId="0" borderId="39" xfId="0" applyNumberFormat="1" applyBorder="1" applyAlignment="1">
      <alignment horizontal="center" vertical="center"/>
    </xf>
    <xf numFmtId="0" fontId="0" fillId="7" borderId="42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7" borderId="9" xfId="0" applyFill="1" applyBorder="1" applyAlignment="1"/>
    <xf numFmtId="0" fontId="0" fillId="7" borderId="1" xfId="0" applyFill="1" applyBorder="1" applyAlignment="1"/>
    <xf numFmtId="166" fontId="0" fillId="7" borderId="21" xfId="0" applyNumberFormat="1" applyFill="1" applyBorder="1" applyAlignment="1">
      <alignment horizontal="center" vertical="center" shrinkToFit="1"/>
    </xf>
    <xf numFmtId="166" fontId="0" fillId="7" borderId="22" xfId="0" applyNumberFormat="1" applyFill="1" applyBorder="1" applyAlignment="1">
      <alignment horizontal="center" vertical="center" shrinkToFit="1"/>
    </xf>
    <xf numFmtId="166" fontId="0" fillId="7" borderId="23" xfId="0" applyNumberFormat="1" applyFill="1" applyBorder="1" applyAlignment="1">
      <alignment horizontal="center" vertical="center" shrinkToFit="1"/>
    </xf>
    <xf numFmtId="0" fontId="0" fillId="7" borderId="7" xfId="0" applyFill="1" applyBorder="1" applyAlignment="1"/>
    <xf numFmtId="0" fontId="0" fillId="7" borderId="5" xfId="0" applyFill="1" applyBorder="1" applyAlignment="1"/>
    <xf numFmtId="0" fontId="0" fillId="7" borderId="18" xfId="0" applyFill="1" applyBorder="1" applyAlignment="1">
      <alignment horizontal="center" vertical="center" shrinkToFit="1"/>
    </xf>
    <xf numFmtId="0" fontId="0" fillId="7" borderId="19" xfId="0" applyFill="1" applyBorder="1" applyAlignment="1">
      <alignment horizontal="center" vertical="center" shrinkToFit="1"/>
    </xf>
    <xf numFmtId="0" fontId="0" fillId="7" borderId="16" xfId="0" applyFill="1" applyBorder="1" applyAlignment="1">
      <alignment horizontal="center" vertical="center" shrinkToFit="1"/>
    </xf>
    <xf numFmtId="0" fontId="0" fillId="7" borderId="0" xfId="0" applyFill="1" applyBorder="1" applyAlignment="1">
      <alignment horizontal="center" vertical="center" shrinkToFit="1"/>
    </xf>
    <xf numFmtId="0" fontId="0" fillId="7" borderId="18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0" fillId="7" borderId="16" xfId="0" applyFont="1" applyFill="1" applyBorder="1" applyAlignment="1">
      <alignment horizontal="center"/>
    </xf>
    <xf numFmtId="0" fontId="0" fillId="7" borderId="0" xfId="0" applyFont="1" applyFill="1" applyBorder="1" applyAlignment="1">
      <alignment horizontal="center"/>
    </xf>
    <xf numFmtId="0" fontId="0" fillId="7" borderId="8" xfId="0" applyFill="1" applyBorder="1" applyAlignment="1">
      <alignment horizontal="center" shrinkToFit="1"/>
    </xf>
    <xf numFmtId="0" fontId="0" fillId="7" borderId="3" xfId="0" applyFill="1" applyBorder="1" applyAlignment="1">
      <alignment horizontal="center" shrinkToFit="1"/>
    </xf>
    <xf numFmtId="0" fontId="0" fillId="2" borderId="0" xfId="0" applyFill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32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7" borderId="30" xfId="0" applyFill="1" applyBorder="1" applyAlignment="1">
      <alignment horizontal="center"/>
    </xf>
    <xf numFmtId="0" fontId="0" fillId="7" borderId="29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0" borderId="43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</cellXfs>
  <cellStyles count="4">
    <cellStyle name="Moneda [0]" xfId="2" builtinId="7"/>
    <cellStyle name="Normal" xfId="0" builtinId="0"/>
    <cellStyle name="Normal 2" xfId="1" xr:uid="{00000000-0005-0000-0000-000001000000}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485776</xdr:colOff>
      <xdr:row>27</xdr:row>
      <xdr:rowOff>9524</xdr:rowOff>
    </xdr:from>
    <xdr:to>
      <xdr:col>8</xdr:col>
      <xdr:colOff>447676</xdr:colOff>
      <xdr:row>33</xdr:row>
      <xdr:rowOff>114300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9543AD40-4879-44F5-9893-E857B2F6598A}"/>
            </a:ext>
          </a:extLst>
        </xdr:cNvPr>
        <xdr:cNvSpPr/>
      </xdr:nvSpPr>
      <xdr:spPr>
        <a:xfrm>
          <a:off x="7334251" y="666749"/>
          <a:ext cx="2819400" cy="762001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3000" u="none"/>
            <a:t>Molienda</a:t>
          </a:r>
        </a:p>
      </xdr:txBody>
    </xdr:sp>
    <xdr:clientData/>
  </xdr:twoCellAnchor>
  <xdr:twoCellAnchor>
    <xdr:from>
      <xdr:col>6</xdr:col>
      <xdr:colOff>424815</xdr:colOff>
      <xdr:row>38</xdr:row>
      <xdr:rowOff>38100</xdr:rowOff>
    </xdr:from>
    <xdr:to>
      <xdr:col>8</xdr:col>
      <xdr:colOff>455295</xdr:colOff>
      <xdr:row>44</xdr:row>
      <xdr:rowOff>131445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E23DE907-2C7E-4AC8-A437-F3F2D8ABEBA8}"/>
            </a:ext>
          </a:extLst>
        </xdr:cNvPr>
        <xdr:cNvSpPr/>
      </xdr:nvSpPr>
      <xdr:spPr>
        <a:xfrm>
          <a:off x="7273290" y="2200275"/>
          <a:ext cx="2887980" cy="108394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3000" u="none"/>
            <a:t>Clarificación</a:t>
          </a:r>
        </a:p>
      </xdr:txBody>
    </xdr:sp>
    <xdr:clientData/>
  </xdr:twoCellAnchor>
  <xdr:twoCellAnchor>
    <xdr:from>
      <xdr:col>6</xdr:col>
      <xdr:colOff>461010</xdr:colOff>
      <xdr:row>50</xdr:row>
      <xdr:rowOff>38100</xdr:rowOff>
    </xdr:from>
    <xdr:to>
      <xdr:col>8</xdr:col>
      <xdr:colOff>544830</xdr:colOff>
      <xdr:row>56</xdr:row>
      <xdr:rowOff>131445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00B506CC-9499-4F3E-8DEF-87E1C41B7E6E}"/>
            </a:ext>
          </a:extLst>
        </xdr:cNvPr>
        <xdr:cNvSpPr/>
      </xdr:nvSpPr>
      <xdr:spPr>
        <a:xfrm>
          <a:off x="7309485" y="4181475"/>
          <a:ext cx="2941320" cy="108394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3000" u="none"/>
            <a:t>Evaporación</a:t>
          </a:r>
        </a:p>
      </xdr:txBody>
    </xdr:sp>
    <xdr:clientData/>
  </xdr:twoCellAnchor>
  <xdr:twoCellAnchor>
    <xdr:from>
      <xdr:col>6</xdr:col>
      <xdr:colOff>457200</xdr:colOff>
      <xdr:row>61</xdr:row>
      <xdr:rowOff>40005</xdr:rowOff>
    </xdr:from>
    <xdr:to>
      <xdr:col>8</xdr:col>
      <xdr:colOff>624840</xdr:colOff>
      <xdr:row>67</xdr:row>
      <xdr:rowOff>133350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53BA8B1F-3D7B-45C5-81E2-70C852549CAB}"/>
            </a:ext>
          </a:extLst>
        </xdr:cNvPr>
        <xdr:cNvSpPr/>
      </xdr:nvSpPr>
      <xdr:spPr>
        <a:xfrm>
          <a:off x="7305675" y="6002655"/>
          <a:ext cx="3025140" cy="108394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3000" u="none"/>
            <a:t>Concentración</a:t>
          </a:r>
        </a:p>
      </xdr:txBody>
    </xdr:sp>
    <xdr:clientData/>
  </xdr:twoCellAnchor>
  <xdr:twoCellAnchor editAs="oneCell">
    <xdr:from>
      <xdr:col>7</xdr:col>
      <xdr:colOff>1288255</xdr:colOff>
      <xdr:row>129</xdr:row>
      <xdr:rowOff>121443</xdr:rowOff>
    </xdr:from>
    <xdr:to>
      <xdr:col>14</xdr:col>
      <xdr:colOff>583406</xdr:colOff>
      <xdr:row>166</xdr:row>
      <xdr:rowOff>64294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F7892CA8-2EB7-4823-ABF5-833700199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65480" y="14932818"/>
          <a:ext cx="6886576" cy="59340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340519</xdr:colOff>
      <xdr:row>137</xdr:row>
      <xdr:rowOff>157161</xdr:rowOff>
    </xdr:from>
    <xdr:to>
      <xdr:col>3</xdr:col>
      <xdr:colOff>735806</xdr:colOff>
      <xdr:row>151</xdr:row>
      <xdr:rowOff>69056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C91DDC9A-F4F2-4E1D-8173-771676F7F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519" y="16263936"/>
          <a:ext cx="1919287" cy="21788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933449</xdr:colOff>
      <xdr:row>35</xdr:row>
      <xdr:rowOff>23811</xdr:rowOff>
    </xdr:from>
    <xdr:to>
      <xdr:col>7</xdr:col>
      <xdr:colOff>1371598</xdr:colOff>
      <xdr:row>37</xdr:row>
      <xdr:rowOff>133350</xdr:rowOff>
    </xdr:to>
    <xdr:sp macro="" textlink="">
      <xdr:nvSpPr>
        <xdr:cNvPr id="36" name="Flecha: doblada hacia arriba 35">
          <a:extLst>
            <a:ext uri="{FF2B5EF4-FFF2-40B4-BE49-F238E27FC236}">
              <a16:creationId xmlns:a16="http://schemas.microsoft.com/office/drawing/2014/main" id="{AC2A26E9-C85A-437C-8BE2-5C1B38FD414D}"/>
            </a:ext>
          </a:extLst>
        </xdr:cNvPr>
        <xdr:cNvSpPr/>
      </xdr:nvSpPr>
      <xdr:spPr>
        <a:xfrm rot="16200000" flipV="1">
          <a:off x="9208292" y="1693068"/>
          <a:ext cx="442914" cy="438149"/>
        </a:xfrm>
        <a:prstGeom prst="bentUpArrow">
          <a:avLst>
            <a:gd name="adj1" fmla="val 11980"/>
            <a:gd name="adj2" fmla="val 18795"/>
            <a:gd name="adj3" fmla="val 2441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862012</xdr:colOff>
      <xdr:row>57</xdr:row>
      <xdr:rowOff>38100</xdr:rowOff>
    </xdr:from>
    <xdr:to>
      <xdr:col>7</xdr:col>
      <xdr:colOff>1362073</xdr:colOff>
      <xdr:row>59</xdr:row>
      <xdr:rowOff>9528</xdr:rowOff>
    </xdr:to>
    <xdr:sp macro="" textlink="">
      <xdr:nvSpPr>
        <xdr:cNvPr id="39" name="Flecha: doblada hacia arriba 38">
          <a:extLst>
            <a:ext uri="{FF2B5EF4-FFF2-40B4-BE49-F238E27FC236}">
              <a16:creationId xmlns:a16="http://schemas.microsoft.com/office/drawing/2014/main" id="{8009603B-D7BB-4834-A0FD-FB6E69C93D08}"/>
            </a:ext>
          </a:extLst>
        </xdr:cNvPr>
        <xdr:cNvSpPr/>
      </xdr:nvSpPr>
      <xdr:spPr>
        <a:xfrm rot="16200000" flipH="1" flipV="1">
          <a:off x="9236866" y="5245896"/>
          <a:ext cx="304803" cy="500061"/>
        </a:xfrm>
        <a:prstGeom prst="bentUpArrow">
          <a:avLst>
            <a:gd name="adj1" fmla="val 14130"/>
            <a:gd name="adj2" fmla="val 24171"/>
            <a:gd name="adj3" fmla="val 35170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871536</xdr:colOff>
      <xdr:row>45</xdr:row>
      <xdr:rowOff>19050</xdr:rowOff>
    </xdr:from>
    <xdr:to>
      <xdr:col>7</xdr:col>
      <xdr:colOff>1371597</xdr:colOff>
      <xdr:row>47</xdr:row>
      <xdr:rowOff>57150</xdr:rowOff>
    </xdr:to>
    <xdr:sp macro="" textlink="">
      <xdr:nvSpPr>
        <xdr:cNvPr id="40" name="Flecha: doblada hacia arriba 39">
          <a:extLst>
            <a:ext uri="{FF2B5EF4-FFF2-40B4-BE49-F238E27FC236}">
              <a16:creationId xmlns:a16="http://schemas.microsoft.com/office/drawing/2014/main" id="{9320120E-CB28-4403-973E-AF041C25876D}"/>
            </a:ext>
          </a:extLst>
        </xdr:cNvPr>
        <xdr:cNvSpPr/>
      </xdr:nvSpPr>
      <xdr:spPr>
        <a:xfrm rot="16200000" flipH="1" flipV="1">
          <a:off x="9213054" y="3269457"/>
          <a:ext cx="371475" cy="500061"/>
        </a:xfrm>
        <a:prstGeom prst="bentUpArrow">
          <a:avLst>
            <a:gd name="adj1" fmla="val 14130"/>
            <a:gd name="adj2" fmla="val 24171"/>
            <a:gd name="adj3" fmla="val 35170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76200</xdr:colOff>
      <xdr:row>34</xdr:row>
      <xdr:rowOff>38103</xdr:rowOff>
    </xdr:from>
    <xdr:to>
      <xdr:col>7</xdr:col>
      <xdr:colOff>547688</xdr:colOff>
      <xdr:row>35</xdr:row>
      <xdr:rowOff>119063</xdr:rowOff>
    </xdr:to>
    <xdr:sp macro="" textlink="">
      <xdr:nvSpPr>
        <xdr:cNvPr id="41" name="Flecha: doblada hacia arriba 40">
          <a:extLst>
            <a:ext uri="{FF2B5EF4-FFF2-40B4-BE49-F238E27FC236}">
              <a16:creationId xmlns:a16="http://schemas.microsoft.com/office/drawing/2014/main" id="{7F540F7F-EE0A-4D7B-A1F0-7BACE2E6C885}"/>
            </a:ext>
          </a:extLst>
        </xdr:cNvPr>
        <xdr:cNvSpPr/>
      </xdr:nvSpPr>
      <xdr:spPr>
        <a:xfrm rot="16200000" flipH="1">
          <a:off x="8462964" y="1423989"/>
          <a:ext cx="252410" cy="471488"/>
        </a:xfrm>
        <a:prstGeom prst="bentUpArrow">
          <a:avLst>
            <a:gd name="adj1" fmla="val 14130"/>
            <a:gd name="adj2" fmla="val 24171"/>
            <a:gd name="adj3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66676</xdr:colOff>
      <xdr:row>36</xdr:row>
      <xdr:rowOff>45243</xdr:rowOff>
    </xdr:from>
    <xdr:to>
      <xdr:col>7</xdr:col>
      <xdr:colOff>600076</xdr:colOff>
      <xdr:row>37</xdr:row>
      <xdr:rowOff>142875</xdr:rowOff>
    </xdr:to>
    <xdr:sp macro="" textlink="">
      <xdr:nvSpPr>
        <xdr:cNvPr id="42" name="Flecha: doblada hacia arriba 41">
          <a:extLst>
            <a:ext uri="{FF2B5EF4-FFF2-40B4-BE49-F238E27FC236}">
              <a16:creationId xmlns:a16="http://schemas.microsoft.com/office/drawing/2014/main" id="{8980760A-1EB7-4CAC-9FE1-616B396832E8}"/>
            </a:ext>
          </a:extLst>
        </xdr:cNvPr>
        <xdr:cNvSpPr/>
      </xdr:nvSpPr>
      <xdr:spPr>
        <a:xfrm flipV="1">
          <a:off x="8343901" y="1874043"/>
          <a:ext cx="533400" cy="269082"/>
        </a:xfrm>
        <a:prstGeom prst="bentUpArrow">
          <a:avLst>
            <a:gd name="adj1" fmla="val 14130"/>
            <a:gd name="adj2" fmla="val 24171"/>
            <a:gd name="adj3" fmla="val 3517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95251</xdr:colOff>
      <xdr:row>48</xdr:row>
      <xdr:rowOff>45243</xdr:rowOff>
    </xdr:from>
    <xdr:to>
      <xdr:col>7</xdr:col>
      <xdr:colOff>628651</xdr:colOff>
      <xdr:row>49</xdr:row>
      <xdr:rowOff>142875</xdr:rowOff>
    </xdr:to>
    <xdr:sp macro="" textlink="">
      <xdr:nvSpPr>
        <xdr:cNvPr id="43" name="Flecha: doblada hacia arriba 42">
          <a:extLst>
            <a:ext uri="{FF2B5EF4-FFF2-40B4-BE49-F238E27FC236}">
              <a16:creationId xmlns:a16="http://schemas.microsoft.com/office/drawing/2014/main" id="{EDD0BA1E-A4AE-4516-B2DD-47EE4DB18770}"/>
            </a:ext>
          </a:extLst>
        </xdr:cNvPr>
        <xdr:cNvSpPr/>
      </xdr:nvSpPr>
      <xdr:spPr>
        <a:xfrm flipV="1">
          <a:off x="8372476" y="3864768"/>
          <a:ext cx="533400" cy="269082"/>
        </a:xfrm>
        <a:prstGeom prst="bentUpArrow">
          <a:avLst>
            <a:gd name="adj1" fmla="val 14130"/>
            <a:gd name="adj2" fmla="val 24171"/>
            <a:gd name="adj3" fmla="val 3517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66675</xdr:colOff>
      <xdr:row>45</xdr:row>
      <xdr:rowOff>47628</xdr:rowOff>
    </xdr:from>
    <xdr:to>
      <xdr:col>7</xdr:col>
      <xdr:colOff>538163</xdr:colOff>
      <xdr:row>46</xdr:row>
      <xdr:rowOff>128588</xdr:rowOff>
    </xdr:to>
    <xdr:sp macro="" textlink="">
      <xdr:nvSpPr>
        <xdr:cNvPr id="44" name="Flecha: doblada hacia arriba 43">
          <a:extLst>
            <a:ext uri="{FF2B5EF4-FFF2-40B4-BE49-F238E27FC236}">
              <a16:creationId xmlns:a16="http://schemas.microsoft.com/office/drawing/2014/main" id="{F3AABD66-59A5-4EA3-A150-23FCC2D377C7}"/>
            </a:ext>
          </a:extLst>
        </xdr:cNvPr>
        <xdr:cNvSpPr/>
      </xdr:nvSpPr>
      <xdr:spPr>
        <a:xfrm rot="16200000" flipH="1">
          <a:off x="8453439" y="3252789"/>
          <a:ext cx="252410" cy="471488"/>
        </a:xfrm>
        <a:prstGeom prst="bentUpArrow">
          <a:avLst>
            <a:gd name="adj1" fmla="val 14130"/>
            <a:gd name="adj2" fmla="val 24171"/>
            <a:gd name="adj3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47625</xdr:colOff>
      <xdr:row>57</xdr:row>
      <xdr:rowOff>47628</xdr:rowOff>
    </xdr:from>
    <xdr:to>
      <xdr:col>7</xdr:col>
      <xdr:colOff>519113</xdr:colOff>
      <xdr:row>58</xdr:row>
      <xdr:rowOff>128588</xdr:rowOff>
    </xdr:to>
    <xdr:sp macro="" textlink="">
      <xdr:nvSpPr>
        <xdr:cNvPr id="45" name="Flecha: doblada hacia arriba 44">
          <a:extLst>
            <a:ext uri="{FF2B5EF4-FFF2-40B4-BE49-F238E27FC236}">
              <a16:creationId xmlns:a16="http://schemas.microsoft.com/office/drawing/2014/main" id="{DDB6AF4A-3D97-4869-B0A4-987BDF021F0A}"/>
            </a:ext>
          </a:extLst>
        </xdr:cNvPr>
        <xdr:cNvSpPr/>
      </xdr:nvSpPr>
      <xdr:spPr>
        <a:xfrm rot="16200000" flipH="1">
          <a:off x="8434389" y="5243514"/>
          <a:ext cx="252410" cy="471488"/>
        </a:xfrm>
        <a:prstGeom prst="bentUpArrow">
          <a:avLst>
            <a:gd name="adj1" fmla="val 14130"/>
            <a:gd name="adj2" fmla="val 24171"/>
            <a:gd name="adj3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47626</xdr:colOff>
      <xdr:row>59</xdr:row>
      <xdr:rowOff>45243</xdr:rowOff>
    </xdr:from>
    <xdr:to>
      <xdr:col>7</xdr:col>
      <xdr:colOff>581026</xdr:colOff>
      <xdr:row>60</xdr:row>
      <xdr:rowOff>142875</xdr:rowOff>
    </xdr:to>
    <xdr:sp macro="" textlink="">
      <xdr:nvSpPr>
        <xdr:cNvPr id="46" name="Flecha: doblada hacia arriba 45">
          <a:extLst>
            <a:ext uri="{FF2B5EF4-FFF2-40B4-BE49-F238E27FC236}">
              <a16:creationId xmlns:a16="http://schemas.microsoft.com/office/drawing/2014/main" id="{7C88462F-D0D8-48A2-AAD9-2E5D364DA3BD}"/>
            </a:ext>
          </a:extLst>
        </xdr:cNvPr>
        <xdr:cNvSpPr/>
      </xdr:nvSpPr>
      <xdr:spPr>
        <a:xfrm flipV="1">
          <a:off x="8324851" y="5684043"/>
          <a:ext cx="533400" cy="269082"/>
        </a:xfrm>
        <a:prstGeom prst="bentUpArrow">
          <a:avLst>
            <a:gd name="adj1" fmla="val 14130"/>
            <a:gd name="adj2" fmla="val 24171"/>
            <a:gd name="adj3" fmla="val 3517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390524</xdr:colOff>
      <xdr:row>25</xdr:row>
      <xdr:rowOff>38100</xdr:rowOff>
    </xdr:from>
    <xdr:to>
      <xdr:col>8</xdr:col>
      <xdr:colOff>1352552</xdr:colOff>
      <xdr:row>26</xdr:row>
      <xdr:rowOff>109539</xdr:rowOff>
    </xdr:to>
    <xdr:sp macro="" textlink="">
      <xdr:nvSpPr>
        <xdr:cNvPr id="48" name="Flecha: doblada hacia arriba 47">
          <a:extLst>
            <a:ext uri="{FF2B5EF4-FFF2-40B4-BE49-F238E27FC236}">
              <a16:creationId xmlns:a16="http://schemas.microsoft.com/office/drawing/2014/main" id="{08C2DD1B-FFB3-4CEA-BA75-708CEDAFA991}"/>
            </a:ext>
          </a:extLst>
        </xdr:cNvPr>
        <xdr:cNvSpPr/>
      </xdr:nvSpPr>
      <xdr:spPr>
        <a:xfrm rot="16200000" flipV="1">
          <a:off x="10460831" y="7143"/>
          <a:ext cx="233364" cy="962028"/>
        </a:xfrm>
        <a:prstGeom prst="bentUpArrow">
          <a:avLst>
            <a:gd name="adj1" fmla="val 11980"/>
            <a:gd name="adj2" fmla="val 18795"/>
            <a:gd name="adj3" fmla="val 2441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49490</xdr:colOff>
      <xdr:row>25</xdr:row>
      <xdr:rowOff>70126</xdr:rowOff>
    </xdr:from>
    <xdr:to>
      <xdr:col>6</xdr:col>
      <xdr:colOff>1101199</xdr:colOff>
      <xdr:row>26</xdr:row>
      <xdr:rowOff>104774</xdr:rowOff>
    </xdr:to>
    <xdr:sp macro="" textlink="">
      <xdr:nvSpPr>
        <xdr:cNvPr id="49" name="Flecha: doblada hacia arriba 48">
          <a:extLst>
            <a:ext uri="{FF2B5EF4-FFF2-40B4-BE49-F238E27FC236}">
              <a16:creationId xmlns:a16="http://schemas.microsoft.com/office/drawing/2014/main" id="{B2373222-5916-42B1-ACEA-010DEE3B0B3E}"/>
            </a:ext>
          </a:extLst>
        </xdr:cNvPr>
        <xdr:cNvSpPr/>
      </xdr:nvSpPr>
      <xdr:spPr>
        <a:xfrm rot="10800000" flipH="1">
          <a:off x="6897965" y="403501"/>
          <a:ext cx="1051709" cy="196573"/>
        </a:xfrm>
        <a:prstGeom prst="bentUpArrow">
          <a:avLst>
            <a:gd name="adj1" fmla="val 11980"/>
            <a:gd name="adj2" fmla="val 18795"/>
            <a:gd name="adj3" fmla="val 2441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852487</xdr:colOff>
      <xdr:row>68</xdr:row>
      <xdr:rowOff>28575</xdr:rowOff>
    </xdr:from>
    <xdr:to>
      <xdr:col>7</xdr:col>
      <xdr:colOff>1352548</xdr:colOff>
      <xdr:row>70</xdr:row>
      <xdr:rowOff>3</xdr:rowOff>
    </xdr:to>
    <xdr:sp macro="" textlink="">
      <xdr:nvSpPr>
        <xdr:cNvPr id="50" name="Flecha: doblada hacia arriba 49">
          <a:extLst>
            <a:ext uri="{FF2B5EF4-FFF2-40B4-BE49-F238E27FC236}">
              <a16:creationId xmlns:a16="http://schemas.microsoft.com/office/drawing/2014/main" id="{7C7322E3-89F0-4A25-B532-4F249B41DC0E}"/>
            </a:ext>
          </a:extLst>
        </xdr:cNvPr>
        <xdr:cNvSpPr/>
      </xdr:nvSpPr>
      <xdr:spPr>
        <a:xfrm rot="16200000" flipH="1" flipV="1">
          <a:off x="9227341" y="7036596"/>
          <a:ext cx="304803" cy="500061"/>
        </a:xfrm>
        <a:prstGeom prst="bentUpArrow">
          <a:avLst>
            <a:gd name="adj1" fmla="val 14130"/>
            <a:gd name="adj2" fmla="val 24171"/>
            <a:gd name="adj3" fmla="val 35170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1542097</xdr:colOff>
      <xdr:row>25</xdr:row>
      <xdr:rowOff>129540</xdr:rowOff>
    </xdr:from>
    <xdr:to>
      <xdr:col>5</xdr:col>
      <xdr:colOff>1549717</xdr:colOff>
      <xdr:row>27</xdr:row>
      <xdr:rowOff>160020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D76DC9F4-8616-47BF-9472-11E5849EE633}"/>
            </a:ext>
          </a:extLst>
        </xdr:cNvPr>
        <xdr:cNvCxnSpPr/>
      </xdr:nvCxnSpPr>
      <xdr:spPr>
        <a:xfrm>
          <a:off x="7933372" y="453390"/>
          <a:ext cx="7620" cy="36385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555546</xdr:colOff>
      <xdr:row>35</xdr:row>
      <xdr:rowOff>99060</xdr:rowOff>
    </xdr:from>
    <xdr:to>
      <xdr:col>5</xdr:col>
      <xdr:colOff>1503283</xdr:colOff>
      <xdr:row>39</xdr:row>
      <xdr:rowOff>76200</xdr:rowOff>
    </xdr:to>
    <xdr:cxnSp macro="">
      <xdr:nvCxnSpPr>
        <xdr:cNvPr id="4" name="Conector recto de flecha 3">
          <a:extLst>
            <a:ext uri="{FF2B5EF4-FFF2-40B4-BE49-F238E27FC236}">
              <a16:creationId xmlns:a16="http://schemas.microsoft.com/office/drawing/2014/main" id="{270FC459-491B-4D98-90CF-4321F73A5C36}"/>
            </a:ext>
          </a:extLst>
        </xdr:cNvPr>
        <xdr:cNvCxnSpPr/>
      </xdr:nvCxnSpPr>
      <xdr:spPr>
        <a:xfrm flipH="1">
          <a:off x="6946821" y="2080260"/>
          <a:ext cx="947737" cy="64389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160020</xdr:colOff>
      <xdr:row>37</xdr:row>
      <xdr:rowOff>0</xdr:rowOff>
    </xdr:from>
    <xdr:to>
      <xdr:col>7</xdr:col>
      <xdr:colOff>312420</xdr:colOff>
      <xdr:row>42</xdr:row>
      <xdr:rowOff>125730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F8EE667D-58B8-433E-90E0-A41DD5E26D4E}"/>
            </a:ext>
          </a:extLst>
        </xdr:cNvPr>
        <xdr:cNvCxnSpPr/>
      </xdr:nvCxnSpPr>
      <xdr:spPr>
        <a:xfrm flipV="1">
          <a:off x="8313420" y="2314575"/>
          <a:ext cx="1685925" cy="95440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160020</xdr:colOff>
      <xdr:row>42</xdr:row>
      <xdr:rowOff>125730</xdr:rowOff>
    </xdr:from>
    <xdr:to>
      <xdr:col>7</xdr:col>
      <xdr:colOff>320040</xdr:colOff>
      <xdr:row>46</xdr:row>
      <xdr:rowOff>144780</xdr:rowOff>
    </xdr:to>
    <xdr:cxnSp macro="">
      <xdr:nvCxnSpPr>
        <xdr:cNvPr id="7" name="Conector recto de flecha 6">
          <a:extLst>
            <a:ext uri="{FF2B5EF4-FFF2-40B4-BE49-F238E27FC236}">
              <a16:creationId xmlns:a16="http://schemas.microsoft.com/office/drawing/2014/main" id="{F970271A-6F10-4725-BD41-8813BF7BC2CE}"/>
            </a:ext>
          </a:extLst>
        </xdr:cNvPr>
        <xdr:cNvCxnSpPr/>
      </xdr:nvCxnSpPr>
      <xdr:spPr>
        <a:xfrm>
          <a:off x="8313420" y="3268980"/>
          <a:ext cx="1693545" cy="6762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51</xdr:row>
      <xdr:rowOff>76200</xdr:rowOff>
    </xdr:from>
    <xdr:to>
      <xdr:col>6</xdr:col>
      <xdr:colOff>182880</xdr:colOff>
      <xdr:row>58</xdr:row>
      <xdr:rowOff>7620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65E11C69-C745-49AD-9C33-66A36242542C}"/>
            </a:ext>
          </a:extLst>
        </xdr:cNvPr>
        <xdr:cNvSpPr/>
      </xdr:nvSpPr>
      <xdr:spPr>
        <a:xfrm>
          <a:off x="5261610" y="4705350"/>
          <a:ext cx="3074670" cy="108394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3000" u="none"/>
            <a:t>Evaporación</a:t>
          </a:r>
        </a:p>
      </xdr:txBody>
    </xdr:sp>
    <xdr:clientData/>
  </xdr:twoCellAnchor>
  <xdr:twoCellAnchor>
    <xdr:from>
      <xdr:col>5</xdr:col>
      <xdr:colOff>598170</xdr:colOff>
      <xdr:row>46</xdr:row>
      <xdr:rowOff>7620</xdr:rowOff>
    </xdr:from>
    <xdr:to>
      <xdr:col>5</xdr:col>
      <xdr:colOff>601980</xdr:colOff>
      <xdr:row>51</xdr:row>
      <xdr:rowOff>76200</xdr:rowOff>
    </xdr:to>
    <xdr:cxnSp macro="">
      <xdr:nvCxnSpPr>
        <xdr:cNvPr id="9" name="Conector recto de flecha 8">
          <a:extLst>
            <a:ext uri="{FF2B5EF4-FFF2-40B4-BE49-F238E27FC236}">
              <a16:creationId xmlns:a16="http://schemas.microsoft.com/office/drawing/2014/main" id="{B75AF3A7-3664-4202-A07C-1C5DA9162E33}"/>
            </a:ext>
          </a:extLst>
        </xdr:cNvPr>
        <xdr:cNvCxnSpPr>
          <a:endCxn id="8" idx="0"/>
        </xdr:cNvCxnSpPr>
      </xdr:nvCxnSpPr>
      <xdr:spPr>
        <a:xfrm flipH="1">
          <a:off x="6989445" y="3808095"/>
          <a:ext cx="3810" cy="89725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182880</xdr:colOff>
      <xdr:row>54</xdr:row>
      <xdr:rowOff>125730</xdr:rowOff>
    </xdr:from>
    <xdr:to>
      <xdr:col>7</xdr:col>
      <xdr:colOff>327660</xdr:colOff>
      <xdr:row>54</xdr:row>
      <xdr:rowOff>144780</xdr:rowOff>
    </xdr:to>
    <xdr:cxnSp macro="">
      <xdr:nvCxnSpPr>
        <xdr:cNvPr id="10" name="Conector recto de flecha 9">
          <a:extLst>
            <a:ext uri="{FF2B5EF4-FFF2-40B4-BE49-F238E27FC236}">
              <a16:creationId xmlns:a16="http://schemas.microsoft.com/office/drawing/2014/main" id="{1AC7D333-4128-4E7E-8BA3-611999D6B811}"/>
            </a:ext>
          </a:extLst>
        </xdr:cNvPr>
        <xdr:cNvCxnSpPr>
          <a:stCxn id="8" idx="3"/>
        </xdr:cNvCxnSpPr>
      </xdr:nvCxnSpPr>
      <xdr:spPr>
        <a:xfrm>
          <a:off x="8336280" y="5250180"/>
          <a:ext cx="1678305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62</xdr:row>
      <xdr:rowOff>68580</xdr:rowOff>
    </xdr:from>
    <xdr:to>
      <xdr:col>6</xdr:col>
      <xdr:colOff>205740</xdr:colOff>
      <xdr:row>69</xdr:row>
      <xdr:rowOff>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15356F3D-D28C-4653-BC40-63FC30410038}"/>
            </a:ext>
          </a:extLst>
        </xdr:cNvPr>
        <xdr:cNvSpPr/>
      </xdr:nvSpPr>
      <xdr:spPr>
        <a:xfrm>
          <a:off x="5200650" y="6517005"/>
          <a:ext cx="3158490" cy="110299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3000" u="none"/>
            <a:t>Concentración</a:t>
          </a:r>
        </a:p>
      </xdr:txBody>
    </xdr:sp>
    <xdr:clientData/>
  </xdr:twoCellAnchor>
  <xdr:twoCellAnchor>
    <xdr:from>
      <xdr:col>5</xdr:col>
      <xdr:colOff>579120</xdr:colOff>
      <xdr:row>58</xdr:row>
      <xdr:rowOff>7620</xdr:rowOff>
    </xdr:from>
    <xdr:to>
      <xdr:col>5</xdr:col>
      <xdr:colOff>598170</xdr:colOff>
      <xdr:row>62</xdr:row>
      <xdr:rowOff>68580</xdr:rowOff>
    </xdr:to>
    <xdr:cxnSp macro="">
      <xdr:nvCxnSpPr>
        <xdr:cNvPr id="12" name="Conector recto de flecha 11">
          <a:extLst>
            <a:ext uri="{FF2B5EF4-FFF2-40B4-BE49-F238E27FC236}">
              <a16:creationId xmlns:a16="http://schemas.microsoft.com/office/drawing/2014/main" id="{8B4FF05C-C20A-4FF0-9E25-E5BA32039D7A}"/>
            </a:ext>
          </a:extLst>
        </xdr:cNvPr>
        <xdr:cNvCxnSpPr>
          <a:stCxn id="8" idx="2"/>
          <a:endCxn id="11" idx="0"/>
        </xdr:cNvCxnSpPr>
      </xdr:nvCxnSpPr>
      <xdr:spPr>
        <a:xfrm flipH="1">
          <a:off x="6970395" y="5789295"/>
          <a:ext cx="19050" cy="727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205740</xdr:colOff>
      <xdr:row>65</xdr:row>
      <xdr:rowOff>118110</xdr:rowOff>
    </xdr:from>
    <xdr:to>
      <xdr:col>7</xdr:col>
      <xdr:colOff>419100</xdr:colOff>
      <xdr:row>65</xdr:row>
      <xdr:rowOff>129540</xdr:rowOff>
    </xdr:to>
    <xdr:cxnSp macro="">
      <xdr:nvCxnSpPr>
        <xdr:cNvPr id="13" name="Conector recto de flecha 12">
          <a:extLst>
            <a:ext uri="{FF2B5EF4-FFF2-40B4-BE49-F238E27FC236}">
              <a16:creationId xmlns:a16="http://schemas.microsoft.com/office/drawing/2014/main" id="{D5126D18-E5E6-417C-88E3-783831DDFB22}"/>
            </a:ext>
          </a:extLst>
        </xdr:cNvPr>
        <xdr:cNvCxnSpPr>
          <a:stCxn id="11" idx="3"/>
        </xdr:cNvCxnSpPr>
      </xdr:nvCxnSpPr>
      <xdr:spPr>
        <a:xfrm>
          <a:off x="8359140" y="7071360"/>
          <a:ext cx="1746885" cy="114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897730</xdr:colOff>
      <xdr:row>62</xdr:row>
      <xdr:rowOff>111918</xdr:rowOff>
    </xdr:from>
    <xdr:to>
      <xdr:col>20</xdr:col>
      <xdr:colOff>402431</xdr:colOff>
      <xdr:row>95</xdr:row>
      <xdr:rowOff>111919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3979185-6DF7-443D-898A-A6A4F91093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42580" y="6560343"/>
          <a:ext cx="6886576" cy="59340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607219</xdr:colOff>
      <xdr:row>73</xdr:row>
      <xdr:rowOff>166686</xdr:rowOff>
    </xdr:from>
    <xdr:to>
      <xdr:col>12</xdr:col>
      <xdr:colOff>192881</xdr:colOff>
      <xdr:row>86</xdr:row>
      <xdr:rowOff>50006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FFBFDF19-E7CF-42D7-BB78-1CBCFB7D0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4594" y="8453436"/>
          <a:ext cx="1919287" cy="21788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3BB51-0BF0-4D0D-BD6E-DD1B45B9C69F}">
  <sheetPr codeName="Hoja1"/>
  <dimension ref="A1:AB37"/>
  <sheetViews>
    <sheetView tabSelected="1" topLeftCell="F1" workbookViewId="0">
      <selection activeCell="L41" sqref="L41"/>
    </sheetView>
  </sheetViews>
  <sheetFormatPr baseColWidth="10" defaultRowHeight="12.75" x14ac:dyDescent="0.2"/>
  <cols>
    <col min="2" max="2" width="33" bestFit="1" customWidth="1"/>
    <col min="3" max="3" width="6.5703125" bestFit="1" customWidth="1"/>
  </cols>
  <sheetData>
    <row r="1" spans="1:28" ht="13.5" thickBot="1" x14ac:dyDescent="0.2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</row>
    <row r="2" spans="1:28" ht="13.5" thickBot="1" x14ac:dyDescent="0.25">
      <c r="A2" s="61"/>
      <c r="B2" s="232" t="s">
        <v>296</v>
      </c>
      <c r="C2" s="233"/>
      <c r="D2" s="233"/>
      <c r="E2" s="234"/>
      <c r="F2" s="61"/>
      <c r="G2" s="61"/>
      <c r="H2" s="226" t="s">
        <v>295</v>
      </c>
      <c r="I2" s="227"/>
      <c r="J2" s="227"/>
      <c r="K2" s="263" t="s">
        <v>294</v>
      </c>
      <c r="L2" s="264"/>
      <c r="M2" s="61"/>
      <c r="N2" s="62"/>
      <c r="O2" s="241" t="s">
        <v>293</v>
      </c>
      <c r="P2" s="242"/>
      <c r="Q2" s="242"/>
      <c r="R2" s="242"/>
      <c r="S2" s="243"/>
      <c r="T2" s="62"/>
      <c r="U2" s="61"/>
      <c r="V2" s="288" t="s">
        <v>292</v>
      </c>
      <c r="W2" s="289"/>
      <c r="X2" s="289"/>
      <c r="Y2" s="290"/>
      <c r="Z2" s="61"/>
      <c r="AA2" s="61"/>
      <c r="AB2" s="61"/>
    </row>
    <row r="3" spans="1:28" ht="13.5" thickBot="1" x14ac:dyDescent="0.25">
      <c r="A3" s="61"/>
      <c r="B3" s="235"/>
      <c r="C3" s="236"/>
      <c r="D3" s="236"/>
      <c r="E3" s="237"/>
      <c r="F3" s="61"/>
      <c r="G3" s="61"/>
      <c r="H3" s="228" t="s">
        <v>291</v>
      </c>
      <c r="I3" s="229"/>
      <c r="J3" s="229"/>
      <c r="K3" s="283" t="s">
        <v>278</v>
      </c>
      <c r="L3" s="284"/>
      <c r="M3" s="61"/>
      <c r="N3" s="62"/>
      <c r="O3" s="246" t="s">
        <v>290</v>
      </c>
      <c r="P3" s="247"/>
      <c r="Q3" s="247"/>
      <c r="R3" s="247"/>
      <c r="S3" s="248"/>
      <c r="T3" s="62"/>
      <c r="U3" s="61"/>
      <c r="V3" s="291" t="s">
        <v>289</v>
      </c>
      <c r="W3" s="292"/>
      <c r="X3" s="292"/>
      <c r="Y3" s="293"/>
      <c r="Z3" s="61"/>
      <c r="AA3" s="61"/>
      <c r="AB3" s="61"/>
    </row>
    <row r="4" spans="1:28" ht="15" x14ac:dyDescent="0.2">
      <c r="A4" s="61"/>
      <c r="B4" s="235"/>
      <c r="C4" s="236"/>
      <c r="D4" s="236"/>
      <c r="E4" s="237"/>
      <c r="F4" s="61"/>
      <c r="G4" s="61"/>
      <c r="H4" s="228" t="s">
        <v>288</v>
      </c>
      <c r="I4" s="229"/>
      <c r="J4" s="229"/>
      <c r="K4" s="283" t="s">
        <v>278</v>
      </c>
      <c r="L4" s="284"/>
      <c r="M4" s="61"/>
      <c r="N4" s="62"/>
      <c r="O4" s="251" t="s">
        <v>287</v>
      </c>
      <c r="P4" s="252"/>
      <c r="Q4" s="154" t="s">
        <v>286</v>
      </c>
      <c r="R4" s="79">
        <f>997.39+4.46*D24</f>
        <v>1073.21</v>
      </c>
      <c r="S4" s="78" t="s">
        <v>275</v>
      </c>
      <c r="T4" s="62"/>
      <c r="U4" s="61"/>
      <c r="V4" s="294" t="s">
        <v>285</v>
      </c>
      <c r="W4" s="295"/>
      <c r="X4" s="153">
        <v>10</v>
      </c>
      <c r="Y4" s="152" t="s">
        <v>245</v>
      </c>
      <c r="Z4" s="61"/>
      <c r="AA4" s="61"/>
      <c r="AB4" s="61"/>
    </row>
    <row r="5" spans="1:28" ht="15" x14ac:dyDescent="0.2">
      <c r="A5" s="61"/>
      <c r="B5" s="235"/>
      <c r="C5" s="236"/>
      <c r="D5" s="236"/>
      <c r="E5" s="237"/>
      <c r="F5" s="61"/>
      <c r="G5" s="61"/>
      <c r="H5" s="228" t="s">
        <v>284</v>
      </c>
      <c r="I5" s="229"/>
      <c r="J5" s="229"/>
      <c r="K5" s="283" t="s">
        <v>278</v>
      </c>
      <c r="L5" s="284"/>
      <c r="M5" s="61"/>
      <c r="N5" s="62"/>
      <c r="O5" s="253" t="s">
        <v>283</v>
      </c>
      <c r="P5" s="254"/>
      <c r="Q5" s="140" t="s">
        <v>282</v>
      </c>
      <c r="R5" s="70">
        <f>997.39+4.46*D25</f>
        <v>1095.51</v>
      </c>
      <c r="S5" s="69" t="s">
        <v>275</v>
      </c>
      <c r="T5" s="62"/>
      <c r="U5" s="61"/>
      <c r="V5" s="287" t="s">
        <v>281</v>
      </c>
      <c r="W5" s="283"/>
      <c r="X5" s="110">
        <v>2</v>
      </c>
      <c r="Y5" s="146" t="s">
        <v>280</v>
      </c>
      <c r="Z5" s="61"/>
      <c r="AA5" s="61"/>
      <c r="AB5" s="61"/>
    </row>
    <row r="6" spans="1:28" ht="15.75" thickBot="1" x14ac:dyDescent="0.25">
      <c r="A6" s="61"/>
      <c r="B6" s="238"/>
      <c r="C6" s="239"/>
      <c r="D6" s="239"/>
      <c r="E6" s="240"/>
      <c r="F6" s="61"/>
      <c r="G6" s="61"/>
      <c r="H6" s="230" t="s">
        <v>279</v>
      </c>
      <c r="I6" s="231"/>
      <c r="J6" s="231"/>
      <c r="K6" s="285" t="s">
        <v>278</v>
      </c>
      <c r="L6" s="286"/>
      <c r="M6" s="61"/>
      <c r="N6" s="62"/>
      <c r="O6" s="255" t="s">
        <v>277</v>
      </c>
      <c r="P6" s="256"/>
      <c r="Q6" s="138" t="s">
        <v>276</v>
      </c>
      <c r="R6" s="64">
        <f>997.39+4.46*D26</f>
        <v>1331.8899999999999</v>
      </c>
      <c r="S6" s="63" t="s">
        <v>275</v>
      </c>
      <c r="T6" s="62"/>
      <c r="U6" s="61"/>
      <c r="V6" s="287" t="s">
        <v>274</v>
      </c>
      <c r="W6" s="283"/>
      <c r="X6" s="110">
        <f>+K8/K11</f>
        <v>192</v>
      </c>
      <c r="Y6" s="146" t="s">
        <v>221</v>
      </c>
      <c r="Z6" s="61"/>
      <c r="AA6" s="61">
        <f>52*7</f>
        <v>364</v>
      </c>
      <c r="AB6" s="61"/>
    </row>
    <row r="7" spans="1:28" ht="13.5" thickBot="1" x14ac:dyDescent="0.25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2"/>
      <c r="O7" s="257" t="s">
        <v>273</v>
      </c>
      <c r="P7" s="258"/>
      <c r="Q7" s="258"/>
      <c r="R7" s="258"/>
      <c r="S7" s="259"/>
      <c r="T7" s="62"/>
      <c r="U7" s="61"/>
      <c r="V7" s="287" t="s">
        <v>272</v>
      </c>
      <c r="W7" s="283"/>
      <c r="X7" s="110">
        <f>+X6*X5</f>
        <v>384</v>
      </c>
      <c r="Y7" s="146" t="s">
        <v>271</v>
      </c>
      <c r="Z7" s="61"/>
      <c r="AA7" s="61"/>
      <c r="AB7" s="61"/>
    </row>
    <row r="8" spans="1:28" x14ac:dyDescent="0.2">
      <c r="A8" s="61"/>
      <c r="B8" s="151" t="s">
        <v>270</v>
      </c>
      <c r="C8" s="150" t="s">
        <v>269</v>
      </c>
      <c r="D8" s="149">
        <v>30</v>
      </c>
      <c r="E8" s="147" t="s">
        <v>256</v>
      </c>
      <c r="F8" s="61"/>
      <c r="G8" s="61"/>
      <c r="H8" s="270" t="s">
        <v>268</v>
      </c>
      <c r="I8" s="271"/>
      <c r="J8" s="271"/>
      <c r="K8" s="148">
        <f>+D10*D12/D11</f>
        <v>280</v>
      </c>
      <c r="L8" s="147" t="s">
        <v>267</v>
      </c>
      <c r="M8" s="61"/>
      <c r="N8" s="62"/>
      <c r="O8" s="251" t="s">
        <v>240</v>
      </c>
      <c r="P8" s="252"/>
      <c r="Q8" s="79" t="s">
        <v>266</v>
      </c>
      <c r="R8" s="79">
        <f>D37+0.2209*EXP(0.0557*D25)</f>
        <v>95.599979559921579</v>
      </c>
      <c r="S8" s="78" t="s">
        <v>45</v>
      </c>
      <c r="T8" s="62"/>
      <c r="V8" s="287" t="s">
        <v>265</v>
      </c>
      <c r="W8" s="283"/>
      <c r="X8" s="110">
        <v>8900</v>
      </c>
      <c r="Y8" s="146" t="s">
        <v>264</v>
      </c>
      <c r="Z8" s="61"/>
      <c r="AA8" s="61"/>
      <c r="AB8" s="61"/>
    </row>
    <row r="9" spans="1:28" ht="13.5" thickBot="1" x14ac:dyDescent="0.25">
      <c r="A9" s="61"/>
      <c r="B9" s="137" t="s">
        <v>263</v>
      </c>
      <c r="C9" s="128" t="s">
        <v>262</v>
      </c>
      <c r="D9" s="110">
        <v>40</v>
      </c>
      <c r="E9" s="109" t="s">
        <v>256</v>
      </c>
      <c r="F9" s="61"/>
      <c r="G9" s="61"/>
      <c r="H9" s="265" t="s">
        <v>261</v>
      </c>
      <c r="I9" s="266"/>
      <c r="J9" s="266"/>
      <c r="K9" s="139">
        <f>+K8/D12</f>
        <v>2.3333333333333335</v>
      </c>
      <c r="L9" s="146" t="s">
        <v>260</v>
      </c>
      <c r="M9" s="61"/>
      <c r="N9" s="62"/>
      <c r="O9" s="253" t="s">
        <v>236</v>
      </c>
      <c r="P9" s="254"/>
      <c r="Q9" s="70" t="s">
        <v>259</v>
      </c>
      <c r="R9" s="70">
        <f>D37+0.2209*EXP(0.0557*D26)</f>
        <v>109.25096218777557</v>
      </c>
      <c r="S9" s="69" t="s">
        <v>45</v>
      </c>
      <c r="T9" s="62"/>
      <c r="U9" s="61"/>
      <c r="V9" s="298" t="s">
        <v>189</v>
      </c>
      <c r="W9" s="285"/>
      <c r="X9" s="108">
        <f>+(X7/3.75)*X8</f>
        <v>911360</v>
      </c>
      <c r="Y9" s="145" t="s">
        <v>188</v>
      </c>
      <c r="Z9" s="61"/>
      <c r="AA9" s="61"/>
      <c r="AB9" s="61"/>
    </row>
    <row r="10" spans="1:28" ht="13.5" thickBot="1" x14ac:dyDescent="0.25">
      <c r="A10" s="61"/>
      <c r="B10" s="137" t="s">
        <v>258</v>
      </c>
      <c r="C10" s="128" t="s">
        <v>257</v>
      </c>
      <c r="D10" s="110">
        <f>+(D9+D8)/2</f>
        <v>35</v>
      </c>
      <c r="E10" s="109" t="s">
        <v>256</v>
      </c>
      <c r="F10" s="61"/>
      <c r="G10" s="61"/>
      <c r="H10" s="265" t="s">
        <v>255</v>
      </c>
      <c r="I10" s="266"/>
      <c r="J10" s="266"/>
      <c r="K10" s="139">
        <f>+K8/D14</f>
        <v>140</v>
      </c>
      <c r="L10" s="109" t="s">
        <v>254</v>
      </c>
      <c r="M10" s="61"/>
      <c r="N10" s="62"/>
      <c r="O10" s="255" t="s">
        <v>69</v>
      </c>
      <c r="P10" s="256"/>
      <c r="Q10" s="64" t="s">
        <v>253</v>
      </c>
      <c r="R10" s="64">
        <f>D37+0.2209*EXP(0.0557*D27)</f>
        <v>135.21034757417664</v>
      </c>
      <c r="S10" s="63" t="s">
        <v>45</v>
      </c>
      <c r="T10" s="62"/>
      <c r="U10" s="61"/>
      <c r="V10" s="291" t="s">
        <v>252</v>
      </c>
      <c r="W10" s="292"/>
      <c r="X10" s="292"/>
      <c r="Y10" s="293"/>
      <c r="Z10" s="61"/>
      <c r="AA10" s="61"/>
      <c r="AB10" s="61"/>
    </row>
    <row r="11" spans="1:28" ht="13.5" thickBot="1" x14ac:dyDescent="0.25">
      <c r="A11" s="61"/>
      <c r="B11" s="137" t="s">
        <v>251</v>
      </c>
      <c r="C11" s="128" t="s">
        <v>250</v>
      </c>
      <c r="D11" s="110">
        <v>15</v>
      </c>
      <c r="E11" s="109" t="s">
        <v>249</v>
      </c>
      <c r="F11" s="61"/>
      <c r="G11" s="61"/>
      <c r="H11" s="265" t="s">
        <v>248</v>
      </c>
      <c r="I11" s="266"/>
      <c r="J11" s="266"/>
      <c r="K11" s="139">
        <f>+K10/(6*D16)</f>
        <v>1.4583333333333333</v>
      </c>
      <c r="L11" s="109" t="s">
        <v>224</v>
      </c>
      <c r="N11" s="62"/>
      <c r="O11" s="267" t="s">
        <v>247</v>
      </c>
      <c r="P11" s="268"/>
      <c r="Q11" s="268"/>
      <c r="R11" s="268"/>
      <c r="S11" s="269"/>
      <c r="T11" s="62"/>
      <c r="U11" s="61"/>
      <c r="V11" s="294" t="s">
        <v>246</v>
      </c>
      <c r="W11" s="295"/>
      <c r="X11" s="144">
        <v>5</v>
      </c>
      <c r="Y11" s="143" t="s">
        <v>245</v>
      </c>
      <c r="Z11" s="61"/>
      <c r="AA11" s="61"/>
      <c r="AB11" s="61"/>
    </row>
    <row r="12" spans="1:28" ht="15" x14ac:dyDescent="0.2">
      <c r="A12" s="61"/>
      <c r="B12" s="137" t="s">
        <v>244</v>
      </c>
      <c r="C12" s="128" t="s">
        <v>243</v>
      </c>
      <c r="D12" s="110">
        <v>120</v>
      </c>
      <c r="E12" s="109" t="s">
        <v>242</v>
      </c>
      <c r="F12" s="61"/>
      <c r="G12" s="61"/>
      <c r="H12" s="265" t="s">
        <v>241</v>
      </c>
      <c r="I12" s="266"/>
      <c r="J12" s="266"/>
      <c r="K12" s="139">
        <f>+K11*D31</f>
        <v>0.87499999999999989</v>
      </c>
      <c r="L12" s="109" t="s">
        <v>224</v>
      </c>
      <c r="M12" s="61"/>
      <c r="N12" s="62"/>
      <c r="O12" s="253" t="s">
        <v>240</v>
      </c>
      <c r="P12" s="254"/>
      <c r="Q12" s="140" t="s">
        <v>231</v>
      </c>
      <c r="R12" s="70">
        <f>2492.9-2.0523*((D37+R8)/2)-0.0030752*((D37+R8)/2)^2</f>
        <v>2269.5874947257084</v>
      </c>
      <c r="S12" s="69" t="s">
        <v>230</v>
      </c>
      <c r="T12" s="62"/>
      <c r="U12" s="61"/>
      <c r="V12" s="287" t="s">
        <v>239</v>
      </c>
      <c r="W12" s="283"/>
      <c r="X12" s="128">
        <v>0.875</v>
      </c>
      <c r="Y12" s="109"/>
      <c r="Z12" s="61"/>
      <c r="AA12" s="61"/>
      <c r="AB12" s="61"/>
    </row>
    <row r="13" spans="1:28" ht="15" x14ac:dyDescent="0.2">
      <c r="A13" s="61"/>
      <c r="B13" s="142" t="s">
        <v>238</v>
      </c>
      <c r="C13" s="72" t="s">
        <v>237</v>
      </c>
      <c r="D13" s="72">
        <v>17</v>
      </c>
      <c r="E13" s="141" t="s">
        <v>147</v>
      </c>
      <c r="F13" s="61"/>
      <c r="G13" s="61"/>
      <c r="H13" s="265" t="s">
        <v>172</v>
      </c>
      <c r="I13" s="266"/>
      <c r="J13" s="266"/>
      <c r="K13" s="139">
        <f>+K12-((K12*D22)+((K12-(K12*D22))*D23))</f>
        <v>0.82319999999999993</v>
      </c>
      <c r="L13" s="109" t="s">
        <v>224</v>
      </c>
      <c r="M13" s="61"/>
      <c r="N13" s="62"/>
      <c r="O13" s="253" t="s">
        <v>236</v>
      </c>
      <c r="P13" s="254"/>
      <c r="Q13" s="140" t="s">
        <v>231</v>
      </c>
      <c r="R13" s="70">
        <f>2492.9-2.0523*((R8+R9)/2)-0.0030752*((R8+R9)/2)^2</f>
        <v>2250.4303533977154</v>
      </c>
      <c r="S13" s="69" t="s">
        <v>230</v>
      </c>
      <c r="T13" s="62"/>
      <c r="U13" s="61"/>
      <c r="V13" s="287" t="s">
        <v>235</v>
      </c>
      <c r="W13" s="283"/>
      <c r="X13" s="128">
        <v>0.82</v>
      </c>
      <c r="Y13" s="109"/>
      <c r="Z13" s="61"/>
      <c r="AA13" s="61"/>
      <c r="AB13" s="61"/>
    </row>
    <row r="14" spans="1:28" ht="15.75" thickBot="1" x14ac:dyDescent="0.25">
      <c r="A14" s="61"/>
      <c r="B14" s="137" t="s">
        <v>234</v>
      </c>
      <c r="C14" s="128" t="s">
        <v>219</v>
      </c>
      <c r="D14" s="110">
        <v>2</v>
      </c>
      <c r="E14" s="109" t="s">
        <v>233</v>
      </c>
      <c r="F14" s="61"/>
      <c r="G14" s="61"/>
      <c r="H14" s="265" t="s">
        <v>232</v>
      </c>
      <c r="I14" s="266"/>
      <c r="J14" s="266"/>
      <c r="K14" s="139">
        <f>+K13*D24/D27*1000</f>
        <v>149.67272727272726</v>
      </c>
      <c r="L14" s="109" t="s">
        <v>127</v>
      </c>
      <c r="M14" s="61"/>
      <c r="N14" s="62"/>
      <c r="O14" s="255" t="s">
        <v>69</v>
      </c>
      <c r="P14" s="256"/>
      <c r="Q14" s="138" t="s">
        <v>231</v>
      </c>
      <c r="R14" s="64">
        <f>2492.9-2.0523*((R9+R10)/2)-0.0030752*((R9+R10)/2)^2</f>
        <v>2196.1015149688301</v>
      </c>
      <c r="S14" s="63" t="s">
        <v>230</v>
      </c>
      <c r="T14" s="62"/>
      <c r="U14" s="61"/>
      <c r="V14" s="296" t="s">
        <v>229</v>
      </c>
      <c r="W14" s="297"/>
      <c r="X14" s="128">
        <v>220</v>
      </c>
      <c r="Y14" s="109" t="s">
        <v>228</v>
      </c>
      <c r="Z14" s="61"/>
      <c r="AA14" s="61"/>
      <c r="AB14" s="61"/>
    </row>
    <row r="15" spans="1:28" ht="13.5" thickBot="1" x14ac:dyDescent="0.25">
      <c r="A15" s="61"/>
      <c r="B15" s="137" t="s">
        <v>227</v>
      </c>
      <c r="C15" s="128" t="s">
        <v>219</v>
      </c>
      <c r="D15" s="110">
        <v>6</v>
      </c>
      <c r="E15" s="109" t="s">
        <v>226</v>
      </c>
      <c r="G15" s="61"/>
      <c r="H15" s="280" t="s">
        <v>225</v>
      </c>
      <c r="I15" s="281"/>
      <c r="J15" s="281"/>
      <c r="K15" s="135">
        <f>+K11*1.3</f>
        <v>1.8958333333333333</v>
      </c>
      <c r="L15" s="107" t="s">
        <v>224</v>
      </c>
      <c r="M15" s="61"/>
      <c r="N15" s="62"/>
      <c r="O15" s="267" t="s">
        <v>223</v>
      </c>
      <c r="P15" s="268"/>
      <c r="Q15" s="268"/>
      <c r="R15" s="268"/>
      <c r="S15" s="269"/>
      <c r="T15" s="62"/>
      <c r="U15" s="61"/>
      <c r="V15" s="296" t="s">
        <v>222</v>
      </c>
      <c r="W15" s="297"/>
      <c r="X15" s="128">
        <f>+K8/K11</f>
        <v>192</v>
      </c>
      <c r="Y15" s="109" t="s">
        <v>221</v>
      </c>
      <c r="Z15" s="61"/>
      <c r="AA15" s="61"/>
      <c r="AB15" s="61"/>
    </row>
    <row r="16" spans="1:28" ht="13.5" thickBot="1" x14ac:dyDescent="0.25">
      <c r="A16" s="61"/>
      <c r="B16" s="136" t="s">
        <v>220</v>
      </c>
      <c r="C16" s="135" t="s">
        <v>219</v>
      </c>
      <c r="D16" s="134">
        <v>16</v>
      </c>
      <c r="E16" s="107" t="s">
        <v>120</v>
      </c>
      <c r="F16" s="61"/>
      <c r="G16" s="61"/>
      <c r="H16" s="61"/>
      <c r="I16" s="61"/>
      <c r="J16" s="61"/>
      <c r="K16" s="61"/>
      <c r="L16" s="61"/>
      <c r="M16" s="61"/>
      <c r="N16" s="61"/>
      <c r="O16" s="253" t="s">
        <v>218</v>
      </c>
      <c r="P16" s="254"/>
      <c r="Q16" s="70" t="s">
        <v>207</v>
      </c>
      <c r="R16" s="70">
        <f>4.18*(1-0.006*D24)</f>
        <v>3.7536399999999999</v>
      </c>
      <c r="S16" s="69" t="s">
        <v>206</v>
      </c>
      <c r="T16" s="61"/>
      <c r="U16" s="61"/>
      <c r="V16" s="287" t="s">
        <v>217</v>
      </c>
      <c r="W16" s="283"/>
      <c r="X16" s="132">
        <f>((+X11*0.75)/X12)</f>
        <v>4.2857142857142856</v>
      </c>
      <c r="Y16" s="109" t="s">
        <v>102</v>
      </c>
      <c r="Z16" s="61"/>
      <c r="AA16" s="61"/>
      <c r="AB16" s="61"/>
    </row>
    <row r="17" spans="1:28" ht="13.5" thickBot="1" x14ac:dyDescent="0.25">
      <c r="A17" s="61"/>
      <c r="F17" s="65"/>
      <c r="G17" s="61"/>
      <c r="H17" s="267" t="s">
        <v>216</v>
      </c>
      <c r="I17" s="268"/>
      <c r="J17" s="268"/>
      <c r="K17" s="268"/>
      <c r="L17" s="269"/>
      <c r="M17" s="61"/>
      <c r="N17" s="61"/>
      <c r="O17" s="253" t="s">
        <v>215</v>
      </c>
      <c r="P17" s="254"/>
      <c r="Q17" s="70" t="s">
        <v>207</v>
      </c>
      <c r="R17" s="70">
        <f>4.18*(1-0.006*D25)</f>
        <v>3.6282399999999999</v>
      </c>
      <c r="S17" s="69" t="s">
        <v>206</v>
      </c>
      <c r="T17" s="133"/>
      <c r="U17" s="65"/>
      <c r="V17" s="287" t="s">
        <v>214</v>
      </c>
      <c r="W17" s="283"/>
      <c r="X17" s="132">
        <f>+X16*TAN(ACOS(X13))</f>
        <v>2.9914469730844986</v>
      </c>
      <c r="Y17" s="109" t="s">
        <v>213</v>
      </c>
      <c r="Z17" s="61"/>
      <c r="AA17" s="61"/>
      <c r="AB17" s="61"/>
    </row>
    <row r="18" spans="1:28" ht="13.5" thickBot="1" x14ac:dyDescent="0.25">
      <c r="A18" s="61"/>
      <c r="B18" s="260" t="s">
        <v>212</v>
      </c>
      <c r="C18" s="261"/>
      <c r="D18" s="261"/>
      <c r="E18" s="262"/>
      <c r="F18" s="65" t="s">
        <v>211</v>
      </c>
      <c r="G18" s="61"/>
      <c r="H18" s="244" t="s">
        <v>210</v>
      </c>
      <c r="I18" s="245"/>
      <c r="J18" s="79" t="s">
        <v>209</v>
      </c>
      <c r="K18" s="131">
        <f>K19/D31</f>
        <v>1458.3333333333333</v>
      </c>
      <c r="L18" s="78" t="s">
        <v>127</v>
      </c>
      <c r="M18" s="61"/>
      <c r="N18" s="61"/>
      <c r="O18" s="255" t="s">
        <v>208</v>
      </c>
      <c r="P18" s="256"/>
      <c r="Q18" s="64" t="s">
        <v>207</v>
      </c>
      <c r="R18" s="64">
        <f>4.18*(1-0.006*D26)</f>
        <v>2.2989999999999999</v>
      </c>
      <c r="S18" s="63" t="s">
        <v>206</v>
      </c>
      <c r="T18" s="130"/>
      <c r="U18" s="65"/>
      <c r="V18" s="296" t="s">
        <v>205</v>
      </c>
      <c r="W18" s="297"/>
      <c r="X18" s="128">
        <f>+X16*X15</f>
        <v>822.85714285714289</v>
      </c>
      <c r="Y18" s="109" t="s">
        <v>204</v>
      </c>
      <c r="Z18" s="61"/>
      <c r="AA18" s="61"/>
      <c r="AB18" s="61"/>
    </row>
    <row r="19" spans="1:28" ht="13.5" thickBot="1" x14ac:dyDescent="0.25">
      <c r="A19" s="61"/>
      <c r="B19" s="82" t="s">
        <v>203</v>
      </c>
      <c r="C19" s="81" t="s">
        <v>202</v>
      </c>
      <c r="D19" s="81">
        <f>+K14</f>
        <v>149.67272727272726</v>
      </c>
      <c r="E19" s="80" t="s">
        <v>127</v>
      </c>
      <c r="F19" s="129">
        <f>K30/D19</f>
        <v>3.2631802721088441</v>
      </c>
      <c r="G19" s="61"/>
      <c r="H19" s="249" t="s">
        <v>201</v>
      </c>
      <c r="I19" s="250"/>
      <c r="J19" s="70" t="s">
        <v>200</v>
      </c>
      <c r="K19" s="93">
        <f>+K21/(1-D22)</f>
        <v>874.99999999999989</v>
      </c>
      <c r="L19" s="69" t="s">
        <v>127</v>
      </c>
      <c r="M19" s="126"/>
      <c r="N19" s="61"/>
      <c r="O19" s="86"/>
      <c r="P19" s="87"/>
      <c r="Q19" s="87"/>
      <c r="R19" s="87"/>
      <c r="S19" s="87"/>
      <c r="T19" s="111"/>
      <c r="U19" s="65"/>
      <c r="V19" s="296" t="s">
        <v>199</v>
      </c>
      <c r="W19" s="297"/>
      <c r="X19" s="128">
        <v>500</v>
      </c>
      <c r="Y19" s="109" t="s">
        <v>198</v>
      </c>
      <c r="Z19" s="61"/>
      <c r="AA19" s="61"/>
      <c r="AB19" s="61"/>
    </row>
    <row r="20" spans="1:28" x14ac:dyDescent="0.2">
      <c r="A20" s="61"/>
      <c r="B20" s="92" t="s">
        <v>197</v>
      </c>
      <c r="C20" s="18" t="s">
        <v>196</v>
      </c>
      <c r="D20" s="127">
        <f>+F19</f>
        <v>3.2631802721088441</v>
      </c>
      <c r="E20" s="49" t="s">
        <v>195</v>
      </c>
      <c r="F20" s="65"/>
      <c r="G20" s="61"/>
      <c r="H20" s="224" t="s">
        <v>194</v>
      </c>
      <c r="I20" s="225"/>
      <c r="J20" s="115" t="s">
        <v>193</v>
      </c>
      <c r="K20" s="96">
        <f>+K19*D22</f>
        <v>17.499999999999996</v>
      </c>
      <c r="L20" s="69" t="s">
        <v>127</v>
      </c>
      <c r="M20" s="126"/>
      <c r="N20" s="61"/>
      <c r="O20" s="246" t="s">
        <v>192</v>
      </c>
      <c r="P20" s="247"/>
      <c r="Q20" s="125" t="s">
        <v>191</v>
      </c>
      <c r="R20" s="125">
        <f>17.85-20.35*D29</f>
        <v>8.6925000000000008</v>
      </c>
      <c r="S20" s="124" t="s">
        <v>190</v>
      </c>
      <c r="T20" s="111"/>
      <c r="U20" s="65"/>
      <c r="V20" s="305" t="s">
        <v>189</v>
      </c>
      <c r="W20" s="306"/>
      <c r="X20" s="123">
        <f>+X18*X19</f>
        <v>411428.57142857142</v>
      </c>
      <c r="Y20" s="101" t="s">
        <v>188</v>
      </c>
      <c r="Z20" s="61"/>
      <c r="AA20" s="61"/>
      <c r="AB20" s="61"/>
    </row>
    <row r="21" spans="1:28" x14ac:dyDescent="0.2">
      <c r="A21" s="61"/>
      <c r="B21" s="122" t="s">
        <v>187</v>
      </c>
      <c r="C21" s="121" t="s">
        <v>186</v>
      </c>
      <c r="D21" s="120">
        <f>+K36/R21</f>
        <v>0.44070531256181694</v>
      </c>
      <c r="E21" s="119" t="s">
        <v>49</v>
      </c>
      <c r="F21" s="65"/>
      <c r="G21" s="61"/>
      <c r="H21" s="224" t="s">
        <v>185</v>
      </c>
      <c r="I21" s="225"/>
      <c r="J21" s="70" t="s">
        <v>158</v>
      </c>
      <c r="K21" s="96">
        <f>+K23/(1-D23)</f>
        <v>857.49999999999989</v>
      </c>
      <c r="L21" s="69" t="s">
        <v>127</v>
      </c>
      <c r="M21" s="61"/>
      <c r="N21" s="61"/>
      <c r="O21" s="274" t="s">
        <v>184</v>
      </c>
      <c r="P21" s="275"/>
      <c r="Q21" s="118" t="s">
        <v>183</v>
      </c>
      <c r="R21" s="118">
        <f>(D20*D19)*R20/3.6</f>
        <v>1179.3044507575758</v>
      </c>
      <c r="S21" s="117" t="s">
        <v>102</v>
      </c>
      <c r="T21" s="111"/>
      <c r="U21" s="65"/>
      <c r="V21" s="287" t="s">
        <v>182</v>
      </c>
      <c r="W21" s="283"/>
      <c r="X21" s="116">
        <f>6160000*D10</f>
        <v>215600000</v>
      </c>
      <c r="Y21" s="109" t="s">
        <v>181</v>
      </c>
      <c r="Z21" s="61"/>
      <c r="AA21" s="61"/>
      <c r="AB21" s="61"/>
    </row>
    <row r="22" spans="1:28" ht="13.5" thickBot="1" x14ac:dyDescent="0.25">
      <c r="A22" s="61"/>
      <c r="B22" s="92" t="s">
        <v>180</v>
      </c>
      <c r="C22" s="18" t="s">
        <v>179</v>
      </c>
      <c r="D22" s="48">
        <v>0.02</v>
      </c>
      <c r="E22" s="49" t="s">
        <v>49</v>
      </c>
      <c r="F22" s="65"/>
      <c r="G22" s="61"/>
      <c r="H22" s="224" t="s">
        <v>174</v>
      </c>
      <c r="I22" s="225"/>
      <c r="J22" s="115" t="s">
        <v>178</v>
      </c>
      <c r="K22" s="96">
        <f>+K21*D23</f>
        <v>34.299999999999997</v>
      </c>
      <c r="L22" s="69" t="s">
        <v>127</v>
      </c>
      <c r="M22" s="61"/>
      <c r="N22" s="61"/>
      <c r="O22" s="272" t="s">
        <v>177</v>
      </c>
      <c r="P22" s="273"/>
      <c r="Q22" s="89" t="s">
        <v>176</v>
      </c>
      <c r="R22" s="89">
        <f>R21/1000</f>
        <v>1.1793044507575758</v>
      </c>
      <c r="S22" s="114" t="s">
        <v>90</v>
      </c>
      <c r="T22" s="113"/>
      <c r="U22" s="65"/>
      <c r="V22" s="287" t="s">
        <v>175</v>
      </c>
      <c r="W22" s="283"/>
      <c r="X22" s="112">
        <v>869000</v>
      </c>
      <c r="Y22" s="109" t="s">
        <v>136</v>
      </c>
      <c r="Z22" s="61"/>
      <c r="AA22" s="61"/>
      <c r="AB22" s="61"/>
    </row>
    <row r="23" spans="1:28" x14ac:dyDescent="0.2">
      <c r="A23" s="61"/>
      <c r="B23" s="92" t="s">
        <v>174</v>
      </c>
      <c r="C23" s="18" t="s">
        <v>173</v>
      </c>
      <c r="D23" s="48">
        <v>0.04</v>
      </c>
      <c r="E23" s="49" t="s">
        <v>49</v>
      </c>
      <c r="F23" s="65"/>
      <c r="G23" s="61"/>
      <c r="H23" s="224" t="s">
        <v>172</v>
      </c>
      <c r="I23" s="225"/>
      <c r="J23" s="70" t="s">
        <v>171</v>
      </c>
      <c r="K23" s="96">
        <f>+D19*D27/D24</f>
        <v>823.19999999999982</v>
      </c>
      <c r="L23" s="69" t="s">
        <v>127</v>
      </c>
      <c r="M23" s="61"/>
      <c r="N23" s="61"/>
      <c r="O23" s="61"/>
      <c r="P23" s="61"/>
      <c r="Q23" s="61"/>
      <c r="R23" s="61"/>
      <c r="S23" s="61"/>
      <c r="T23" s="111"/>
      <c r="U23" s="65"/>
      <c r="V23" s="287" t="s">
        <v>170</v>
      </c>
      <c r="W23" s="283"/>
      <c r="X23" s="110">
        <v>3</v>
      </c>
      <c r="Y23" s="109" t="s">
        <v>169</v>
      </c>
      <c r="Z23" s="61"/>
      <c r="AA23" s="61"/>
      <c r="AB23" s="61"/>
    </row>
    <row r="24" spans="1:28" ht="13.5" thickBot="1" x14ac:dyDescent="0.25">
      <c r="A24" s="61"/>
      <c r="B24" s="82" t="s">
        <v>168</v>
      </c>
      <c r="C24" s="81" t="s">
        <v>167</v>
      </c>
      <c r="D24" s="81">
        <f>+D13</f>
        <v>17</v>
      </c>
      <c r="E24" s="80" t="s">
        <v>147</v>
      </c>
      <c r="F24" s="65"/>
      <c r="G24" s="61"/>
      <c r="H24" s="249" t="s">
        <v>166</v>
      </c>
      <c r="I24" s="250"/>
      <c r="J24" s="70" t="s">
        <v>165</v>
      </c>
      <c r="K24" s="93">
        <f>K21-D19</f>
        <v>707.82727272727266</v>
      </c>
      <c r="L24" s="69" t="s">
        <v>127</v>
      </c>
      <c r="M24" s="61"/>
      <c r="N24" s="61"/>
      <c r="O24" s="282" t="s">
        <v>164</v>
      </c>
      <c r="P24" s="282"/>
      <c r="R24" s="62">
        <f>+D19*D20*D16*D15</f>
        <v>46887.272727272728</v>
      </c>
      <c r="S24" s="62" t="s">
        <v>163</v>
      </c>
      <c r="T24" s="62"/>
      <c r="U24" s="62"/>
      <c r="V24" s="298" t="s">
        <v>162</v>
      </c>
      <c r="W24" s="285"/>
      <c r="X24" s="108">
        <v>200000</v>
      </c>
      <c r="Y24" s="107" t="s">
        <v>136</v>
      </c>
      <c r="Z24" s="62"/>
      <c r="AA24" s="61"/>
      <c r="AB24" s="61"/>
    </row>
    <row r="25" spans="1:28" ht="13.5" thickBot="1" x14ac:dyDescent="0.25">
      <c r="A25" s="61"/>
      <c r="B25" s="82" t="s">
        <v>161</v>
      </c>
      <c r="C25" s="81" t="s">
        <v>160</v>
      </c>
      <c r="D25" s="81">
        <v>22</v>
      </c>
      <c r="E25" s="80" t="s">
        <v>147</v>
      </c>
      <c r="F25" s="65"/>
      <c r="G25" s="61"/>
      <c r="H25" s="249" t="s">
        <v>159</v>
      </c>
      <c r="I25" s="250"/>
      <c r="J25" s="70" t="s">
        <v>158</v>
      </c>
      <c r="K25" s="93">
        <f>+K21</f>
        <v>857.49999999999989</v>
      </c>
      <c r="L25" s="69" t="s">
        <v>127</v>
      </c>
      <c r="M25" s="61"/>
      <c r="N25" s="61"/>
      <c r="O25" s="282" t="s">
        <v>157</v>
      </c>
      <c r="P25" s="282"/>
      <c r="Q25" s="62"/>
      <c r="R25" s="62"/>
      <c r="S25" s="62"/>
      <c r="T25" s="62"/>
      <c r="U25" s="62"/>
      <c r="V25" s="303" t="s">
        <v>156</v>
      </c>
      <c r="W25" s="304"/>
      <c r="X25" s="106">
        <f>+X21/D11+X22*X23+X24+X20</f>
        <v>17591761.904761907</v>
      </c>
      <c r="Y25" s="105" t="s">
        <v>136</v>
      </c>
      <c r="Z25" s="62"/>
      <c r="AA25" s="61"/>
      <c r="AB25" s="61"/>
    </row>
    <row r="26" spans="1:28" x14ac:dyDescent="0.2">
      <c r="A26" s="61"/>
      <c r="B26" s="82" t="s">
        <v>155</v>
      </c>
      <c r="C26" s="81" t="s">
        <v>154</v>
      </c>
      <c r="D26" s="81">
        <v>75</v>
      </c>
      <c r="E26" s="80" t="s">
        <v>147</v>
      </c>
      <c r="F26" s="65"/>
      <c r="G26" s="61"/>
      <c r="H26" s="249" t="s">
        <v>153</v>
      </c>
      <c r="I26" s="250"/>
      <c r="J26" s="70" t="s">
        <v>152</v>
      </c>
      <c r="K26" s="93">
        <f>+K23</f>
        <v>823.19999999999982</v>
      </c>
      <c r="L26" s="69" t="s">
        <v>127</v>
      </c>
      <c r="M26" s="61"/>
      <c r="N26" s="61"/>
      <c r="O26" s="62"/>
      <c r="P26" s="62"/>
      <c r="Q26" s="62"/>
      <c r="R26" s="62"/>
      <c r="S26" s="62"/>
      <c r="T26" s="62"/>
      <c r="U26" s="62"/>
      <c r="V26" s="294" t="s">
        <v>151</v>
      </c>
      <c r="W26" s="295"/>
      <c r="X26" s="104">
        <f>+D19*D16*D15*D14</f>
        <v>28737.163636363635</v>
      </c>
      <c r="Y26" s="103" t="s">
        <v>150</v>
      </c>
      <c r="Z26" s="62">
        <f>+X26*X27*12</f>
        <v>620722734.5454545</v>
      </c>
      <c r="AA26" s="61"/>
      <c r="AB26" s="61"/>
    </row>
    <row r="27" spans="1:28" ht="13.5" thickBot="1" x14ac:dyDescent="0.25">
      <c r="A27" s="61"/>
      <c r="B27" s="82" t="s">
        <v>149</v>
      </c>
      <c r="C27" s="18" t="s">
        <v>148</v>
      </c>
      <c r="D27" s="81">
        <v>93.5</v>
      </c>
      <c r="E27" s="80" t="s">
        <v>147</v>
      </c>
      <c r="F27" s="65"/>
      <c r="G27" s="61"/>
      <c r="H27" s="249" t="s">
        <v>146</v>
      </c>
      <c r="I27" s="250"/>
      <c r="J27" s="70" t="s">
        <v>145</v>
      </c>
      <c r="K27" s="93">
        <f>K26*D25/D26</f>
        <v>241.47199999999992</v>
      </c>
      <c r="L27" s="69" t="s">
        <v>127</v>
      </c>
      <c r="M27" s="61"/>
      <c r="N27" s="61"/>
      <c r="O27" s="62"/>
      <c r="P27" s="62"/>
      <c r="Q27" s="62"/>
      <c r="R27" s="62"/>
      <c r="S27" s="62"/>
      <c r="T27" s="62"/>
      <c r="U27" s="62"/>
      <c r="V27" s="301" t="s">
        <v>144</v>
      </c>
      <c r="W27" s="302"/>
      <c r="X27" s="102">
        <v>1800</v>
      </c>
      <c r="Y27" s="101" t="s">
        <v>143</v>
      </c>
      <c r="Z27" s="62"/>
      <c r="AA27" s="61"/>
      <c r="AB27" s="61"/>
    </row>
    <row r="28" spans="1:28" ht="13.5" thickBot="1" x14ac:dyDescent="0.25">
      <c r="A28" s="61"/>
      <c r="B28" s="100" t="s">
        <v>142</v>
      </c>
      <c r="C28" s="99" t="s">
        <v>141</v>
      </c>
      <c r="D28" s="48" t="s">
        <v>140</v>
      </c>
      <c r="E28" s="98" t="s">
        <v>101</v>
      </c>
      <c r="F28" s="65"/>
      <c r="G28" s="61"/>
      <c r="H28" s="278" t="s">
        <v>139</v>
      </c>
      <c r="I28" s="279"/>
      <c r="J28" s="97" t="s">
        <v>138</v>
      </c>
      <c r="K28" s="96">
        <f>D19*D20</f>
        <v>488.40909090909093</v>
      </c>
      <c r="L28" s="69" t="s">
        <v>127</v>
      </c>
      <c r="M28" s="61"/>
      <c r="N28" s="61"/>
      <c r="O28" s="62"/>
      <c r="P28" s="62"/>
      <c r="Q28" s="62"/>
      <c r="R28" s="62"/>
      <c r="S28" s="62"/>
      <c r="T28" s="62"/>
      <c r="U28" s="62"/>
      <c r="V28" s="299" t="s">
        <v>137</v>
      </c>
      <c r="W28" s="300"/>
      <c r="X28" s="95">
        <f>+X27*X26</f>
        <v>51726894.545454547</v>
      </c>
      <c r="Y28" s="94" t="s">
        <v>136</v>
      </c>
      <c r="Z28" s="62"/>
      <c r="AA28" s="61"/>
      <c r="AB28" s="61"/>
    </row>
    <row r="29" spans="1:28" x14ac:dyDescent="0.2">
      <c r="A29" s="61"/>
      <c r="B29" s="92" t="s">
        <v>135</v>
      </c>
      <c r="C29" s="18" t="s">
        <v>134</v>
      </c>
      <c r="D29" s="48">
        <v>0.45</v>
      </c>
      <c r="E29" s="49" t="s">
        <v>49</v>
      </c>
      <c r="F29" s="65"/>
      <c r="G29" s="61"/>
      <c r="H29" s="249" t="s">
        <v>133</v>
      </c>
      <c r="I29" s="250"/>
      <c r="J29" s="70" t="s">
        <v>132</v>
      </c>
      <c r="K29" s="93">
        <f>K18-K19</f>
        <v>583.33333333333337</v>
      </c>
      <c r="L29" s="69" t="s">
        <v>127</v>
      </c>
      <c r="M29" s="61"/>
      <c r="N29" s="61"/>
      <c r="O29" s="62"/>
      <c r="P29" s="62"/>
      <c r="Q29" s="62"/>
      <c r="R29" s="62"/>
      <c r="S29" s="62"/>
      <c r="T29" s="62"/>
      <c r="U29" s="62"/>
      <c r="V29" s="61"/>
      <c r="W29" s="61"/>
      <c r="X29" s="61"/>
      <c r="Y29" s="61"/>
      <c r="Z29" s="62"/>
      <c r="AA29" s="61"/>
      <c r="AB29" s="61"/>
    </row>
    <row r="30" spans="1:28" ht="15.75" thickBot="1" x14ac:dyDescent="0.25">
      <c r="A30" s="61"/>
      <c r="B30" s="92" t="s">
        <v>131</v>
      </c>
      <c r="C30" s="91" t="s">
        <v>130</v>
      </c>
      <c r="D30" s="90">
        <v>1.8</v>
      </c>
      <c r="E30" s="49"/>
      <c r="F30" s="65"/>
      <c r="G30" s="61"/>
      <c r="H30" s="276" t="s">
        <v>129</v>
      </c>
      <c r="I30" s="277"/>
      <c r="J30" s="89" t="s">
        <v>128</v>
      </c>
      <c r="K30" s="88">
        <f>K29*((100%-D35)/(100%-D29))</f>
        <v>488.40909090909093</v>
      </c>
      <c r="L30" s="63" t="s">
        <v>127</v>
      </c>
      <c r="M30" s="61"/>
      <c r="N30" s="61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1"/>
      <c r="AB30" s="61"/>
    </row>
    <row r="31" spans="1:28" ht="13.5" thickBot="1" x14ac:dyDescent="0.25">
      <c r="A31" s="61"/>
      <c r="B31" s="82" t="s">
        <v>126</v>
      </c>
      <c r="C31" s="81" t="s">
        <v>125</v>
      </c>
      <c r="D31" s="83">
        <v>0.6</v>
      </c>
      <c r="E31" s="80" t="s">
        <v>49</v>
      </c>
      <c r="F31" s="65"/>
      <c r="G31" s="61"/>
      <c r="H31" s="87"/>
      <c r="I31" s="87"/>
      <c r="J31" s="87"/>
      <c r="K31" s="86"/>
      <c r="L31" s="86"/>
      <c r="M31" s="61"/>
      <c r="N31" s="61"/>
      <c r="O31" s="62"/>
      <c r="P31" s="62"/>
      <c r="Q31" s="62"/>
      <c r="R31" s="62"/>
      <c r="S31" s="62"/>
      <c r="T31" s="62"/>
      <c r="U31" s="62"/>
      <c r="V31" s="62"/>
      <c r="W31" s="62"/>
      <c r="X31" s="85">
        <f>+X28-X25</f>
        <v>34135132.640692636</v>
      </c>
      <c r="Y31" s="84">
        <f>+X31*12*5</f>
        <v>2048107958.4415581</v>
      </c>
      <c r="Z31" s="62"/>
      <c r="AA31" s="61"/>
      <c r="AB31" s="61"/>
    </row>
    <row r="32" spans="1:28" ht="13.5" thickBot="1" x14ac:dyDescent="0.25">
      <c r="A32" s="61"/>
      <c r="B32" s="82" t="s">
        <v>124</v>
      </c>
      <c r="C32" s="81" t="s">
        <v>123</v>
      </c>
      <c r="D32" s="83">
        <v>0.14000000000000001</v>
      </c>
      <c r="E32" s="80" t="s">
        <v>49</v>
      </c>
      <c r="F32" s="65"/>
      <c r="G32" s="61"/>
      <c r="H32" s="257" t="s">
        <v>122</v>
      </c>
      <c r="I32" s="258"/>
      <c r="J32" s="258"/>
      <c r="K32" s="258"/>
      <c r="L32" s="259"/>
      <c r="M32" s="61"/>
      <c r="N32" s="61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1"/>
      <c r="AB32" s="61"/>
    </row>
    <row r="33" spans="1:28" x14ac:dyDescent="0.2">
      <c r="A33" s="61"/>
      <c r="B33" s="82" t="s">
        <v>121</v>
      </c>
      <c r="C33" s="81" t="s">
        <v>120</v>
      </c>
      <c r="D33" s="81">
        <v>1610</v>
      </c>
      <c r="E33" s="80" t="s">
        <v>97</v>
      </c>
      <c r="F33" s="65"/>
      <c r="G33" s="61"/>
      <c r="H33" s="251" t="s">
        <v>119</v>
      </c>
      <c r="I33" s="252"/>
      <c r="J33" s="79" t="s">
        <v>118</v>
      </c>
      <c r="K33" s="79">
        <f>(K25*R16*(R8-D34)+(K25-K26)*R12)/3600</f>
        <v>84.747298349351425</v>
      </c>
      <c r="L33" s="78" t="s">
        <v>102</v>
      </c>
      <c r="M33" s="61"/>
      <c r="N33" s="61"/>
      <c r="O33" s="62"/>
      <c r="P33" s="62"/>
      <c r="Q33" s="62">
        <v>16622</v>
      </c>
      <c r="R33" s="62"/>
      <c r="S33" s="62"/>
      <c r="T33" s="62"/>
      <c r="U33" s="62"/>
      <c r="V33" s="62"/>
      <c r="W33" s="62"/>
      <c r="X33" s="62"/>
      <c r="Y33" s="62"/>
      <c r="Z33" s="62"/>
      <c r="AA33" s="61"/>
      <c r="AB33" s="61"/>
    </row>
    <row r="34" spans="1:28" ht="13.5" thickBot="1" x14ac:dyDescent="0.25">
      <c r="A34" s="61"/>
      <c r="B34" s="77" t="s">
        <v>117</v>
      </c>
      <c r="C34" s="76" t="s">
        <v>116</v>
      </c>
      <c r="D34" s="76">
        <v>25</v>
      </c>
      <c r="E34" s="75" t="s">
        <v>45</v>
      </c>
      <c r="F34" s="65"/>
      <c r="G34" s="61"/>
      <c r="H34" s="253" t="s">
        <v>115</v>
      </c>
      <c r="I34" s="254"/>
      <c r="J34" s="70" t="s">
        <v>114</v>
      </c>
      <c r="K34" s="70">
        <f>(K26*R17*(R9-R8)+(K26-K27)*R13)/3600</f>
        <v>374.97518204032178</v>
      </c>
      <c r="L34" s="69" t="s">
        <v>102</v>
      </c>
      <c r="M34" s="61"/>
      <c r="N34" s="61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1"/>
      <c r="AB34" s="61"/>
    </row>
    <row r="35" spans="1:28" x14ac:dyDescent="0.2">
      <c r="A35" s="61"/>
      <c r="B35" s="73" t="s">
        <v>113</v>
      </c>
      <c r="C35" s="72" t="s">
        <v>112</v>
      </c>
      <c r="D35" s="74">
        <f>((K19-K19*(D31+D32))-(K19-K19*(D31+D32))*(D24/100))/(K19*(1-D31))</f>
        <v>0.53949999999999998</v>
      </c>
      <c r="E35" s="71" t="s">
        <v>49</v>
      </c>
      <c r="F35" s="65"/>
      <c r="G35" s="61"/>
      <c r="H35" s="253" t="s">
        <v>111</v>
      </c>
      <c r="I35" s="254"/>
      <c r="J35" s="70" t="s">
        <v>110</v>
      </c>
      <c r="K35" s="70">
        <f>(K27*R18*(R10-R9)+(K27-D19)*R14)/3600</f>
        <v>60.003256186986071</v>
      </c>
      <c r="L35" s="69" t="s">
        <v>102</v>
      </c>
      <c r="M35" s="61"/>
      <c r="N35" s="61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1"/>
      <c r="AB35" s="61"/>
    </row>
    <row r="36" spans="1:28" x14ac:dyDescent="0.2">
      <c r="A36" s="61"/>
      <c r="B36" s="73" t="s">
        <v>109</v>
      </c>
      <c r="C36" s="72" t="s">
        <v>108</v>
      </c>
      <c r="D36" s="72">
        <f>760*EXP(-0.0001158*D33)</f>
        <v>630.73161123067814</v>
      </c>
      <c r="E36" s="71" t="s">
        <v>107</v>
      </c>
      <c r="F36" s="65"/>
      <c r="G36" s="61"/>
      <c r="H36" s="253" t="s">
        <v>70</v>
      </c>
      <c r="I36" s="254"/>
      <c r="J36" s="70" t="s">
        <v>103</v>
      </c>
      <c r="K36" s="70">
        <f>SUM(K33:K35)</f>
        <v>519.7257365766593</v>
      </c>
      <c r="L36" s="69" t="s">
        <v>102</v>
      </c>
      <c r="M36" s="61"/>
      <c r="N36" s="61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1"/>
      <c r="AB36" s="61"/>
    </row>
    <row r="37" spans="1:28" ht="13.5" thickBot="1" x14ac:dyDescent="0.25">
      <c r="A37" s="61"/>
      <c r="B37" s="68" t="s">
        <v>106</v>
      </c>
      <c r="C37" s="67" t="s">
        <v>105</v>
      </c>
      <c r="D37" s="67">
        <f>-227.03+3816.44/(18.3036-LN(7.5*(D36*133.3224/1000)))</f>
        <v>94.84769841995157</v>
      </c>
      <c r="E37" s="66" t="s">
        <v>45</v>
      </c>
      <c r="F37" s="65"/>
      <c r="G37" s="61"/>
      <c r="H37" s="255" t="s">
        <v>104</v>
      </c>
      <c r="I37" s="256"/>
      <c r="J37" s="64" t="s">
        <v>103</v>
      </c>
      <c r="K37" s="64">
        <f>(K19*(R10-D34)*R16+K24*((R12+R14)/2))/3600</f>
        <v>539.56859978469754</v>
      </c>
      <c r="L37" s="63" t="s">
        <v>102</v>
      </c>
      <c r="M37" s="61"/>
      <c r="N37" s="61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1"/>
      <c r="AB37" s="61"/>
    </row>
  </sheetData>
  <mergeCells count="89">
    <mergeCell ref="V9:W9"/>
    <mergeCell ref="V19:W19"/>
    <mergeCell ref="V28:W28"/>
    <mergeCell ref="V21:W21"/>
    <mergeCell ref="V27:W27"/>
    <mergeCell ref="V22:W22"/>
    <mergeCell ref="V23:W23"/>
    <mergeCell ref="V24:W24"/>
    <mergeCell ref="V26:W26"/>
    <mergeCell ref="V25:W25"/>
    <mergeCell ref="V18:W18"/>
    <mergeCell ref="V20:W20"/>
    <mergeCell ref="V15:W15"/>
    <mergeCell ref="V16:W16"/>
    <mergeCell ref="V17:W17"/>
    <mergeCell ref="O13:P13"/>
    <mergeCell ref="O8:P8"/>
    <mergeCell ref="V2:Y2"/>
    <mergeCell ref="V10:Y10"/>
    <mergeCell ref="V11:W11"/>
    <mergeCell ref="V3:Y3"/>
    <mergeCell ref="V4:W4"/>
    <mergeCell ref="V5:W5"/>
    <mergeCell ref="V6:W6"/>
    <mergeCell ref="V7:W7"/>
    <mergeCell ref="V12:W12"/>
    <mergeCell ref="V13:W13"/>
    <mergeCell ref="O10:P10"/>
    <mergeCell ref="V14:W14"/>
    <mergeCell ref="V8:W8"/>
    <mergeCell ref="K3:L3"/>
    <mergeCell ref="K4:L4"/>
    <mergeCell ref="K5:L5"/>
    <mergeCell ref="K6:L6"/>
    <mergeCell ref="H12:J12"/>
    <mergeCell ref="H3:J3"/>
    <mergeCell ref="H4:J4"/>
    <mergeCell ref="H30:I30"/>
    <mergeCell ref="H14:J14"/>
    <mergeCell ref="H28:I28"/>
    <mergeCell ref="H15:J15"/>
    <mergeCell ref="O20:P20"/>
    <mergeCell ref="O24:P24"/>
    <mergeCell ref="O25:P25"/>
    <mergeCell ref="H25:I25"/>
    <mergeCell ref="O17:P17"/>
    <mergeCell ref="H27:I27"/>
    <mergeCell ref="H23:I23"/>
    <mergeCell ref="H24:I24"/>
    <mergeCell ref="H26:I26"/>
    <mergeCell ref="H20:I20"/>
    <mergeCell ref="O11:S11"/>
    <mergeCell ref="H37:I37"/>
    <mergeCell ref="O22:P22"/>
    <mergeCell ref="H9:J9"/>
    <mergeCell ref="H33:I33"/>
    <mergeCell ref="O18:P18"/>
    <mergeCell ref="H34:I34"/>
    <mergeCell ref="H35:I35"/>
    <mergeCell ref="O15:S15"/>
    <mergeCell ref="O16:P16"/>
    <mergeCell ref="H32:L32"/>
    <mergeCell ref="H36:I36"/>
    <mergeCell ref="O21:P21"/>
    <mergeCell ref="H22:I22"/>
    <mergeCell ref="H29:I29"/>
    <mergeCell ref="O14:P14"/>
    <mergeCell ref="O2:S2"/>
    <mergeCell ref="H18:I18"/>
    <mergeCell ref="O3:S3"/>
    <mergeCell ref="H19:I19"/>
    <mergeCell ref="O4:P4"/>
    <mergeCell ref="O5:P5"/>
    <mergeCell ref="O6:P6"/>
    <mergeCell ref="O7:S7"/>
    <mergeCell ref="O12:P12"/>
    <mergeCell ref="K2:L2"/>
    <mergeCell ref="H10:J10"/>
    <mergeCell ref="H11:J11"/>
    <mergeCell ref="H17:L17"/>
    <mergeCell ref="O9:P9"/>
    <mergeCell ref="H13:J13"/>
    <mergeCell ref="H8:J8"/>
    <mergeCell ref="H21:I21"/>
    <mergeCell ref="H2:J2"/>
    <mergeCell ref="H5:J5"/>
    <mergeCell ref="H6:J6"/>
    <mergeCell ref="B2:E6"/>
    <mergeCell ref="B18:E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3B58D-2A49-41C0-9B94-F62E2723C8E1}">
  <sheetPr codeName="Hoja2"/>
  <dimension ref="A1:Q136"/>
  <sheetViews>
    <sheetView topLeftCell="A87" zoomScaleNormal="100" workbookViewId="0">
      <selection activeCell="E135" sqref="E135"/>
    </sheetView>
  </sheetViews>
  <sheetFormatPr baseColWidth="10" defaultColWidth="11.5703125" defaultRowHeight="12.75" x14ac:dyDescent="0.2"/>
  <cols>
    <col min="1" max="3" width="11.42578125" style="8" customWidth="1"/>
    <col min="4" max="4" width="17.28515625" style="8" bestFit="1" customWidth="1"/>
    <col min="5" max="5" width="29.7109375" style="8" bestFit="1" customWidth="1"/>
    <col min="6" max="9" width="21.42578125" style="8" customWidth="1"/>
    <col min="10" max="10" width="25.28515625" style="8" bestFit="1" customWidth="1"/>
    <col min="11" max="15" width="11.42578125" style="8" customWidth="1"/>
    <col min="16" max="17" width="11.5703125" style="8"/>
    <col min="18" max="18" width="26.42578125" style="8" bestFit="1" customWidth="1"/>
    <col min="19" max="16384" width="11.5703125" style="8"/>
  </cols>
  <sheetData>
    <row r="1" spans="1:14" ht="13.5" hidden="1" thickBot="1" x14ac:dyDescent="0.25">
      <c r="A1" s="179"/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</row>
    <row r="2" spans="1:14" hidden="1" x14ac:dyDescent="0.2">
      <c r="A2" s="179"/>
      <c r="B2" s="311" t="s">
        <v>8</v>
      </c>
      <c r="C2" s="312"/>
      <c r="D2" s="313"/>
      <c r="E2" s="179"/>
      <c r="F2" s="311" t="s">
        <v>27</v>
      </c>
      <c r="G2" s="312"/>
      <c r="H2" s="313"/>
      <c r="I2" s="179"/>
      <c r="J2" s="311" t="s">
        <v>28</v>
      </c>
      <c r="K2" s="312"/>
      <c r="L2" s="313"/>
      <c r="M2" s="179"/>
      <c r="N2" s="179"/>
    </row>
    <row r="3" spans="1:14" hidden="1" x14ac:dyDescent="0.2">
      <c r="A3" s="179"/>
      <c r="B3" s="9" t="s">
        <v>22</v>
      </c>
      <c r="C3" s="180">
        <v>0.65</v>
      </c>
      <c r="D3" s="181"/>
      <c r="E3" s="179"/>
      <c r="F3" s="9" t="s">
        <v>9</v>
      </c>
      <c r="G3" s="10">
        <f>balance_general(C4,C8,C5,C6,C6,C7,C3,5%,0,0.86,25,1)</f>
        <v>337839.76590511366</v>
      </c>
      <c r="H3" s="181" t="s">
        <v>10</v>
      </c>
      <c r="I3" s="179"/>
      <c r="J3" s="9" t="s">
        <v>29</v>
      </c>
      <c r="K3" s="10">
        <v>413.39</v>
      </c>
      <c r="L3" s="181" t="s">
        <v>1</v>
      </c>
      <c r="M3" s="179"/>
      <c r="N3" s="179"/>
    </row>
    <row r="4" spans="1:14" hidden="1" x14ac:dyDescent="0.2">
      <c r="A4" s="179"/>
      <c r="B4" s="9" t="s">
        <v>2</v>
      </c>
      <c r="C4" s="10">
        <v>150</v>
      </c>
      <c r="D4" s="181" t="s">
        <v>1</v>
      </c>
      <c r="E4" s="179"/>
      <c r="F4" s="9" t="s">
        <v>11</v>
      </c>
      <c r="G4" s="10">
        <f>balance_general(C4,C8,C5,C6,C6,C7,C3,5%,0,0.86,25,5)</f>
        <v>1355893.2581010349</v>
      </c>
      <c r="H4" s="181" t="s">
        <v>10</v>
      </c>
      <c r="I4" s="179"/>
      <c r="J4" s="9" t="s">
        <v>31</v>
      </c>
      <c r="K4" s="10">
        <v>172</v>
      </c>
      <c r="L4" s="181" t="s">
        <v>30</v>
      </c>
      <c r="M4" s="179"/>
      <c r="N4" s="179"/>
    </row>
    <row r="5" spans="1:14" hidden="1" x14ac:dyDescent="0.2">
      <c r="A5" s="179"/>
      <c r="B5" s="9" t="s">
        <v>4</v>
      </c>
      <c r="C5" s="10">
        <v>17</v>
      </c>
      <c r="D5" s="181"/>
      <c r="E5" s="179"/>
      <c r="F5" s="9" t="s">
        <v>12</v>
      </c>
      <c r="G5" s="10">
        <f>balance_general(C4,C8,C5,C6,C6,C7,C3,5%,0,0.86,25,8)</f>
        <v>88995.045257112914</v>
      </c>
      <c r="H5" s="181" t="s">
        <v>10</v>
      </c>
      <c r="I5" s="179"/>
      <c r="J5" s="9" t="s">
        <v>32</v>
      </c>
      <c r="K5" s="10">
        <f>2214590/1000</f>
        <v>2214.59</v>
      </c>
      <c r="L5" s="181" t="s">
        <v>25</v>
      </c>
      <c r="M5" s="179"/>
      <c r="N5" s="179"/>
    </row>
    <row r="6" spans="1:14" hidden="1" x14ac:dyDescent="0.2">
      <c r="A6" s="179"/>
      <c r="B6" s="9" t="s">
        <v>5</v>
      </c>
      <c r="C6" s="10">
        <v>18</v>
      </c>
      <c r="D6" s="181"/>
      <c r="E6" s="179"/>
      <c r="F6" s="9" t="s">
        <v>9</v>
      </c>
      <c r="G6" s="10">
        <f>+G3/3600</f>
        <v>93.844379418087129</v>
      </c>
      <c r="H6" s="181" t="s">
        <v>13</v>
      </c>
      <c r="I6" s="179"/>
      <c r="J6" s="9" t="s">
        <v>9</v>
      </c>
      <c r="K6" s="10">
        <f>+G3</f>
        <v>337839.76590511366</v>
      </c>
      <c r="L6" s="181" t="s">
        <v>10</v>
      </c>
      <c r="M6" s="179"/>
      <c r="N6" s="179"/>
    </row>
    <row r="7" spans="1:14" hidden="1" x14ac:dyDescent="0.2">
      <c r="A7" s="179"/>
      <c r="B7" s="9" t="s">
        <v>6</v>
      </c>
      <c r="C7" s="10">
        <v>75</v>
      </c>
      <c r="D7" s="181"/>
      <c r="E7" s="179"/>
      <c r="F7" s="9" t="s">
        <v>11</v>
      </c>
      <c r="G7" s="10">
        <f>+G4/3600</f>
        <v>376.63701613917635</v>
      </c>
      <c r="H7" s="181" t="s">
        <v>13</v>
      </c>
      <c r="I7" s="179"/>
      <c r="J7" s="9" t="s">
        <v>11</v>
      </c>
      <c r="K7" s="10">
        <f>+K3*K5</f>
        <v>915489.36010000005</v>
      </c>
      <c r="L7" s="181" t="s">
        <v>10</v>
      </c>
      <c r="M7" s="179"/>
      <c r="N7" s="179"/>
    </row>
    <row r="8" spans="1:14" hidden="1" x14ac:dyDescent="0.2">
      <c r="A8" s="179"/>
      <c r="B8" s="9" t="s">
        <v>7</v>
      </c>
      <c r="C8" s="10">
        <v>93.4</v>
      </c>
      <c r="D8" s="181"/>
      <c r="E8" s="179"/>
      <c r="F8" s="9" t="s">
        <v>12</v>
      </c>
      <c r="G8" s="10">
        <f>+G5/3600</f>
        <v>24.720845904753588</v>
      </c>
      <c r="H8" s="181" t="s">
        <v>13</v>
      </c>
      <c r="I8" s="179"/>
      <c r="J8" s="9" t="s">
        <v>12</v>
      </c>
      <c r="K8" s="10">
        <f>+G5</f>
        <v>88995.045257112914</v>
      </c>
      <c r="L8" s="181" t="s">
        <v>10</v>
      </c>
      <c r="M8" s="179"/>
      <c r="N8" s="179"/>
    </row>
    <row r="9" spans="1:14" hidden="1" x14ac:dyDescent="0.2">
      <c r="A9" s="179"/>
      <c r="B9" s="9" t="s">
        <v>19</v>
      </c>
      <c r="C9" s="10">
        <f>+C4*C8/C7</f>
        <v>186.8</v>
      </c>
      <c r="D9" s="181" t="s">
        <v>1</v>
      </c>
      <c r="E9" s="179"/>
      <c r="F9" s="9" t="s">
        <v>17</v>
      </c>
      <c r="G9" s="180">
        <v>0.8</v>
      </c>
      <c r="H9" s="181"/>
      <c r="I9" s="179"/>
      <c r="J9" s="9" t="s">
        <v>9</v>
      </c>
      <c r="K9" s="10">
        <f>+K6/3600</f>
        <v>93.844379418087129</v>
      </c>
      <c r="L9" s="181" t="s">
        <v>13</v>
      </c>
      <c r="M9" s="179"/>
      <c r="N9" s="179"/>
    </row>
    <row r="10" spans="1:14" hidden="1" x14ac:dyDescent="0.2">
      <c r="A10" s="179"/>
      <c r="B10" s="9" t="s">
        <v>3</v>
      </c>
      <c r="C10" s="10">
        <f>+C4*C8/C6</f>
        <v>778.33333333333337</v>
      </c>
      <c r="D10" s="181" t="s">
        <v>1</v>
      </c>
      <c r="E10" s="179"/>
      <c r="F10" s="9" t="s">
        <v>9</v>
      </c>
      <c r="G10" s="10">
        <f>+G6/$G$9</f>
        <v>117.3054742726089</v>
      </c>
      <c r="H10" s="181" t="s">
        <v>13</v>
      </c>
      <c r="I10" s="179"/>
      <c r="J10" s="9" t="s">
        <v>11</v>
      </c>
      <c r="K10" s="10">
        <f>+K7/3600</f>
        <v>254.3026000277778</v>
      </c>
      <c r="L10" s="181" t="s">
        <v>13</v>
      </c>
      <c r="M10" s="179"/>
      <c r="N10" s="179"/>
    </row>
    <row r="11" spans="1:14" hidden="1" x14ac:dyDescent="0.2">
      <c r="A11" s="179"/>
      <c r="B11" s="9" t="s">
        <v>20</v>
      </c>
      <c r="C11" s="10">
        <f>balance_general(C4,C8,C5,C6,C6,C7,C3,5%,0,0.86,25,13)</f>
        <v>870.18633540372605</v>
      </c>
      <c r="D11" s="181" t="s">
        <v>1</v>
      </c>
      <c r="E11" s="179"/>
      <c r="F11" s="9" t="s">
        <v>11</v>
      </c>
      <c r="G11" s="10">
        <f>+G7/$G$9</f>
        <v>470.79627017397041</v>
      </c>
      <c r="H11" s="181" t="s">
        <v>13</v>
      </c>
      <c r="I11" s="179"/>
      <c r="J11" s="9" t="s">
        <v>12</v>
      </c>
      <c r="K11" s="10">
        <f>+K8/3600</f>
        <v>24.720845904753588</v>
      </c>
      <c r="L11" s="181" t="s">
        <v>13</v>
      </c>
      <c r="M11" s="179"/>
      <c r="N11" s="179"/>
    </row>
    <row r="12" spans="1:14" hidden="1" x14ac:dyDescent="0.2">
      <c r="A12" s="179"/>
      <c r="B12" s="9" t="s">
        <v>21</v>
      </c>
      <c r="C12" s="10">
        <f>balance_general(C4,C8,C5,C6,C6,C7,C3,5%,0,0.86,25,10)</f>
        <v>1338.7482083134253</v>
      </c>
      <c r="D12" s="181" t="s">
        <v>1</v>
      </c>
      <c r="E12" s="179"/>
      <c r="F12" s="9" t="s">
        <v>12</v>
      </c>
      <c r="G12" s="10">
        <f>+G8/$G$9</f>
        <v>30.901057380941985</v>
      </c>
      <c r="H12" s="181" t="s">
        <v>13</v>
      </c>
      <c r="I12" s="179"/>
      <c r="J12" s="9" t="s">
        <v>17</v>
      </c>
      <c r="K12" s="180">
        <v>0.8</v>
      </c>
      <c r="L12" s="181"/>
      <c r="M12" s="179"/>
      <c r="N12" s="179"/>
    </row>
    <row r="13" spans="1:14" hidden="1" x14ac:dyDescent="0.2">
      <c r="A13" s="179"/>
      <c r="B13" s="9" t="s">
        <v>23</v>
      </c>
      <c r="C13" s="10">
        <f>+C12-C11</f>
        <v>468.56187290969922</v>
      </c>
      <c r="D13" s="181" t="s">
        <v>1</v>
      </c>
      <c r="E13" s="179"/>
      <c r="F13" s="9" t="s">
        <v>14</v>
      </c>
      <c r="G13" s="180">
        <v>0.65</v>
      </c>
      <c r="H13" s="181"/>
      <c r="I13" s="179"/>
      <c r="J13" s="9" t="s">
        <v>9</v>
      </c>
      <c r="K13" s="10">
        <f>+K9/$G$9</f>
        <v>117.3054742726089</v>
      </c>
      <c r="L13" s="181" t="s">
        <v>13</v>
      </c>
      <c r="M13" s="179"/>
      <c r="N13" s="179"/>
    </row>
    <row r="14" spans="1:14" ht="13.5" hidden="1" thickBot="1" x14ac:dyDescent="0.25">
      <c r="A14" s="179"/>
      <c r="B14" s="182" t="s">
        <v>18</v>
      </c>
      <c r="C14" s="183">
        <v>0.53</v>
      </c>
      <c r="D14" s="184"/>
      <c r="E14" s="179"/>
      <c r="F14" s="9" t="s">
        <v>15</v>
      </c>
      <c r="G14" s="10">
        <f>+G16-SUM(G10:G12)</f>
        <v>333.30920098404988</v>
      </c>
      <c r="H14" s="181" t="s">
        <v>13</v>
      </c>
      <c r="I14" s="179"/>
      <c r="J14" s="9" t="s">
        <v>11</v>
      </c>
      <c r="K14" s="10">
        <f>+K10/$G$9</f>
        <v>317.87825003472221</v>
      </c>
      <c r="L14" s="181" t="s">
        <v>13</v>
      </c>
      <c r="M14" s="179"/>
      <c r="N14" s="179"/>
    </row>
    <row r="15" spans="1:14" hidden="1" x14ac:dyDescent="0.2">
      <c r="A15" s="179"/>
      <c r="B15" s="179"/>
      <c r="C15" s="179"/>
      <c r="D15" s="179"/>
      <c r="E15" s="179"/>
      <c r="F15" s="9" t="s">
        <v>16</v>
      </c>
      <c r="G15" s="10">
        <f>SUM(G10:G12)-+SUM(G6:G8)</f>
        <v>123.80056036550434</v>
      </c>
      <c r="H15" s="181" t="s">
        <v>13</v>
      </c>
      <c r="I15" s="179"/>
      <c r="J15" s="9" t="s">
        <v>12</v>
      </c>
      <c r="K15" s="10">
        <f>+K11/$G$9</f>
        <v>30.901057380941985</v>
      </c>
      <c r="L15" s="181" t="s">
        <v>13</v>
      </c>
      <c r="M15" s="179"/>
      <c r="N15" s="179"/>
    </row>
    <row r="16" spans="1:14" hidden="1" x14ac:dyDescent="0.2">
      <c r="A16" s="179"/>
      <c r="B16" s="179"/>
      <c r="C16" s="179"/>
      <c r="D16" s="179"/>
      <c r="E16" s="179"/>
      <c r="F16" s="9" t="s">
        <v>0</v>
      </c>
      <c r="G16" s="10">
        <f>+SUM(G10:G12)/G13</f>
        <v>952.31200281157123</v>
      </c>
      <c r="H16" s="181" t="s">
        <v>13</v>
      </c>
      <c r="I16" s="179"/>
      <c r="J16" s="9" t="s">
        <v>14</v>
      </c>
      <c r="K16" s="180">
        <v>0.65</v>
      </c>
      <c r="L16" s="181"/>
      <c r="M16" s="179"/>
      <c r="N16" s="179"/>
    </row>
    <row r="17" spans="1:17" ht="15" hidden="1" x14ac:dyDescent="0.2">
      <c r="A17" s="179"/>
      <c r="B17" s="179"/>
      <c r="C17" s="179"/>
      <c r="D17" s="179"/>
      <c r="E17" s="179"/>
      <c r="F17" s="9" t="s">
        <v>24</v>
      </c>
      <c r="G17" s="11">
        <f>(17.765-20.27*C14)*1000</f>
        <v>7021.9000000000005</v>
      </c>
      <c r="H17" s="181" t="s">
        <v>25</v>
      </c>
      <c r="I17" s="179"/>
      <c r="J17" s="9" t="s">
        <v>15</v>
      </c>
      <c r="K17" s="10">
        <f>+K19-SUM(K13:K15)</f>
        <v>250.96872860137785</v>
      </c>
      <c r="L17" s="181" t="s">
        <v>13</v>
      </c>
      <c r="M17" s="179"/>
      <c r="N17" s="179"/>
    </row>
    <row r="18" spans="1:17" hidden="1" x14ac:dyDescent="0.2">
      <c r="A18" s="179"/>
      <c r="B18" s="179"/>
      <c r="C18" s="179"/>
      <c r="D18" s="179"/>
      <c r="E18" s="179"/>
      <c r="F18" s="9" t="s">
        <v>26</v>
      </c>
      <c r="G18" s="10">
        <f>+G17*C13/3600</f>
        <v>913.94294871794932</v>
      </c>
      <c r="H18" s="181" t="s">
        <v>13</v>
      </c>
      <c r="I18" s="179"/>
      <c r="J18" s="9" t="s">
        <v>16</v>
      </c>
      <c r="K18" s="10">
        <f>SUM(K13:K15)-+SUM(K9:K11)</f>
        <v>93.216956337654551</v>
      </c>
      <c r="L18" s="181" t="s">
        <v>13</v>
      </c>
      <c r="M18" s="179"/>
      <c r="N18" s="179"/>
    </row>
    <row r="19" spans="1:17" hidden="1" x14ac:dyDescent="0.2">
      <c r="A19" s="179"/>
      <c r="B19" s="179"/>
      <c r="C19" s="179"/>
      <c r="D19" s="179"/>
      <c r="E19" s="179"/>
      <c r="F19" s="9" t="s">
        <v>33</v>
      </c>
      <c r="G19" s="10">
        <f>+G18-G16</f>
        <v>-38.369054093621912</v>
      </c>
      <c r="H19" s="181" t="s">
        <v>13</v>
      </c>
      <c r="I19" s="179"/>
      <c r="J19" s="9" t="s">
        <v>0</v>
      </c>
      <c r="K19" s="10">
        <f>+SUM(K13:K15)/K16</f>
        <v>717.05351028965094</v>
      </c>
      <c r="L19" s="181" t="s">
        <v>13</v>
      </c>
      <c r="M19" s="179"/>
      <c r="N19" s="179"/>
    </row>
    <row r="20" spans="1:17" ht="15.75" hidden="1" thickBot="1" x14ac:dyDescent="0.25">
      <c r="A20" s="179"/>
      <c r="B20" s="179"/>
      <c r="C20" s="185"/>
      <c r="D20" s="186"/>
      <c r="E20" s="186"/>
      <c r="F20" s="187" t="s">
        <v>35</v>
      </c>
      <c r="G20" s="188">
        <f>+G19*3600/G17</f>
        <v>-19.671113906070847</v>
      </c>
      <c r="H20" s="184" t="s">
        <v>1</v>
      </c>
      <c r="I20" s="179"/>
      <c r="J20" s="9" t="s">
        <v>24</v>
      </c>
      <c r="K20" s="11">
        <f>(17.765-20.27*C14)*1000</f>
        <v>7021.9000000000005</v>
      </c>
      <c r="L20" s="181" t="s">
        <v>25</v>
      </c>
      <c r="M20" s="179"/>
      <c r="N20" s="179"/>
    </row>
    <row r="21" spans="1:17" hidden="1" x14ac:dyDescent="0.2">
      <c r="A21" s="179"/>
      <c r="B21" s="179"/>
      <c r="C21" s="185"/>
      <c r="D21" s="186"/>
      <c r="E21" s="186"/>
      <c r="F21" s="179"/>
      <c r="G21" s="179"/>
      <c r="H21" s="179"/>
      <c r="I21" s="179"/>
      <c r="J21" s="9" t="s">
        <v>26</v>
      </c>
      <c r="K21" s="10">
        <f>+K20*C13/3600</f>
        <v>913.94294871794932</v>
      </c>
      <c r="L21" s="181" t="s">
        <v>13</v>
      </c>
      <c r="M21" s="179"/>
      <c r="N21" s="179"/>
    </row>
    <row r="22" spans="1:17" hidden="1" x14ac:dyDescent="0.2">
      <c r="A22" s="179"/>
      <c r="B22" s="179"/>
      <c r="C22" s="185"/>
      <c r="D22" s="186"/>
      <c r="E22" s="186"/>
      <c r="F22" s="179"/>
      <c r="G22" s="179"/>
      <c r="H22" s="179"/>
      <c r="I22" s="179"/>
      <c r="J22" s="9" t="s">
        <v>34</v>
      </c>
      <c r="K22" s="10">
        <f>+K21-K19</f>
        <v>196.88943842829838</v>
      </c>
      <c r="L22" s="181" t="s">
        <v>13</v>
      </c>
      <c r="M22" s="179"/>
      <c r="N22" s="179"/>
    </row>
    <row r="23" spans="1:17" hidden="1" x14ac:dyDescent="0.2">
      <c r="A23" s="179"/>
      <c r="B23" s="179"/>
      <c r="C23" s="179"/>
      <c r="D23" s="179"/>
      <c r="E23" s="179"/>
      <c r="F23" s="179"/>
      <c r="G23" s="179"/>
      <c r="H23" s="179"/>
      <c r="I23" s="179"/>
      <c r="J23" s="198" t="s">
        <v>36</v>
      </c>
      <c r="K23" s="199">
        <f>+K22*3600/K20</f>
        <v>100.94162240161127</v>
      </c>
      <c r="L23" s="200" t="s">
        <v>1</v>
      </c>
      <c r="M23" s="179"/>
      <c r="N23" s="179"/>
    </row>
    <row r="24" spans="1:17" x14ac:dyDescent="0.2">
      <c r="A24" s="201"/>
      <c r="B24" s="202"/>
      <c r="C24" s="20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3"/>
    </row>
    <row r="25" spans="1:17" ht="13.5" thickBot="1" x14ac:dyDescent="0.25">
      <c r="A25" s="204"/>
      <c r="B25" s="186"/>
      <c r="C25" s="186"/>
      <c r="D25" s="186"/>
      <c r="E25" s="186"/>
      <c r="F25" s="186"/>
      <c r="G25" s="186"/>
      <c r="H25" s="186"/>
      <c r="I25" s="186"/>
      <c r="J25" s="179"/>
      <c r="K25" s="179"/>
      <c r="L25" s="179"/>
      <c r="M25" s="186"/>
      <c r="N25" s="205"/>
    </row>
    <row r="26" spans="1:17" x14ac:dyDescent="0.2">
      <c r="A26" s="204"/>
      <c r="B26" s="179"/>
      <c r="C26" s="179"/>
      <c r="D26" s="189" t="s">
        <v>37</v>
      </c>
      <c r="E26" s="190">
        <f>+balance_general(F71,F70,F33,F47,F47,F59,K27,F48,0,E27,E28,10)</f>
        <v>1338.7482083134259</v>
      </c>
      <c r="F26" s="191" t="s">
        <v>1</v>
      </c>
      <c r="G26" s="186"/>
      <c r="H26" s="186"/>
      <c r="I26" s="186"/>
      <c r="J26" s="189" t="s">
        <v>313</v>
      </c>
      <c r="K26" s="209">
        <f>+E26-F32</f>
        <v>468.56187290969945</v>
      </c>
      <c r="L26" s="191" t="s">
        <v>1</v>
      </c>
      <c r="M26" s="186"/>
      <c r="N26" s="205"/>
      <c r="P26" s="186" t="s">
        <v>80</v>
      </c>
      <c r="Q26" s="186" t="s">
        <v>81</v>
      </c>
    </row>
    <row r="27" spans="1:17" x14ac:dyDescent="0.2">
      <c r="A27" s="204"/>
      <c r="B27" s="179"/>
      <c r="C27" s="179"/>
      <c r="D27" s="216" t="s">
        <v>42</v>
      </c>
      <c r="E27" s="217">
        <v>0.86</v>
      </c>
      <c r="F27" s="218" t="s">
        <v>43</v>
      </c>
      <c r="G27" s="186"/>
      <c r="H27" s="186"/>
      <c r="I27" s="179"/>
      <c r="J27" s="192" t="s">
        <v>38</v>
      </c>
      <c r="K27" s="180">
        <v>0.65</v>
      </c>
      <c r="L27" s="5" t="s">
        <v>49</v>
      </c>
      <c r="M27" s="186"/>
      <c r="N27" s="205"/>
      <c r="P27" s="186" t="s">
        <v>82</v>
      </c>
      <c r="Q27" s="186" t="s">
        <v>83</v>
      </c>
    </row>
    <row r="28" spans="1:17" ht="13.5" thickBot="1" x14ac:dyDescent="0.25">
      <c r="A28" s="204"/>
      <c r="B28" s="179"/>
      <c r="C28" s="179"/>
      <c r="D28" s="213" t="s">
        <v>44</v>
      </c>
      <c r="E28" s="214">
        <v>25</v>
      </c>
      <c r="F28" s="215" t="s">
        <v>45</v>
      </c>
      <c r="G28" s="186"/>
      <c r="H28" s="186"/>
      <c r="I28" s="179"/>
      <c r="J28" s="193" t="s">
        <v>314</v>
      </c>
      <c r="K28" s="188"/>
      <c r="L28" s="184" t="s">
        <v>49</v>
      </c>
      <c r="M28" s="186"/>
      <c r="N28" s="205"/>
      <c r="P28" s="186" t="s">
        <v>84</v>
      </c>
      <c r="Q28" s="186" t="s">
        <v>85</v>
      </c>
    </row>
    <row r="29" spans="1:17" s="166" customFormat="1" x14ac:dyDescent="0.2">
      <c r="A29" s="204"/>
      <c r="B29" s="179"/>
      <c r="C29" s="179"/>
      <c r="D29" s="221"/>
      <c r="E29" s="222"/>
      <c r="F29" s="222"/>
      <c r="G29" s="186"/>
      <c r="H29" s="186"/>
      <c r="I29" s="179"/>
      <c r="J29" s="185"/>
      <c r="K29" s="186"/>
      <c r="L29" s="186"/>
      <c r="M29" s="186"/>
      <c r="N29" s="205"/>
      <c r="P29" s="186"/>
      <c r="Q29" s="186"/>
    </row>
    <row r="30" spans="1:17" s="166" customFormat="1" x14ac:dyDescent="0.2">
      <c r="A30" s="204"/>
      <c r="B30" s="179"/>
      <c r="C30" s="179"/>
      <c r="D30" s="221"/>
      <c r="H30" s="186"/>
      <c r="I30" s="179"/>
      <c r="J30" s="185"/>
      <c r="K30" s="186"/>
      <c r="L30" s="186"/>
      <c r="M30" s="186"/>
      <c r="N30" s="205"/>
      <c r="P30" s="186"/>
      <c r="Q30" s="186"/>
    </row>
    <row r="31" spans="1:17" ht="13.5" thickBot="1" x14ac:dyDescent="0.25">
      <c r="A31" s="204"/>
      <c r="B31" s="179"/>
      <c r="C31" s="179"/>
      <c r="D31" s="186"/>
      <c r="H31" s="186"/>
      <c r="I31" s="179"/>
      <c r="J31" s="179"/>
      <c r="K31" s="186"/>
      <c r="L31" s="179"/>
      <c r="M31" s="186"/>
      <c r="N31" s="205"/>
    </row>
    <row r="32" spans="1:17" x14ac:dyDescent="0.2">
      <c r="A32" s="204"/>
      <c r="B32" s="179"/>
      <c r="C32" s="179"/>
      <c r="D32" s="186"/>
      <c r="E32" s="189" t="s">
        <v>41</v>
      </c>
      <c r="F32" s="194">
        <f>+balance_general(F71,F70,F33,F47,F47,F59,K27,F48,0,E27,E28,2)</f>
        <v>870.1863354037265</v>
      </c>
      <c r="G32" s="191" t="s">
        <v>1</v>
      </c>
      <c r="H32" s="186"/>
      <c r="I32" s="186"/>
      <c r="J32" s="186"/>
      <c r="K32" s="186"/>
      <c r="L32" s="179"/>
      <c r="M32" s="186"/>
      <c r="N32" s="205"/>
    </row>
    <row r="33" spans="1:14" ht="13.5" thickBot="1" x14ac:dyDescent="0.25">
      <c r="A33" s="204"/>
      <c r="B33" s="179"/>
      <c r="C33" s="179"/>
      <c r="E33" s="213" t="s">
        <v>315</v>
      </c>
      <c r="F33" s="214">
        <v>17</v>
      </c>
      <c r="G33" s="215" t="s">
        <v>40</v>
      </c>
      <c r="H33" s="186"/>
      <c r="I33" s="186"/>
      <c r="J33" s="186"/>
      <c r="K33" s="186"/>
      <c r="L33" s="179"/>
      <c r="M33" s="186"/>
      <c r="N33" s="205"/>
    </row>
    <row r="34" spans="1:14" ht="13.5" thickBot="1" x14ac:dyDescent="0.25">
      <c r="A34" s="204"/>
      <c r="B34" s="179"/>
      <c r="C34" s="179"/>
      <c r="D34" s="186"/>
      <c r="E34" s="186"/>
      <c r="F34" s="186"/>
      <c r="G34" s="186"/>
      <c r="H34" s="186"/>
      <c r="I34" s="186"/>
      <c r="J34" s="186"/>
      <c r="K34" s="186"/>
      <c r="L34" s="179"/>
      <c r="M34" s="186"/>
      <c r="N34" s="205"/>
    </row>
    <row r="35" spans="1:14" ht="13.5" thickBot="1" x14ac:dyDescent="0.25">
      <c r="A35" s="204"/>
      <c r="B35" s="179"/>
      <c r="C35" s="179"/>
      <c r="D35" s="186"/>
      <c r="E35" s="189" t="s">
        <v>320</v>
      </c>
      <c r="F35" s="194" t="e">
        <f>+balance_general(F68,F67,F36,F44,F44,F56,K24,F45,0,E24,E25,2)</f>
        <v>#VALUE!</v>
      </c>
      <c r="G35" s="191" t="s">
        <v>1</v>
      </c>
      <c r="H35" s="186"/>
      <c r="I35" s="186"/>
      <c r="J35" s="186"/>
      <c r="K35" s="186"/>
      <c r="L35" s="179"/>
      <c r="M35" s="186"/>
      <c r="N35" s="205"/>
    </row>
    <row r="36" spans="1:14" ht="13.5" thickBot="1" x14ac:dyDescent="0.25">
      <c r="A36" s="204"/>
      <c r="B36" s="179"/>
      <c r="C36" s="179"/>
      <c r="D36" s="186"/>
      <c r="E36" s="213" t="s">
        <v>315</v>
      </c>
      <c r="F36" s="214">
        <v>17</v>
      </c>
      <c r="G36" s="215" t="s">
        <v>40</v>
      </c>
      <c r="H36" s="186"/>
      <c r="I36" s="189" t="s">
        <v>51</v>
      </c>
      <c r="J36" s="195">
        <f>+balance_general(F71,F70,F33,F47,F47,F59,K27,F48,0,E27,E28,4)</f>
        <v>43.509316770186331</v>
      </c>
      <c r="K36" s="191" t="s">
        <v>1</v>
      </c>
      <c r="L36" s="179"/>
      <c r="M36" s="186"/>
      <c r="N36" s="205"/>
    </row>
    <row r="37" spans="1:14" ht="13.5" thickBot="1" x14ac:dyDescent="0.25">
      <c r="A37" s="204"/>
      <c r="B37" s="179"/>
      <c r="C37" s="179"/>
      <c r="D37" s="186"/>
      <c r="H37" s="186"/>
      <c r="I37" s="193" t="s">
        <v>52</v>
      </c>
      <c r="J37" s="188">
        <f>+delta_Tjugo(F47)+Tantoine(E27)</f>
        <v>96.132059126162318</v>
      </c>
      <c r="K37" s="184" t="s">
        <v>45</v>
      </c>
      <c r="L37" s="179"/>
      <c r="M37" s="186"/>
      <c r="N37" s="205"/>
    </row>
    <row r="38" spans="1:14" x14ac:dyDescent="0.2">
      <c r="A38" s="204"/>
      <c r="B38" s="179"/>
      <c r="C38" s="179"/>
      <c r="D38" s="186"/>
      <c r="E38" s="186"/>
      <c r="F38" s="186"/>
      <c r="G38" s="186"/>
      <c r="H38" s="186"/>
      <c r="I38" s="186"/>
      <c r="J38" s="186"/>
      <c r="K38" s="186"/>
      <c r="L38" s="179"/>
      <c r="M38" s="186"/>
      <c r="N38" s="205"/>
    </row>
    <row r="39" spans="1:14" ht="13.5" thickBot="1" x14ac:dyDescent="0.25">
      <c r="A39" s="204"/>
      <c r="B39" s="179"/>
      <c r="C39" s="179"/>
      <c r="D39" s="186"/>
      <c r="E39" s="186"/>
      <c r="F39" s="186"/>
      <c r="G39" s="186"/>
      <c r="H39" s="186"/>
      <c r="I39" s="186"/>
      <c r="J39" s="186"/>
      <c r="K39" s="186"/>
      <c r="L39" s="179"/>
      <c r="M39" s="186"/>
      <c r="N39" s="205"/>
    </row>
    <row r="40" spans="1:14" x14ac:dyDescent="0.2">
      <c r="A40" s="204"/>
      <c r="B40" s="179"/>
      <c r="C40" s="179"/>
      <c r="D40" s="177" t="s">
        <v>60</v>
      </c>
      <c r="E40" s="57">
        <f>+balance_general(F71,F70,F33,F47,F47,F59,K27,F48,0,E27,E28,1)</f>
        <v>337839.76590511389</v>
      </c>
      <c r="F40" s="178" t="s">
        <v>10</v>
      </c>
      <c r="G40" s="186"/>
      <c r="H40" s="186"/>
      <c r="I40" s="186"/>
      <c r="J40" s="186"/>
      <c r="K40" s="186"/>
      <c r="L40" s="179"/>
      <c r="M40" s="186"/>
      <c r="N40" s="205"/>
    </row>
    <row r="41" spans="1:14" x14ac:dyDescent="0.2">
      <c r="A41" s="204"/>
      <c r="B41" s="179"/>
      <c r="C41" s="179"/>
      <c r="D41" s="216" t="s">
        <v>59</v>
      </c>
      <c r="E41" s="219">
        <v>0.6</v>
      </c>
      <c r="F41" s="218" t="s">
        <v>49</v>
      </c>
      <c r="G41" s="186"/>
      <c r="H41" s="186"/>
      <c r="I41" s="186"/>
      <c r="J41" s="186"/>
      <c r="K41" s="186"/>
      <c r="L41" s="179"/>
      <c r="M41" s="186"/>
      <c r="N41" s="205"/>
    </row>
    <row r="42" spans="1:14" x14ac:dyDescent="0.2">
      <c r="A42" s="204"/>
      <c r="B42" s="179"/>
      <c r="C42" s="179"/>
      <c r="D42" s="216" t="s">
        <v>319</v>
      </c>
      <c r="E42" s="217">
        <v>30</v>
      </c>
      <c r="F42" s="218" t="s">
        <v>63</v>
      </c>
      <c r="G42" s="186"/>
      <c r="H42" s="186"/>
      <c r="I42" s="186"/>
      <c r="J42" s="186"/>
      <c r="K42" s="186"/>
      <c r="L42" s="179"/>
      <c r="M42" s="186"/>
      <c r="N42" s="205"/>
    </row>
    <row r="43" spans="1:14" x14ac:dyDescent="0.2">
      <c r="A43" s="204"/>
      <c r="B43" s="179"/>
      <c r="C43" s="179"/>
      <c r="D43" s="192" t="s">
        <v>64</v>
      </c>
      <c r="E43" s="196">
        <f>+Hvapor(Tantoine(E27+E42/14.5))</f>
        <v>2620.1928940679563</v>
      </c>
      <c r="F43" s="181" t="s">
        <v>25</v>
      </c>
      <c r="G43" s="186"/>
      <c r="H43" s="186"/>
      <c r="I43" s="186"/>
      <c r="J43" s="186"/>
      <c r="K43" s="186"/>
      <c r="L43" s="179"/>
      <c r="M43" s="186"/>
      <c r="N43" s="205"/>
    </row>
    <row r="44" spans="1:14" ht="13.5" thickBot="1" x14ac:dyDescent="0.25">
      <c r="A44" s="204"/>
      <c r="B44" s="179"/>
      <c r="C44" s="179"/>
      <c r="D44" s="193" t="s">
        <v>62</v>
      </c>
      <c r="E44" s="197">
        <f>+E40/E43/E41</f>
        <v>214.89497119975005</v>
      </c>
      <c r="F44" s="184" t="s">
        <v>1</v>
      </c>
      <c r="G44" s="186"/>
      <c r="H44" s="186"/>
      <c r="I44" s="186"/>
      <c r="J44" s="186"/>
      <c r="K44" s="186"/>
      <c r="L44" s="179"/>
      <c r="M44" s="186"/>
      <c r="N44" s="205"/>
    </row>
    <row r="45" spans="1:14" x14ac:dyDescent="0.2">
      <c r="A45" s="204"/>
      <c r="B45" s="179"/>
      <c r="C45" s="179"/>
      <c r="D45" s="186"/>
      <c r="E45" s="186"/>
      <c r="F45" s="186"/>
      <c r="G45" s="186"/>
      <c r="H45" s="186"/>
      <c r="I45" s="186"/>
      <c r="J45" s="186"/>
      <c r="K45" s="186"/>
      <c r="L45" s="179"/>
      <c r="M45" s="186"/>
      <c r="N45" s="205"/>
    </row>
    <row r="46" spans="1:14" ht="13.5" thickBot="1" x14ac:dyDescent="0.25">
      <c r="A46" s="204"/>
      <c r="B46" s="179"/>
      <c r="C46" s="179"/>
      <c r="D46" s="186"/>
      <c r="E46" s="186"/>
      <c r="F46" s="186"/>
      <c r="G46" s="186"/>
      <c r="H46" s="186"/>
      <c r="I46" s="186"/>
      <c r="J46" s="186"/>
      <c r="K46" s="186"/>
      <c r="L46" s="179"/>
      <c r="M46" s="186"/>
      <c r="N46" s="205"/>
    </row>
    <row r="47" spans="1:14" x14ac:dyDescent="0.2">
      <c r="A47" s="204"/>
      <c r="B47" s="179"/>
      <c r="C47" s="179"/>
      <c r="D47" s="186"/>
      <c r="E47" s="210" t="s">
        <v>316</v>
      </c>
      <c r="F47" s="211">
        <v>18</v>
      </c>
      <c r="G47" s="212" t="s">
        <v>40</v>
      </c>
      <c r="H47" s="186"/>
      <c r="I47" s="189" t="s">
        <v>53</v>
      </c>
      <c r="J47" s="195">
        <f>+balance_general(F71,F70,F33,F47,F47,F59,K27,F48,0,E27,E28,3)</f>
        <v>48.343685300189591</v>
      </c>
      <c r="K47" s="191" t="s">
        <v>1</v>
      </c>
      <c r="L47" s="179"/>
      <c r="M47" s="186"/>
      <c r="N47" s="205"/>
    </row>
    <row r="48" spans="1:14" ht="13.5" thickBot="1" x14ac:dyDescent="0.25">
      <c r="A48" s="204"/>
      <c r="B48" s="179"/>
      <c r="C48" s="179"/>
      <c r="D48" s="186"/>
      <c r="E48" s="192" t="s">
        <v>48</v>
      </c>
      <c r="F48" s="10">
        <v>0.05</v>
      </c>
      <c r="G48" s="181" t="s">
        <v>49</v>
      </c>
      <c r="H48" s="186"/>
      <c r="I48" s="193" t="s">
        <v>54</v>
      </c>
      <c r="J48" s="188">
        <f>+delta_Tjugo(F47)+Tantoine(E27)</f>
        <v>96.132059126162318</v>
      </c>
      <c r="K48" s="184" t="s">
        <v>45</v>
      </c>
      <c r="L48" s="179"/>
      <c r="M48" s="186"/>
      <c r="N48" s="205"/>
    </row>
    <row r="49" spans="1:14" ht="13.5" thickBot="1" x14ac:dyDescent="0.25">
      <c r="A49" s="204"/>
      <c r="B49" s="179"/>
      <c r="C49" s="179"/>
      <c r="D49" s="186"/>
      <c r="E49" s="193" t="s">
        <v>50</v>
      </c>
      <c r="F49" s="197">
        <f>+F32-J36-J47</f>
        <v>778.33333333335065</v>
      </c>
      <c r="G49" s="184" t="s">
        <v>1</v>
      </c>
      <c r="H49" s="186"/>
      <c r="I49" s="186"/>
      <c r="J49" s="186"/>
      <c r="K49" s="186"/>
      <c r="L49" s="179"/>
      <c r="M49" s="186"/>
      <c r="N49" s="205"/>
    </row>
    <row r="50" spans="1:14" x14ac:dyDescent="0.2">
      <c r="A50" s="204"/>
      <c r="B50" s="179"/>
      <c r="C50" s="179"/>
      <c r="D50" s="186"/>
      <c r="E50" s="186"/>
      <c r="F50" s="186"/>
      <c r="G50" s="186"/>
      <c r="H50" s="186"/>
      <c r="I50" s="186"/>
      <c r="J50" s="186"/>
      <c r="K50" s="186"/>
      <c r="L50" s="179"/>
      <c r="M50" s="186"/>
      <c r="N50" s="205"/>
    </row>
    <row r="51" spans="1:14" ht="13.5" thickBot="1" x14ac:dyDescent="0.25">
      <c r="A51" s="204"/>
      <c r="B51" s="179"/>
      <c r="C51" s="179"/>
      <c r="D51" s="186" t="s">
        <v>88</v>
      </c>
      <c r="E51" s="186"/>
      <c r="F51" s="186"/>
      <c r="G51" s="186"/>
      <c r="H51" s="186"/>
      <c r="I51" s="186"/>
      <c r="J51" s="186"/>
      <c r="K51" s="186"/>
      <c r="L51" s="179"/>
      <c r="M51" s="186"/>
      <c r="N51" s="205"/>
    </row>
    <row r="52" spans="1:14" x14ac:dyDescent="0.2">
      <c r="A52" s="204"/>
      <c r="B52" s="179"/>
      <c r="C52" s="179"/>
      <c r="D52" s="177" t="s">
        <v>60</v>
      </c>
      <c r="E52" s="57">
        <f>+balance_general(F71,F70,F33,F47,F47,F59,K27,F48,0,E27,E28,5)</f>
        <v>1321661.8654784965</v>
      </c>
      <c r="F52" s="178" t="s">
        <v>10</v>
      </c>
      <c r="G52" s="186"/>
      <c r="H52" s="186"/>
      <c r="I52" s="186"/>
      <c r="J52" s="186"/>
      <c r="K52" s="186"/>
      <c r="L52" s="179"/>
      <c r="M52" s="186"/>
      <c r="N52" s="205"/>
    </row>
    <row r="53" spans="1:14" x14ac:dyDescent="0.2">
      <c r="B53" s="179"/>
      <c r="C53" s="179"/>
      <c r="D53" s="220" t="s">
        <v>59</v>
      </c>
      <c r="E53" s="48">
        <v>0.6</v>
      </c>
      <c r="F53" s="49" t="s">
        <v>49</v>
      </c>
      <c r="G53" s="186"/>
      <c r="H53" s="186"/>
      <c r="I53" s="186"/>
      <c r="J53" s="186"/>
      <c r="K53" s="186"/>
      <c r="L53" s="179"/>
      <c r="M53" s="186"/>
      <c r="N53" s="205"/>
    </row>
    <row r="54" spans="1:14" x14ac:dyDescent="0.2">
      <c r="A54" s="204"/>
      <c r="B54" s="179"/>
      <c r="C54" s="179"/>
      <c r="D54" s="220" t="s">
        <v>319</v>
      </c>
      <c r="E54" s="18">
        <v>30</v>
      </c>
      <c r="F54" s="49" t="s">
        <v>63</v>
      </c>
      <c r="G54" s="186"/>
      <c r="H54" s="186"/>
      <c r="I54" s="186"/>
      <c r="J54" s="186"/>
      <c r="K54" s="186"/>
      <c r="L54" s="179"/>
      <c r="M54" s="186"/>
      <c r="N54" s="205"/>
    </row>
    <row r="55" spans="1:14" x14ac:dyDescent="0.2">
      <c r="A55" s="204"/>
      <c r="B55" s="179"/>
      <c r="C55" s="179"/>
      <c r="D55" s="192" t="s">
        <v>64</v>
      </c>
      <c r="E55" s="196">
        <f>+Hvapor(Tantoine(E27+E54/14.5))</f>
        <v>2620.1928940679563</v>
      </c>
      <c r="F55" s="181" t="s">
        <v>25</v>
      </c>
      <c r="G55" s="186"/>
      <c r="H55" s="186"/>
      <c r="I55" s="186"/>
      <c r="J55" s="186"/>
      <c r="K55" s="186"/>
      <c r="L55" s="179"/>
      <c r="M55" s="186"/>
      <c r="N55" s="205"/>
    </row>
    <row r="56" spans="1:14" ht="13.5" thickBot="1" x14ac:dyDescent="0.25">
      <c r="A56" s="204"/>
      <c r="B56" s="179"/>
      <c r="C56" s="179"/>
      <c r="D56" s="193" t="s">
        <v>62</v>
      </c>
      <c r="E56" s="197">
        <f>+E52/E55/E53</f>
        <v>840.68992812876627</v>
      </c>
      <c r="F56" s="184" t="s">
        <v>1</v>
      </c>
      <c r="G56" s="186"/>
      <c r="H56" s="186"/>
      <c r="I56" s="186"/>
      <c r="J56" s="186"/>
      <c r="K56" s="186"/>
      <c r="L56" s="179"/>
      <c r="M56" s="186"/>
      <c r="N56" s="205"/>
    </row>
    <row r="57" spans="1:14" x14ac:dyDescent="0.2">
      <c r="A57" s="204"/>
      <c r="B57" s="179"/>
      <c r="C57" s="179"/>
      <c r="D57" s="186"/>
      <c r="E57" s="186"/>
      <c r="F57" s="186"/>
      <c r="G57" s="186"/>
      <c r="H57" s="186"/>
      <c r="I57" s="186"/>
      <c r="J57" s="186"/>
      <c r="K57" s="186"/>
      <c r="L57" s="179"/>
      <c r="M57" s="186"/>
      <c r="N57" s="205"/>
    </row>
    <row r="58" spans="1:14" ht="13.5" thickBot="1" x14ac:dyDescent="0.25">
      <c r="A58" s="204"/>
      <c r="B58" s="179"/>
      <c r="C58" s="179"/>
      <c r="D58" s="186"/>
      <c r="E58" s="186"/>
      <c r="F58" s="186"/>
      <c r="G58" s="186"/>
      <c r="H58" s="186"/>
      <c r="I58" s="186"/>
      <c r="J58" s="186"/>
      <c r="K58" s="186"/>
      <c r="L58" s="179"/>
      <c r="M58" s="186"/>
      <c r="N58" s="205"/>
    </row>
    <row r="59" spans="1:14" x14ac:dyDescent="0.2">
      <c r="A59" s="204"/>
      <c r="B59" s="179"/>
      <c r="C59" s="179"/>
      <c r="D59" s="186"/>
      <c r="E59" s="210" t="s">
        <v>317</v>
      </c>
      <c r="F59" s="211">
        <v>70</v>
      </c>
      <c r="G59" s="212" t="s">
        <v>40</v>
      </c>
      <c r="H59" s="186"/>
      <c r="I59" s="189" t="s">
        <v>57</v>
      </c>
      <c r="J59" s="195">
        <f>+balance_general(F71,F70,F33,F47,F47,F59,K27,F48,0,E27,E28,7)</f>
        <v>578.19047619049684</v>
      </c>
      <c r="K59" s="191" t="s">
        <v>1</v>
      </c>
      <c r="L59" s="179"/>
      <c r="M59" s="186"/>
      <c r="N59" s="205"/>
    </row>
    <row r="60" spans="1:14" ht="13.5" thickBot="1" x14ac:dyDescent="0.25">
      <c r="A60" s="204"/>
      <c r="B60" s="179"/>
      <c r="C60" s="179"/>
      <c r="D60" s="186"/>
      <c r="E60" s="193" t="s">
        <v>56</v>
      </c>
      <c r="F60" s="197">
        <f>+balance_general(F71,F70,F33,F47,F47,F59,K27,F48,0,E27,E28,6)</f>
        <v>200.14285714285708</v>
      </c>
      <c r="G60" s="184" t="s">
        <v>1</v>
      </c>
      <c r="H60" s="186"/>
      <c r="I60" s="193" t="s">
        <v>54</v>
      </c>
      <c r="J60" s="188">
        <f>+delta_Tjugo(F59)+Tantoine(E27)</f>
        <v>105.91833309907624</v>
      </c>
      <c r="K60" s="184" t="s">
        <v>45</v>
      </c>
      <c r="L60" s="179"/>
      <c r="M60" s="186"/>
      <c r="N60" s="205"/>
    </row>
    <row r="61" spans="1:14" x14ac:dyDescent="0.2">
      <c r="A61" s="204"/>
      <c r="B61" s="179"/>
      <c r="C61" s="179"/>
      <c r="D61" s="186"/>
      <c r="E61" s="186"/>
      <c r="F61" s="186"/>
      <c r="G61" s="186"/>
      <c r="H61" s="186"/>
      <c r="I61" s="186"/>
      <c r="J61" s="186"/>
      <c r="K61" s="186"/>
      <c r="L61" s="179"/>
      <c r="M61" s="186"/>
      <c r="N61" s="205"/>
    </row>
    <row r="62" spans="1:14" ht="13.5" thickBot="1" x14ac:dyDescent="0.25">
      <c r="A62" s="204"/>
      <c r="B62" s="179"/>
      <c r="C62" s="179"/>
      <c r="D62" s="186" t="s">
        <v>88</v>
      </c>
      <c r="E62" s="186"/>
      <c r="F62" s="186"/>
      <c r="G62" s="186"/>
      <c r="H62" s="186"/>
      <c r="I62" s="186"/>
      <c r="J62" s="186"/>
      <c r="K62" s="186"/>
      <c r="L62" s="179"/>
      <c r="M62" s="186"/>
      <c r="N62" s="205"/>
    </row>
    <row r="63" spans="1:14" x14ac:dyDescent="0.2">
      <c r="A63" s="204"/>
      <c r="B63" s="179"/>
      <c r="C63" s="179"/>
      <c r="D63" s="177" t="s">
        <v>60</v>
      </c>
      <c r="E63" s="57">
        <f>+balance_general(F71,F70,F33,F47,F47,F59,K27,F48,0,E27,E28,8)</f>
        <v>120696.02349969323</v>
      </c>
      <c r="F63" s="178" t="s">
        <v>10</v>
      </c>
      <c r="G63" s="186"/>
      <c r="H63" s="186"/>
      <c r="I63" s="186"/>
      <c r="J63" s="186"/>
      <c r="K63" s="186"/>
      <c r="L63" s="179"/>
      <c r="M63" s="186"/>
      <c r="N63" s="205"/>
    </row>
    <row r="64" spans="1:14" x14ac:dyDescent="0.2">
      <c r="B64" s="179"/>
      <c r="C64" s="179"/>
      <c r="D64" s="220" t="s">
        <v>59</v>
      </c>
      <c r="E64" s="48">
        <v>0.6</v>
      </c>
      <c r="F64" s="49" t="s">
        <v>49</v>
      </c>
      <c r="G64" s="186"/>
      <c r="H64" s="186"/>
      <c r="I64" s="186"/>
      <c r="J64" s="186"/>
      <c r="K64" s="186"/>
      <c r="L64" s="179"/>
      <c r="M64" s="186"/>
      <c r="N64" s="205"/>
    </row>
    <row r="65" spans="1:14" x14ac:dyDescent="0.2">
      <c r="A65" s="204"/>
      <c r="B65" s="179"/>
      <c r="C65" s="179"/>
      <c r="D65" s="220" t="s">
        <v>319</v>
      </c>
      <c r="E65" s="18">
        <v>100</v>
      </c>
      <c r="F65" s="49" t="s">
        <v>63</v>
      </c>
      <c r="G65" s="186"/>
      <c r="H65" s="186"/>
      <c r="I65" s="186"/>
      <c r="J65" s="186"/>
      <c r="K65" s="186"/>
      <c r="L65" s="179"/>
      <c r="M65" s="186"/>
      <c r="N65" s="205"/>
    </row>
    <row r="66" spans="1:14" x14ac:dyDescent="0.2">
      <c r="A66" s="204"/>
      <c r="B66" s="179"/>
      <c r="C66" s="179"/>
      <c r="D66" s="192" t="s">
        <v>64</v>
      </c>
      <c r="E66" s="196">
        <f>+Hvapor(Tantoine(E27+E65/14.5))</f>
        <v>2678.3575368008528</v>
      </c>
      <c r="F66" s="181" t="s">
        <v>25</v>
      </c>
      <c r="G66" s="186"/>
      <c r="H66" s="186"/>
      <c r="I66" s="186"/>
      <c r="J66" s="186"/>
      <c r="K66" s="186"/>
      <c r="L66" s="179"/>
      <c r="M66" s="186"/>
      <c r="N66" s="205"/>
    </row>
    <row r="67" spans="1:14" ht="13.5" thickBot="1" x14ac:dyDescent="0.25">
      <c r="A67" s="204"/>
      <c r="B67" s="179"/>
      <c r="C67" s="179"/>
      <c r="D67" s="193" t="s">
        <v>62</v>
      </c>
      <c r="E67" s="197">
        <f>+E63/E66/E64</f>
        <v>75.105745369018109</v>
      </c>
      <c r="F67" s="184" t="s">
        <v>1</v>
      </c>
      <c r="G67" s="186"/>
      <c r="H67" s="186"/>
      <c r="I67" s="186"/>
      <c r="J67" s="186"/>
      <c r="K67" s="186"/>
      <c r="L67" s="179"/>
      <c r="M67" s="186"/>
      <c r="N67" s="205"/>
    </row>
    <row r="68" spans="1:14" x14ac:dyDescent="0.2">
      <c r="A68" s="204"/>
      <c r="B68" s="179"/>
      <c r="C68" s="179"/>
      <c r="D68" s="186"/>
      <c r="E68" s="186"/>
      <c r="F68" s="186"/>
      <c r="G68" s="186"/>
      <c r="H68" s="186"/>
      <c r="I68" s="186"/>
      <c r="J68" s="186"/>
      <c r="K68" s="186"/>
      <c r="L68" s="179"/>
      <c r="M68" s="186"/>
      <c r="N68" s="205"/>
    </row>
    <row r="69" spans="1:14" ht="13.5" thickBot="1" x14ac:dyDescent="0.25">
      <c r="A69" s="204"/>
      <c r="B69" s="179"/>
      <c r="C69" s="179"/>
      <c r="D69" s="186"/>
      <c r="E69" s="186"/>
      <c r="F69" s="186"/>
      <c r="G69" s="186"/>
      <c r="H69" s="186"/>
      <c r="I69" s="186"/>
      <c r="J69" s="186"/>
      <c r="K69" s="186"/>
      <c r="L69" s="179"/>
      <c r="M69" s="186"/>
      <c r="N69" s="205"/>
    </row>
    <row r="70" spans="1:14" x14ac:dyDescent="0.2">
      <c r="A70" s="204"/>
      <c r="B70" s="179"/>
      <c r="C70" s="179"/>
      <c r="D70" s="186"/>
      <c r="E70" s="210" t="s">
        <v>318</v>
      </c>
      <c r="F70" s="211">
        <v>93.4</v>
      </c>
      <c r="G70" s="212" t="s">
        <v>40</v>
      </c>
      <c r="H70" s="186"/>
      <c r="I70" s="189" t="s">
        <v>57</v>
      </c>
      <c r="J70" s="195">
        <f>+balance_general(F71,F70,F33,F47,F47,F59,K27,F48,0,E27,E28,9)</f>
        <v>50.142857142855533</v>
      </c>
      <c r="K70" s="191" t="s">
        <v>1</v>
      </c>
      <c r="L70" s="179"/>
      <c r="M70" s="186"/>
      <c r="N70" s="205"/>
    </row>
    <row r="71" spans="1:14" ht="13.5" thickBot="1" x14ac:dyDescent="0.25">
      <c r="A71" s="204"/>
      <c r="B71" s="179"/>
      <c r="C71" s="179"/>
      <c r="D71" s="186"/>
      <c r="E71" s="213" t="s">
        <v>58</v>
      </c>
      <c r="F71" s="214">
        <v>150</v>
      </c>
      <c r="G71" s="215" t="s">
        <v>1</v>
      </c>
      <c r="H71" s="186"/>
      <c r="I71" s="193" t="s">
        <v>54</v>
      </c>
      <c r="J71" s="188">
        <f>+delta_Tjugo(F70)+Tantoine(E27)</f>
        <v>133.13571484417076</v>
      </c>
      <c r="K71" s="184" t="s">
        <v>45</v>
      </c>
      <c r="L71" s="179"/>
      <c r="M71" s="186"/>
      <c r="N71" s="205"/>
    </row>
    <row r="72" spans="1:14" ht="13.5" thickBot="1" x14ac:dyDescent="0.25">
      <c r="A72" s="206"/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8"/>
    </row>
    <row r="73" spans="1:14" s="166" customFormat="1" x14ac:dyDescent="0.2">
      <c r="A73" s="201"/>
      <c r="B73" s="202"/>
      <c r="C73" s="202"/>
      <c r="D73" s="202"/>
      <c r="E73" s="202"/>
      <c r="F73" s="202"/>
      <c r="G73" s="202"/>
      <c r="H73" s="202"/>
      <c r="I73" s="202"/>
      <c r="J73" s="202"/>
      <c r="K73" s="202"/>
      <c r="L73" s="202"/>
      <c r="M73" s="202"/>
      <c r="N73" s="203"/>
    </row>
    <row r="74" spans="1:14" s="166" customFormat="1" x14ac:dyDescent="0.2">
      <c r="A74" s="204"/>
      <c r="B74" s="186"/>
      <c r="C74" s="186"/>
      <c r="D74" s="186"/>
      <c r="E74" s="186"/>
      <c r="F74" s="186"/>
      <c r="G74" s="186"/>
      <c r="H74" s="186"/>
      <c r="I74" s="186"/>
      <c r="J74" s="186"/>
      <c r="K74" s="186"/>
      <c r="L74" s="186"/>
      <c r="M74" s="186"/>
      <c r="N74" s="205"/>
    </row>
    <row r="75" spans="1:14" s="166" customFormat="1" x14ac:dyDescent="0.2">
      <c r="A75" s="204"/>
      <c r="B75" s="186"/>
      <c r="C75" s="186"/>
      <c r="D75" s="186"/>
      <c r="E75" s="186"/>
      <c r="F75" s="186"/>
      <c r="G75" s="186"/>
      <c r="H75" s="186"/>
      <c r="I75" s="186"/>
      <c r="J75" s="186"/>
      <c r="K75" s="186"/>
      <c r="L75" s="186"/>
      <c r="M75" s="186"/>
      <c r="N75" s="205"/>
    </row>
    <row r="76" spans="1:14" s="166" customFormat="1" x14ac:dyDescent="0.2">
      <c r="A76" s="204"/>
      <c r="B76" s="186"/>
      <c r="C76" s="186"/>
      <c r="D76" s="186"/>
      <c r="E76" s="186"/>
      <c r="F76" s="186"/>
      <c r="G76" s="186"/>
      <c r="H76" s="186"/>
      <c r="I76" s="186"/>
      <c r="J76" s="186"/>
      <c r="K76" s="186"/>
      <c r="L76" s="186"/>
      <c r="M76" s="186"/>
      <c r="N76" s="205"/>
    </row>
    <row r="77" spans="1:14" s="166" customFormat="1" x14ac:dyDescent="0.2">
      <c r="A77" s="204"/>
      <c r="B77" s="186"/>
      <c r="C77" s="186"/>
      <c r="D77" s="186"/>
      <c r="E77" s="186"/>
      <c r="F77" s="186"/>
      <c r="G77" s="186"/>
      <c r="H77" s="186"/>
      <c r="I77" s="186"/>
      <c r="J77" s="186"/>
      <c r="K77" s="186"/>
      <c r="L77" s="186"/>
      <c r="M77" s="186"/>
      <c r="N77" s="205"/>
    </row>
    <row r="78" spans="1:14" s="166" customFormat="1" x14ac:dyDescent="0.2">
      <c r="A78" s="204"/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205"/>
    </row>
    <row r="79" spans="1:14" s="166" customFormat="1" x14ac:dyDescent="0.2">
      <c r="A79" s="204"/>
      <c r="B79" s="186"/>
      <c r="C79" s="186"/>
      <c r="D79" s="186"/>
      <c r="E79" s="186"/>
      <c r="F79" s="186"/>
      <c r="G79" s="186"/>
      <c r="H79" s="186"/>
      <c r="I79" s="186"/>
      <c r="J79" s="186"/>
      <c r="K79" s="186"/>
      <c r="L79" s="186"/>
      <c r="M79" s="186"/>
      <c r="N79" s="205"/>
    </row>
    <row r="80" spans="1:14" s="166" customFormat="1" x14ac:dyDescent="0.2">
      <c r="A80" s="204"/>
      <c r="B80" s="186"/>
      <c r="C80" s="186"/>
      <c r="D80" s="186"/>
      <c r="E80" s="186"/>
      <c r="F80" s="186"/>
      <c r="G80" s="186"/>
      <c r="H80" s="186"/>
      <c r="I80" s="186"/>
      <c r="J80" s="186"/>
      <c r="K80" s="186"/>
      <c r="L80" s="186"/>
      <c r="M80" s="186"/>
      <c r="N80" s="205"/>
    </row>
    <row r="81" spans="1:14" s="166" customFormat="1" x14ac:dyDescent="0.2">
      <c r="A81" s="204"/>
      <c r="B81" s="186"/>
      <c r="C81" s="186"/>
      <c r="D81" s="186"/>
      <c r="E81" s="186"/>
      <c r="F81" s="186"/>
      <c r="G81" s="186"/>
      <c r="H81" s="186"/>
      <c r="I81" s="186"/>
      <c r="J81" s="186"/>
      <c r="K81" s="186"/>
      <c r="L81" s="186"/>
      <c r="M81" s="186"/>
      <c r="N81" s="205"/>
    </row>
    <row r="82" spans="1:14" s="166" customFormat="1" x14ac:dyDescent="0.2">
      <c r="A82" s="204"/>
      <c r="B82" s="186"/>
      <c r="C82" s="186"/>
      <c r="D82" s="186"/>
      <c r="E82" s="186"/>
      <c r="F82" s="186"/>
      <c r="G82" s="186"/>
      <c r="H82" s="186"/>
      <c r="I82" s="186"/>
      <c r="J82" s="186"/>
      <c r="K82" s="186"/>
      <c r="L82" s="186"/>
      <c r="M82" s="186"/>
      <c r="N82" s="205"/>
    </row>
    <row r="83" spans="1:14" s="166" customFormat="1" x14ac:dyDescent="0.2">
      <c r="A83" s="204"/>
      <c r="B83" s="186"/>
      <c r="C83" s="186"/>
      <c r="D83" s="186"/>
      <c r="E83" s="186"/>
      <c r="F83" s="186"/>
      <c r="G83" s="186"/>
      <c r="H83" s="186"/>
      <c r="I83" s="186"/>
      <c r="J83" s="186"/>
      <c r="K83" s="186"/>
      <c r="L83" s="186"/>
      <c r="M83" s="186"/>
      <c r="N83" s="205"/>
    </row>
    <row r="84" spans="1:14" s="166" customFormat="1" x14ac:dyDescent="0.2">
      <c r="A84" s="204"/>
      <c r="B84" s="186"/>
      <c r="C84" s="186"/>
      <c r="D84" s="186"/>
      <c r="E84" s="186"/>
      <c r="F84" s="186"/>
      <c r="G84" s="186"/>
      <c r="H84" s="186"/>
      <c r="I84" s="186"/>
      <c r="J84" s="186"/>
      <c r="K84" s="186"/>
      <c r="L84" s="186"/>
      <c r="M84" s="186"/>
      <c r="N84" s="205"/>
    </row>
    <row r="85" spans="1:14" s="166" customFormat="1" x14ac:dyDescent="0.2">
      <c r="A85" s="204"/>
      <c r="B85" s="186"/>
      <c r="C85" s="186"/>
      <c r="D85" s="186"/>
      <c r="E85" s="186"/>
      <c r="F85" s="186"/>
      <c r="G85" s="186"/>
      <c r="H85" s="186"/>
      <c r="I85" s="186"/>
      <c r="J85" s="186"/>
      <c r="K85" s="186"/>
      <c r="L85" s="186"/>
      <c r="M85" s="186"/>
      <c r="N85" s="205"/>
    </row>
    <row r="86" spans="1:14" s="166" customFormat="1" x14ac:dyDescent="0.2">
      <c r="A86" s="204"/>
      <c r="B86" s="186"/>
      <c r="C86" s="186"/>
      <c r="D86" s="186"/>
      <c r="E86" s="186"/>
      <c r="F86" s="186"/>
      <c r="G86" s="186"/>
      <c r="H86" s="186"/>
      <c r="I86" s="186"/>
      <c r="J86" s="186"/>
      <c r="K86" s="186"/>
      <c r="L86" s="186"/>
      <c r="M86" s="186"/>
      <c r="N86" s="205"/>
    </row>
    <row r="87" spans="1:14" s="166" customFormat="1" x14ac:dyDescent="0.2">
      <c r="A87" s="204"/>
      <c r="B87" s="186"/>
      <c r="C87" s="186"/>
      <c r="D87" s="186"/>
      <c r="E87" s="186"/>
      <c r="F87" s="186"/>
      <c r="G87" s="186"/>
      <c r="H87" s="186"/>
      <c r="I87" s="186"/>
      <c r="J87" s="186"/>
      <c r="K87" s="186"/>
      <c r="L87" s="186"/>
      <c r="M87" s="186"/>
      <c r="N87" s="205"/>
    </row>
    <row r="88" spans="1:14" s="166" customFormat="1" x14ac:dyDescent="0.2">
      <c r="A88" s="204"/>
      <c r="B88" s="186"/>
      <c r="C88" s="186"/>
      <c r="D88" s="186"/>
      <c r="E88" s="186"/>
      <c r="F88" s="186"/>
      <c r="G88" s="186"/>
      <c r="H88" s="186"/>
      <c r="I88" s="186"/>
      <c r="J88" s="186"/>
      <c r="K88" s="186"/>
      <c r="L88" s="186"/>
      <c r="M88" s="186"/>
      <c r="N88" s="205"/>
    </row>
    <row r="89" spans="1:14" s="166" customFormat="1" x14ac:dyDescent="0.2">
      <c r="A89" s="204"/>
      <c r="B89" s="186"/>
      <c r="C89" s="186"/>
      <c r="D89" s="186"/>
      <c r="E89" s="186"/>
      <c r="F89" s="186"/>
      <c r="G89" s="186"/>
      <c r="H89" s="186"/>
      <c r="I89" s="186"/>
      <c r="J89" s="186"/>
      <c r="K89" s="186"/>
      <c r="L89" s="186"/>
      <c r="M89" s="186"/>
      <c r="N89" s="205"/>
    </row>
    <row r="90" spans="1:14" s="166" customFormat="1" x14ac:dyDescent="0.2">
      <c r="A90" s="204"/>
      <c r="B90" s="186"/>
      <c r="C90" s="186"/>
      <c r="D90" s="186"/>
      <c r="E90" s="186"/>
      <c r="F90" s="186"/>
      <c r="G90" s="186"/>
      <c r="H90" s="186"/>
      <c r="I90" s="186"/>
      <c r="J90" s="186"/>
      <c r="K90" s="186"/>
      <c r="L90" s="186"/>
      <c r="M90" s="186"/>
      <c r="N90" s="205"/>
    </row>
    <row r="91" spans="1:14" s="166" customFormat="1" ht="13.5" thickBot="1" x14ac:dyDescent="0.25">
      <c r="A91" s="169"/>
      <c r="B91" s="170"/>
      <c r="C91" s="170"/>
      <c r="D91" s="170"/>
      <c r="E91" s="170"/>
      <c r="F91" s="170"/>
      <c r="G91" s="170"/>
      <c r="H91" s="170"/>
      <c r="I91" s="170"/>
      <c r="J91" s="170"/>
      <c r="K91" s="170"/>
      <c r="L91" s="170"/>
      <c r="M91" s="170"/>
      <c r="N91" s="171"/>
    </row>
    <row r="92" spans="1:14" s="166" customFormat="1" x14ac:dyDescent="0.2"/>
    <row r="93" spans="1:14" s="166" customFormat="1" x14ac:dyDescent="0.2"/>
    <row r="94" spans="1:14" x14ac:dyDescent="0.2">
      <c r="C94" s="8" t="s">
        <v>65</v>
      </c>
      <c r="G94" s="310" t="s">
        <v>89</v>
      </c>
      <c r="H94" s="310"/>
      <c r="I94" s="310"/>
    </row>
    <row r="95" spans="1:14" ht="13.5" thickBot="1" x14ac:dyDescent="0.25"/>
    <row r="96" spans="1:14" x14ac:dyDescent="0.2">
      <c r="C96" s="39"/>
      <c r="D96" s="40" t="s">
        <v>67</v>
      </c>
      <c r="E96" s="41" t="s">
        <v>71</v>
      </c>
      <c r="F96" s="23"/>
      <c r="G96" s="39"/>
      <c r="H96" s="40" t="s">
        <v>67</v>
      </c>
      <c r="I96" s="41" t="s">
        <v>71</v>
      </c>
      <c r="J96" s="8">
        <v>0.86</v>
      </c>
      <c r="K96" s="1"/>
      <c r="L96" s="1">
        <v>24</v>
      </c>
      <c r="M96" s="1" t="s">
        <v>90</v>
      </c>
    </row>
    <row r="97" spans="2:16" x14ac:dyDescent="0.2">
      <c r="C97" s="42" t="s">
        <v>66</v>
      </c>
      <c r="D97" s="23">
        <f>+E42</f>
        <v>30</v>
      </c>
      <c r="E97" s="44">
        <f>+E44</f>
        <v>214.89497119975005</v>
      </c>
      <c r="F97" s="23"/>
      <c r="G97" s="42" t="s">
        <v>66</v>
      </c>
      <c r="H97" s="23">
        <f>+D97</f>
        <v>30</v>
      </c>
      <c r="I97" s="44">
        <f>+E97</f>
        <v>214.89497119975005</v>
      </c>
      <c r="J97" s="8">
        <f>+J96*14.5</f>
        <v>12.47</v>
      </c>
      <c r="K97" s="1" t="s">
        <v>91</v>
      </c>
      <c r="L97" s="1">
        <f>1.5 *25.4</f>
        <v>38.099999999999994</v>
      </c>
      <c r="M97" s="1" t="s">
        <v>92</v>
      </c>
    </row>
    <row r="98" spans="2:16" x14ac:dyDescent="0.2">
      <c r="C98" s="42" t="s">
        <v>68</v>
      </c>
      <c r="D98" s="23">
        <f>+E54</f>
        <v>30</v>
      </c>
      <c r="E98" s="44">
        <f>+E56</f>
        <v>840.68992812876627</v>
      </c>
      <c r="F98" s="23"/>
      <c r="G98" s="42" t="s">
        <v>68</v>
      </c>
      <c r="H98" s="23">
        <f>+D98</f>
        <v>30</v>
      </c>
      <c r="I98" s="44">
        <v>436.27</v>
      </c>
      <c r="J98" s="8">
        <f>+J97+D97</f>
        <v>42.47</v>
      </c>
      <c r="K98" s="1" t="s">
        <v>94</v>
      </c>
      <c r="L98" s="1">
        <v>1.65</v>
      </c>
      <c r="M98" s="1" t="s">
        <v>92</v>
      </c>
    </row>
    <row r="99" spans="2:16" x14ac:dyDescent="0.2">
      <c r="C99" s="42" t="s">
        <v>69</v>
      </c>
      <c r="D99" s="23">
        <f>+E65</f>
        <v>100</v>
      </c>
      <c r="E99" s="44">
        <f>+E67</f>
        <v>75.105745369018109</v>
      </c>
      <c r="F99" s="23"/>
      <c r="G99" s="42" t="s">
        <v>69</v>
      </c>
      <c r="H99" s="23">
        <f>+D99</f>
        <v>100</v>
      </c>
      <c r="I99" s="44">
        <f t="shared" ref="I99" si="0">+E99</f>
        <v>75.105745369018109</v>
      </c>
      <c r="K99" s="1" t="s">
        <v>93</v>
      </c>
      <c r="L99" s="1">
        <f>+L97-2*L98</f>
        <v>34.799999999999997</v>
      </c>
      <c r="M99" s="1" t="s">
        <v>92</v>
      </c>
    </row>
    <row r="100" spans="2:16" ht="13.5" thickBot="1" x14ac:dyDescent="0.25">
      <c r="C100" s="43" t="s">
        <v>70</v>
      </c>
      <c r="D100" s="52">
        <v>130</v>
      </c>
      <c r="E100" s="45">
        <f>+SUM(E97:E99)</f>
        <v>1130.6906446975345</v>
      </c>
      <c r="F100" s="23"/>
      <c r="G100" s="43" t="s">
        <v>70</v>
      </c>
      <c r="H100" s="52">
        <f>+D100</f>
        <v>130</v>
      </c>
      <c r="I100" s="44">
        <f>+SUM(I97:I99)</f>
        <v>726.27071656876808</v>
      </c>
      <c r="J100" s="8">
        <f>+J97+F97</f>
        <v>12.47</v>
      </c>
      <c r="K100" s="1" t="s">
        <v>95</v>
      </c>
      <c r="L100" s="1">
        <f>+PI()*(L99/1000)</f>
        <v>0.10932742434492479</v>
      </c>
      <c r="M100" s="1" t="s">
        <v>98</v>
      </c>
    </row>
    <row r="101" spans="2:16" ht="13.5" thickBot="1" x14ac:dyDescent="0.25">
      <c r="G101" s="20"/>
      <c r="H101" s="20"/>
      <c r="I101" s="20"/>
      <c r="K101" s="1" t="s">
        <v>96</v>
      </c>
      <c r="L101" s="1">
        <f>+L96/L100</f>
        <v>219.52405943709704</v>
      </c>
      <c r="M101" s="1" t="s">
        <v>97</v>
      </c>
    </row>
    <row r="102" spans="2:16" x14ac:dyDescent="0.2">
      <c r="C102" s="34" t="s">
        <v>76</v>
      </c>
      <c r="D102" s="35">
        <f>+Hvapor(D100/14.5+E27)-hagua(D100/14.5+E27)</f>
        <v>2487.2462724137931</v>
      </c>
      <c r="E102" s="36" t="s">
        <v>25</v>
      </c>
      <c r="G102" s="34" t="s">
        <v>76</v>
      </c>
      <c r="H102" s="35">
        <f>+Hvapor(H100/14.5+H24)-hagua(H100/14.5+H24)</f>
        <v>2489.4951724137932</v>
      </c>
      <c r="I102" s="36" t="s">
        <v>25</v>
      </c>
      <c r="K102" s="1" t="s">
        <v>100</v>
      </c>
      <c r="L102" s="1">
        <v>1.5</v>
      </c>
      <c r="M102" s="1" t="s">
        <v>97</v>
      </c>
    </row>
    <row r="103" spans="2:16" x14ac:dyDescent="0.2">
      <c r="B103" s="8" t="s">
        <v>86</v>
      </c>
      <c r="C103" s="37" t="s">
        <v>72</v>
      </c>
      <c r="D103" s="46">
        <v>0.6</v>
      </c>
      <c r="E103" s="38"/>
      <c r="G103" s="37" t="s">
        <v>72</v>
      </c>
      <c r="H103" s="46">
        <v>0.6</v>
      </c>
      <c r="I103" s="38"/>
      <c r="K103" s="1" t="s">
        <v>99</v>
      </c>
      <c r="L103" s="1">
        <f>+L101/L102</f>
        <v>146.34937295806469</v>
      </c>
      <c r="M103" s="1" t="s">
        <v>101</v>
      </c>
    </row>
    <row r="104" spans="2:16" x14ac:dyDescent="0.2">
      <c r="B104" s="8" t="s">
        <v>87</v>
      </c>
      <c r="C104" s="37" t="s">
        <v>73</v>
      </c>
      <c r="D104" s="46">
        <v>0.53</v>
      </c>
      <c r="E104" s="38"/>
      <c r="G104" s="37" t="s">
        <v>73</v>
      </c>
      <c r="H104" s="46">
        <v>0.52</v>
      </c>
      <c r="I104" s="38"/>
    </row>
    <row r="105" spans="2:16" x14ac:dyDescent="0.2">
      <c r="C105" s="37" t="s">
        <v>74</v>
      </c>
      <c r="D105" s="23">
        <f>+PCI_bagazo(D104)</f>
        <v>7064.5000000000009</v>
      </c>
      <c r="E105" s="38" t="s">
        <v>25</v>
      </c>
      <c r="G105" s="37" t="s">
        <v>74</v>
      </c>
      <c r="H105" s="23">
        <f>+PCI_bagazo(H104)</f>
        <v>7268.0000000000009</v>
      </c>
      <c r="I105" s="38" t="s">
        <v>25</v>
      </c>
    </row>
    <row r="106" spans="2:16" x14ac:dyDescent="0.2">
      <c r="C106" s="37" t="s">
        <v>77</v>
      </c>
      <c r="D106" s="23">
        <f>+E100*D102/D103</f>
        <v>4687176.818795152</v>
      </c>
      <c r="E106" s="38" t="s">
        <v>10</v>
      </c>
      <c r="G106" s="37" t="s">
        <v>77</v>
      </c>
      <c r="H106" s="23">
        <f>+I100*H102/H103</f>
        <v>3013412.4046057574</v>
      </c>
      <c r="I106" s="38" t="s">
        <v>10</v>
      </c>
    </row>
    <row r="107" spans="2:16" x14ac:dyDescent="0.2">
      <c r="C107" s="37" t="s">
        <v>75</v>
      </c>
      <c r="D107" s="23">
        <f>+D106/D105</f>
        <v>663.48316495083179</v>
      </c>
      <c r="E107" s="38" t="s">
        <v>1</v>
      </c>
      <c r="G107" s="37" t="s">
        <v>75</v>
      </c>
      <c r="H107" s="23">
        <f>+H106/H105</f>
        <v>414.61370454124341</v>
      </c>
      <c r="I107" s="38" t="s">
        <v>1</v>
      </c>
    </row>
    <row r="108" spans="2:16" x14ac:dyDescent="0.2">
      <c r="C108" s="37" t="s">
        <v>78</v>
      </c>
      <c r="D108" s="47">
        <f>+E26-F32</f>
        <v>468.56187290969945</v>
      </c>
      <c r="E108" s="38" t="s">
        <v>1</v>
      </c>
      <c r="G108" s="37" t="s">
        <v>78</v>
      </c>
      <c r="H108" s="47">
        <f>+E26-F32</f>
        <v>468.56187290969945</v>
      </c>
      <c r="I108" s="38" t="s">
        <v>1</v>
      </c>
    </row>
    <row r="109" spans="2:16" ht="13.5" thickBot="1" x14ac:dyDescent="0.25">
      <c r="C109" s="53" t="s">
        <v>79</v>
      </c>
      <c r="D109" s="54">
        <f>+D108-D107</f>
        <v>-194.92129204113235</v>
      </c>
      <c r="E109" s="55" t="s">
        <v>1</v>
      </c>
      <c r="G109" s="53" t="s">
        <v>79</v>
      </c>
      <c r="H109" s="54">
        <f>+H108-H107</f>
        <v>53.948168368456038</v>
      </c>
      <c r="I109" s="55" t="s">
        <v>1</v>
      </c>
    </row>
    <row r="112" spans="2:16" x14ac:dyDescent="0.2">
      <c r="B112" s="165"/>
      <c r="C112" s="165" t="s">
        <v>303</v>
      </c>
      <c r="D112" s="165"/>
      <c r="E112" s="165"/>
      <c r="F112" s="310" t="s">
        <v>306</v>
      </c>
      <c r="G112" s="310"/>
      <c r="H112" s="310"/>
      <c r="I112" s="310"/>
      <c r="J112" s="165"/>
      <c r="K112" s="165"/>
      <c r="L112" s="165"/>
      <c r="M112" s="165"/>
      <c r="N112" s="165"/>
      <c r="O112" s="165"/>
      <c r="P112" s="165"/>
    </row>
    <row r="113" spans="2:16" ht="13.5" thickBot="1" x14ac:dyDescent="0.25">
      <c r="B113" s="165"/>
      <c r="C113" s="165"/>
      <c r="D113" s="165"/>
      <c r="E113" s="165"/>
      <c r="F113" s="165"/>
      <c r="G113" s="165"/>
      <c r="H113" s="165"/>
      <c r="I113" s="165"/>
      <c r="J113" s="165"/>
      <c r="K113" s="165"/>
      <c r="L113" s="165"/>
      <c r="M113" s="165"/>
      <c r="N113" s="165"/>
      <c r="O113" s="165"/>
      <c r="P113" s="165"/>
    </row>
    <row r="114" spans="2:16" ht="38.25" customHeight="1" x14ac:dyDescent="0.2">
      <c r="B114" s="307" t="s">
        <v>305</v>
      </c>
      <c r="C114" s="159" t="s">
        <v>298</v>
      </c>
      <c r="D114" s="157">
        <f>+E63+E52+E40</f>
        <v>1780197.6548833037</v>
      </c>
      <c r="E114" s="25" t="s">
        <v>301</v>
      </c>
      <c r="F114" s="307" t="s">
        <v>305</v>
      </c>
      <c r="G114" s="159" t="s">
        <v>298</v>
      </c>
      <c r="H114" s="157">
        <f>+D114</f>
        <v>1780197.6548833037</v>
      </c>
      <c r="I114" s="25" t="s">
        <v>301</v>
      </c>
      <c r="J114" s="307" t="s">
        <v>305</v>
      </c>
      <c r="K114" s="159" t="s">
        <v>298</v>
      </c>
      <c r="L114" s="157">
        <f>+H114</f>
        <v>1780197.6548833037</v>
      </c>
      <c r="M114" s="25" t="s">
        <v>301</v>
      </c>
      <c r="N114" s="165"/>
      <c r="O114" s="165"/>
      <c r="P114" s="165"/>
    </row>
    <row r="115" spans="2:16" x14ac:dyDescent="0.2">
      <c r="B115" s="308"/>
      <c r="C115" s="1" t="s">
        <v>297</v>
      </c>
      <c r="D115" s="1">
        <f>+D106</f>
        <v>4687176.818795152</v>
      </c>
      <c r="E115" s="5" t="s">
        <v>301</v>
      </c>
      <c r="F115" s="308"/>
      <c r="G115" s="1" t="s">
        <v>297</v>
      </c>
      <c r="H115" s="1">
        <f>+H106</f>
        <v>3013412.4046057574</v>
      </c>
      <c r="I115" s="5" t="s">
        <v>301</v>
      </c>
      <c r="J115" s="308"/>
      <c r="K115" s="1" t="s">
        <v>297</v>
      </c>
      <c r="L115" s="1">
        <f>+L114/L116</f>
        <v>3560395.3097666074</v>
      </c>
      <c r="M115" s="5" t="s">
        <v>301</v>
      </c>
      <c r="N115" s="165" t="s">
        <v>302</v>
      </c>
      <c r="O115" s="165">
        <v>166817.5728136031</v>
      </c>
      <c r="P115" s="165" t="s">
        <v>301</v>
      </c>
    </row>
    <row r="116" spans="2:16" x14ac:dyDescent="0.2">
      <c r="B116" s="308"/>
      <c r="C116" s="1" t="s">
        <v>300</v>
      </c>
      <c r="D116" s="155">
        <f>+D114/D115</f>
        <v>0.37980168525857044</v>
      </c>
      <c r="E116" s="5" t="s">
        <v>49</v>
      </c>
      <c r="F116" s="308"/>
      <c r="G116" s="1" t="s">
        <v>300</v>
      </c>
      <c r="H116" s="155">
        <f>+H114/H115</f>
        <v>0.59075805626950206</v>
      </c>
      <c r="I116" s="5" t="s">
        <v>49</v>
      </c>
      <c r="J116" s="308"/>
      <c r="K116" s="1" t="s">
        <v>300</v>
      </c>
      <c r="L116" s="155">
        <v>0.5</v>
      </c>
      <c r="M116" s="5" t="s">
        <v>49</v>
      </c>
      <c r="N116" s="165"/>
      <c r="O116" s="165"/>
      <c r="P116" s="165"/>
    </row>
    <row r="117" spans="2:16" x14ac:dyDescent="0.2">
      <c r="B117" s="308"/>
      <c r="C117" s="1" t="s">
        <v>75</v>
      </c>
      <c r="D117" s="1">
        <f>+D107</f>
        <v>663.48316495083179</v>
      </c>
      <c r="E117" s="5" t="s">
        <v>1</v>
      </c>
      <c r="F117" s="308"/>
      <c r="G117" s="1" t="s">
        <v>75</v>
      </c>
      <c r="H117" s="1">
        <f>+H107</f>
        <v>414.61370454124341</v>
      </c>
      <c r="I117" s="5" t="s">
        <v>1</v>
      </c>
      <c r="J117" s="308"/>
      <c r="K117" s="1" t="s">
        <v>75</v>
      </c>
      <c r="L117" s="23">
        <f>+L115/D105</f>
        <v>503.98404837803196</v>
      </c>
      <c r="M117" s="5" t="s">
        <v>1</v>
      </c>
      <c r="N117" s="165"/>
      <c r="O117" s="165"/>
      <c r="P117" s="165"/>
    </row>
    <row r="118" spans="2:16" x14ac:dyDescent="0.2">
      <c r="B118" s="308"/>
      <c r="C118" s="1" t="s">
        <v>299</v>
      </c>
      <c r="D118" s="156">
        <f>+D108</f>
        <v>468.56187290969945</v>
      </c>
      <c r="E118" s="5" t="s">
        <v>1</v>
      </c>
      <c r="F118" s="308"/>
      <c r="G118" s="1" t="s">
        <v>299</v>
      </c>
      <c r="H118" s="156">
        <f>+H108</f>
        <v>468.56187290969945</v>
      </c>
      <c r="I118" s="5" t="s">
        <v>1</v>
      </c>
      <c r="J118" s="308"/>
      <c r="K118" s="1" t="s">
        <v>299</v>
      </c>
      <c r="L118" s="156">
        <f>+H118</f>
        <v>468.56187290969945</v>
      </c>
      <c r="M118" s="5" t="s">
        <v>1</v>
      </c>
      <c r="N118" s="165"/>
      <c r="O118" s="165"/>
      <c r="P118" s="165"/>
    </row>
    <row r="119" spans="2:16" ht="13.5" thickBot="1" x14ac:dyDescent="0.25">
      <c r="B119" s="309"/>
      <c r="C119" s="160" t="s">
        <v>79</v>
      </c>
      <c r="D119" s="161">
        <f>+D109</f>
        <v>-194.92129204113235</v>
      </c>
      <c r="E119" s="162" t="s">
        <v>1</v>
      </c>
      <c r="F119" s="309"/>
      <c r="G119" s="28" t="s">
        <v>79</v>
      </c>
      <c r="H119" s="163">
        <f>+H109</f>
        <v>53.948168368456038</v>
      </c>
      <c r="I119" s="164" t="s">
        <v>1</v>
      </c>
      <c r="J119" s="309"/>
      <c r="K119" s="160" t="s">
        <v>79</v>
      </c>
      <c r="L119" s="161">
        <f>+L118-L117</f>
        <v>-35.422175468332512</v>
      </c>
      <c r="M119" s="162" t="s">
        <v>1</v>
      </c>
      <c r="N119" s="165"/>
      <c r="O119" s="165"/>
      <c r="P119" s="165"/>
    </row>
    <row r="120" spans="2:16" ht="38.25" customHeight="1" x14ac:dyDescent="0.2">
      <c r="B120" s="307" t="s">
        <v>304</v>
      </c>
      <c r="C120" s="159" t="s">
        <v>298</v>
      </c>
      <c r="D120" s="157">
        <f>+D114</f>
        <v>1780197.6548833037</v>
      </c>
      <c r="E120" s="25" t="s">
        <v>301</v>
      </c>
      <c r="F120" s="307" t="s">
        <v>304</v>
      </c>
      <c r="G120" s="159" t="s">
        <v>298</v>
      </c>
      <c r="H120" s="157">
        <f>+D120</f>
        <v>1780197.6548833037</v>
      </c>
      <c r="I120" s="25" t="s">
        <v>301</v>
      </c>
      <c r="J120" s="307" t="s">
        <v>304</v>
      </c>
      <c r="K120" s="159" t="s">
        <v>298</v>
      </c>
      <c r="L120" s="157">
        <f>+H120</f>
        <v>1780197.6548833037</v>
      </c>
      <c r="M120" s="25" t="s">
        <v>301</v>
      </c>
      <c r="N120" s="165"/>
      <c r="O120" s="165">
        <v>449800.49766007665</v>
      </c>
      <c r="P120" s="165"/>
    </row>
    <row r="121" spans="2:16" x14ac:dyDescent="0.2">
      <c r="B121" s="308"/>
      <c r="C121" s="1" t="s">
        <v>297</v>
      </c>
      <c r="D121" s="1">
        <f>+E100*D102/D103</f>
        <v>4687176.818795152</v>
      </c>
      <c r="E121" s="5" t="s">
        <v>301</v>
      </c>
      <c r="F121" s="308"/>
      <c r="G121" s="1" t="s">
        <v>297</v>
      </c>
      <c r="H121" s="1">
        <f>+H115</f>
        <v>3013412.4046057574</v>
      </c>
      <c r="I121" s="5" t="s">
        <v>301</v>
      </c>
      <c r="J121" s="308"/>
      <c r="K121" s="1" t="s">
        <v>297</v>
      </c>
      <c r="L121" s="1">
        <f>+L120/L122</f>
        <v>3560395.3097666074</v>
      </c>
      <c r="M121" s="5" t="s">
        <v>301</v>
      </c>
      <c r="N121" s="165"/>
      <c r="O121" s="61">
        <f>+N121*0.6</f>
        <v>0</v>
      </c>
      <c r="P121" s="165"/>
    </row>
    <row r="122" spans="2:16" x14ac:dyDescent="0.2">
      <c r="B122" s="308"/>
      <c r="C122" s="1" t="s">
        <v>300</v>
      </c>
      <c r="D122" s="155">
        <f>+D120/D121</f>
        <v>0.37980168525857044</v>
      </c>
      <c r="E122" s="5" t="s">
        <v>49</v>
      </c>
      <c r="F122" s="308"/>
      <c r="G122" s="1" t="s">
        <v>300</v>
      </c>
      <c r="H122" s="155">
        <f>+H120/H121</f>
        <v>0.59075805626950206</v>
      </c>
      <c r="I122" s="5" t="s">
        <v>49</v>
      </c>
      <c r="J122" s="308"/>
      <c r="K122" s="1" t="s">
        <v>300</v>
      </c>
      <c r="L122" s="155">
        <v>0.5</v>
      </c>
      <c r="M122" s="5" t="s">
        <v>49</v>
      </c>
      <c r="N122" s="165"/>
      <c r="O122" s="165"/>
      <c r="P122" s="165"/>
    </row>
    <row r="123" spans="2:16" x14ac:dyDescent="0.2">
      <c r="B123" s="308"/>
      <c r="C123" s="1" t="s">
        <v>75</v>
      </c>
      <c r="D123" s="1">
        <f>+D121/D127</f>
        <v>399.07848606174127</v>
      </c>
      <c r="E123" s="5" t="s">
        <v>1</v>
      </c>
      <c r="F123" s="308"/>
      <c r="G123" s="1" t="s">
        <v>75</v>
      </c>
      <c r="H123" s="1">
        <f>+H121/H127</f>
        <v>256.56980882126498</v>
      </c>
      <c r="I123" s="5" t="s">
        <v>1</v>
      </c>
      <c r="J123" s="308"/>
      <c r="K123" s="1" t="s">
        <v>75</v>
      </c>
      <c r="L123" s="23">
        <f>+L121/L127</f>
        <v>303.14136311337649</v>
      </c>
      <c r="M123" s="5" t="s">
        <v>1</v>
      </c>
      <c r="N123" s="165"/>
      <c r="O123" s="165"/>
      <c r="P123" s="165"/>
    </row>
    <row r="124" spans="2:16" x14ac:dyDescent="0.2">
      <c r="B124" s="308"/>
      <c r="C124" s="1" t="s">
        <v>299</v>
      </c>
      <c r="D124" s="156">
        <f>+L128</f>
        <v>314.6058289536553</v>
      </c>
      <c r="E124" s="5" t="s">
        <v>1</v>
      </c>
      <c r="F124" s="308"/>
      <c r="G124" s="1" t="s">
        <v>299</v>
      </c>
      <c r="H124" s="156">
        <f>+L128</f>
        <v>314.6058289536553</v>
      </c>
      <c r="I124" s="5" t="s">
        <v>1</v>
      </c>
      <c r="J124" s="308"/>
      <c r="K124" s="1" t="s">
        <v>299</v>
      </c>
      <c r="L124" s="156">
        <f>+L128</f>
        <v>314.6058289536553</v>
      </c>
      <c r="M124" s="5" t="s">
        <v>1</v>
      </c>
      <c r="N124" s="165"/>
      <c r="O124" s="165"/>
      <c r="P124" s="165"/>
    </row>
    <row r="125" spans="2:16" ht="13.5" thickBot="1" x14ac:dyDescent="0.25">
      <c r="B125" s="309"/>
      <c r="C125" s="160" t="s">
        <v>79</v>
      </c>
      <c r="D125" s="161">
        <f>+D124-D123</f>
        <v>-84.472657108085969</v>
      </c>
      <c r="E125" s="162" t="s">
        <v>1</v>
      </c>
      <c r="F125" s="309"/>
      <c r="G125" s="28" t="s">
        <v>79</v>
      </c>
      <c r="H125" s="163">
        <f>+H124-H123</f>
        <v>58.03602013239032</v>
      </c>
      <c r="I125" s="164" t="s">
        <v>1</v>
      </c>
      <c r="J125" s="309"/>
      <c r="K125" s="28" t="s">
        <v>79</v>
      </c>
      <c r="L125" s="163">
        <f>+L124-L123</f>
        <v>11.46446584027882</v>
      </c>
      <c r="M125" s="164" t="s">
        <v>1</v>
      </c>
      <c r="N125" s="158">
        <v>0.53</v>
      </c>
      <c r="O125" s="165"/>
      <c r="P125" s="165"/>
    </row>
    <row r="126" spans="2:16" x14ac:dyDescent="0.2">
      <c r="C126" s="34" t="s">
        <v>73</v>
      </c>
      <c r="D126" s="168">
        <f>+L126</f>
        <v>0.3</v>
      </c>
      <c r="E126" s="36" t="s">
        <v>49</v>
      </c>
      <c r="F126" s="172"/>
      <c r="G126" s="34" t="s">
        <v>73</v>
      </c>
      <c r="H126" s="168">
        <f>+L126</f>
        <v>0.3</v>
      </c>
      <c r="I126" s="36" t="s">
        <v>49</v>
      </c>
      <c r="J126" s="172"/>
      <c r="K126" s="34" t="s">
        <v>73</v>
      </c>
      <c r="L126" s="168">
        <v>0.3</v>
      </c>
      <c r="M126" s="36" t="s">
        <v>49</v>
      </c>
    </row>
    <row r="127" spans="2:16" x14ac:dyDescent="0.2">
      <c r="C127" s="37" t="s">
        <v>74</v>
      </c>
      <c r="D127" s="23">
        <f>+PCI_bagazo(D126)</f>
        <v>11745.000000000002</v>
      </c>
      <c r="E127" s="38" t="s">
        <v>25</v>
      </c>
      <c r="G127" s="37" t="s">
        <v>74</v>
      </c>
      <c r="H127" s="23">
        <f>+PCI_bagazo(H126)</f>
        <v>11745.000000000002</v>
      </c>
      <c r="I127" s="38" t="s">
        <v>25</v>
      </c>
      <c r="K127" s="37" t="s">
        <v>74</v>
      </c>
      <c r="L127" s="23">
        <f>+PCI_bagazo(L126)</f>
        <v>11745.000000000002</v>
      </c>
      <c r="M127" s="38" t="s">
        <v>25</v>
      </c>
    </row>
    <row r="128" spans="2:16" ht="12.75" customHeight="1" thickBot="1" x14ac:dyDescent="0.25">
      <c r="C128" s="169" t="s">
        <v>299</v>
      </c>
      <c r="D128" s="170">
        <f>+D115*(1-D104)/(1-D126)</f>
        <v>3147104.4354767445</v>
      </c>
      <c r="E128" s="171"/>
      <c r="G128" s="169" t="s">
        <v>299</v>
      </c>
      <c r="H128" s="170">
        <f>+H118*(1-D104)/(1-H126)</f>
        <v>314.6058289536553</v>
      </c>
      <c r="I128" s="171"/>
      <c r="K128" s="169" t="s">
        <v>299</v>
      </c>
      <c r="L128" s="170">
        <f>+L118*(1-D104)/(1-L126)</f>
        <v>314.6058289536553</v>
      </c>
      <c r="M128" s="171"/>
    </row>
    <row r="129" spans="3:15" x14ac:dyDescent="0.2">
      <c r="C129" s="165"/>
      <c r="D129" s="158"/>
    </row>
    <row r="130" spans="3:15" x14ac:dyDescent="0.2">
      <c r="C130" s="165"/>
      <c r="D130" s="165"/>
    </row>
    <row r="131" spans="3:15" x14ac:dyDescent="0.2">
      <c r="C131" s="37" t="s">
        <v>307</v>
      </c>
      <c r="D131" s="173">
        <v>21300</v>
      </c>
      <c r="E131" s="174" t="s">
        <v>310</v>
      </c>
    </row>
    <row r="132" spans="3:15" x14ac:dyDescent="0.2">
      <c r="C132" s="158" t="s">
        <v>311</v>
      </c>
      <c r="D132" s="173">
        <f>-D119*D105/D131</f>
        <v>64.648895193642232</v>
      </c>
      <c r="E132" s="174" t="s">
        <v>150</v>
      </c>
      <c r="L132" s="158"/>
      <c r="N132" s="8">
        <v>3.476882168309964</v>
      </c>
      <c r="O132" s="8">
        <f>+N132*110</f>
        <v>382.45703851409604</v>
      </c>
    </row>
    <row r="133" spans="3:15" x14ac:dyDescent="0.2">
      <c r="C133" s="158" t="s">
        <v>311</v>
      </c>
      <c r="D133" s="173">
        <f>-D125*D127/D131</f>
        <v>46.578936982838961</v>
      </c>
      <c r="E133" s="174" t="s">
        <v>150</v>
      </c>
    </row>
    <row r="134" spans="3:15" ht="12.75" customHeight="1" x14ac:dyDescent="0.2">
      <c r="C134" s="37" t="s">
        <v>308</v>
      </c>
      <c r="D134" s="223">
        <v>35400</v>
      </c>
      <c r="E134" s="174" t="s">
        <v>312</v>
      </c>
    </row>
    <row r="135" spans="3:15" x14ac:dyDescent="0.2">
      <c r="C135" s="158" t="s">
        <v>309</v>
      </c>
      <c r="D135" s="173">
        <f>-D119*D105/D134</f>
        <v>38.898911514818629</v>
      </c>
    </row>
    <row r="136" spans="3:15" x14ac:dyDescent="0.2">
      <c r="C136" s="158" t="s">
        <v>309</v>
      </c>
      <c r="D136" s="173">
        <f>-D125*D127/D134</f>
        <v>28.026309540521748</v>
      </c>
    </row>
  </sheetData>
  <mergeCells count="11">
    <mergeCell ref="B2:D2"/>
    <mergeCell ref="F2:H2"/>
    <mergeCell ref="J2:L2"/>
    <mergeCell ref="G94:I94"/>
    <mergeCell ref="B114:B119"/>
    <mergeCell ref="B120:B125"/>
    <mergeCell ref="F114:F119"/>
    <mergeCell ref="F120:F125"/>
    <mergeCell ref="J120:J125"/>
    <mergeCell ref="F112:I112"/>
    <mergeCell ref="J114:J11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0889B-1A18-4EBC-ADC2-423D62BD633F}">
  <sheetPr codeName="Hoja3"/>
  <dimension ref="A3:P116"/>
  <sheetViews>
    <sheetView topLeftCell="A35" zoomScaleNormal="100" workbookViewId="0">
      <selection activeCell="F38" sqref="F38"/>
    </sheetView>
  </sheetViews>
  <sheetFormatPr baseColWidth="10" defaultColWidth="11.5703125" defaultRowHeight="12.75" x14ac:dyDescent="0.2"/>
  <cols>
    <col min="1" max="1" width="11.5703125" style="166"/>
    <col min="2" max="2" width="19.5703125" style="166" bestFit="1" customWidth="1"/>
    <col min="3" max="3" width="32" style="166" bestFit="1" customWidth="1"/>
    <col min="4" max="4" width="14.28515625" style="166" bestFit="1" customWidth="1"/>
    <col min="5" max="5" width="18.42578125" style="166" bestFit="1" customWidth="1"/>
    <col min="6" max="6" width="26.42578125" style="166" bestFit="1" customWidth="1"/>
    <col min="7" max="7" width="23" style="166" bestFit="1" customWidth="1"/>
    <col min="8" max="8" width="17.140625" style="166" bestFit="1" customWidth="1"/>
    <col min="9" max="9" width="12" style="166" bestFit="1" customWidth="1"/>
    <col min="10" max="10" width="24.85546875" style="166" bestFit="1" customWidth="1"/>
    <col min="11" max="11" width="22" style="166" bestFit="1" customWidth="1"/>
    <col min="12" max="12" width="13" style="166" bestFit="1" customWidth="1"/>
    <col min="13" max="13" width="4.85546875" style="166" bestFit="1" customWidth="1"/>
    <col min="14" max="14" width="26.42578125" style="166" bestFit="1" customWidth="1"/>
    <col min="15" max="17" width="11.5703125" style="166"/>
    <col min="18" max="18" width="26.42578125" style="166" bestFit="1" customWidth="1"/>
    <col min="19" max="16384" width="11.5703125" style="166"/>
  </cols>
  <sheetData>
    <row r="3" spans="2:12" hidden="1" x14ac:dyDescent="0.2"/>
    <row r="4" spans="2:12" hidden="1" x14ac:dyDescent="0.2">
      <c r="B4" s="314" t="s">
        <v>8</v>
      </c>
      <c r="C4" s="315"/>
      <c r="D4" s="316"/>
      <c r="F4" s="314" t="s">
        <v>27</v>
      </c>
      <c r="G4" s="315"/>
      <c r="H4" s="316"/>
      <c r="J4" s="314" t="s">
        <v>28</v>
      </c>
      <c r="K4" s="315"/>
      <c r="L4" s="316"/>
    </row>
    <row r="5" spans="2:12" hidden="1" x14ac:dyDescent="0.2">
      <c r="B5" s="4" t="s">
        <v>22</v>
      </c>
      <c r="C5" s="6">
        <v>0.65</v>
      </c>
      <c r="D5" s="5"/>
      <c r="F5" s="4" t="s">
        <v>9</v>
      </c>
      <c r="G5" s="1">
        <f>balance_general(C6,C10,C7,C8,C8,C9,C5,5%,0,0.86,25,1)</f>
        <v>337839.76590511366</v>
      </c>
      <c r="H5" s="5" t="s">
        <v>10</v>
      </c>
      <c r="J5" s="4" t="s">
        <v>29</v>
      </c>
      <c r="K5" s="1">
        <v>413.39</v>
      </c>
      <c r="L5" s="5" t="s">
        <v>1</v>
      </c>
    </row>
    <row r="6" spans="2:12" hidden="1" x14ac:dyDescent="0.2">
      <c r="B6" s="4" t="s">
        <v>2</v>
      </c>
      <c r="C6" s="1">
        <v>150</v>
      </c>
      <c r="D6" s="5" t="s">
        <v>1</v>
      </c>
      <c r="F6" s="4" t="s">
        <v>11</v>
      </c>
      <c r="G6" s="1">
        <f>balance_general(C6,C10,C7,C8,C8,C9,C5,5%,0,0.86,25,5)</f>
        <v>1355893.2581010349</v>
      </c>
      <c r="H6" s="5" t="s">
        <v>10</v>
      </c>
      <c r="J6" s="4" t="s">
        <v>31</v>
      </c>
      <c r="K6" s="1">
        <v>172</v>
      </c>
      <c r="L6" s="5" t="s">
        <v>30</v>
      </c>
    </row>
    <row r="7" spans="2:12" hidden="1" x14ac:dyDescent="0.2">
      <c r="B7" s="4" t="s">
        <v>4</v>
      </c>
      <c r="C7" s="1">
        <v>17</v>
      </c>
      <c r="D7" s="5"/>
      <c r="F7" s="4" t="s">
        <v>12</v>
      </c>
      <c r="G7" s="1">
        <f>balance_general(C6,C10,C7,C8,C8,C9,C5,5%,0,0.86,25,8)</f>
        <v>88995.045257112914</v>
      </c>
      <c r="H7" s="5" t="s">
        <v>10</v>
      </c>
      <c r="J7" s="4" t="s">
        <v>32</v>
      </c>
      <c r="K7" s="1">
        <f>2214590/1000</f>
        <v>2214.59</v>
      </c>
      <c r="L7" s="5" t="s">
        <v>25</v>
      </c>
    </row>
    <row r="8" spans="2:12" hidden="1" x14ac:dyDescent="0.2">
      <c r="B8" s="4" t="s">
        <v>5</v>
      </c>
      <c r="C8" s="1">
        <v>18</v>
      </c>
      <c r="D8" s="5"/>
      <c r="F8" s="4" t="s">
        <v>9</v>
      </c>
      <c r="G8" s="1">
        <f>+G5/3600</f>
        <v>93.844379418087129</v>
      </c>
      <c r="H8" s="5" t="s">
        <v>13</v>
      </c>
      <c r="J8" s="4" t="s">
        <v>9</v>
      </c>
      <c r="K8" s="1">
        <f>+G5</f>
        <v>337839.76590511366</v>
      </c>
      <c r="L8" s="5" t="s">
        <v>10</v>
      </c>
    </row>
    <row r="9" spans="2:12" hidden="1" x14ac:dyDescent="0.2">
      <c r="B9" s="4" t="s">
        <v>6</v>
      </c>
      <c r="C9" s="1">
        <v>75</v>
      </c>
      <c r="D9" s="5"/>
      <c r="F9" s="4" t="s">
        <v>11</v>
      </c>
      <c r="G9" s="1">
        <f>+G6/3600</f>
        <v>376.63701613917635</v>
      </c>
      <c r="H9" s="5" t="s">
        <v>13</v>
      </c>
      <c r="J9" s="4" t="s">
        <v>11</v>
      </c>
      <c r="K9" s="1">
        <f>+K5*K7</f>
        <v>915489.36010000005</v>
      </c>
      <c r="L9" s="5" t="s">
        <v>10</v>
      </c>
    </row>
    <row r="10" spans="2:12" hidden="1" x14ac:dyDescent="0.2">
      <c r="B10" s="4" t="s">
        <v>7</v>
      </c>
      <c r="C10" s="1">
        <v>93.4</v>
      </c>
      <c r="D10" s="5"/>
      <c r="F10" s="4" t="s">
        <v>12</v>
      </c>
      <c r="G10" s="1">
        <f>+G7/3600</f>
        <v>24.720845904753588</v>
      </c>
      <c r="H10" s="5" t="s">
        <v>13</v>
      </c>
      <c r="J10" s="4" t="s">
        <v>12</v>
      </c>
      <c r="K10" s="1">
        <f>+G7</f>
        <v>88995.045257112914</v>
      </c>
      <c r="L10" s="5" t="s">
        <v>10</v>
      </c>
    </row>
    <row r="11" spans="2:12" hidden="1" x14ac:dyDescent="0.2">
      <c r="B11" s="4" t="s">
        <v>19</v>
      </c>
      <c r="C11" s="1">
        <f>+C6*C10/C9</f>
        <v>186.8</v>
      </c>
      <c r="D11" s="5" t="s">
        <v>1</v>
      </c>
      <c r="F11" s="4" t="s">
        <v>17</v>
      </c>
      <c r="G11" s="6">
        <v>0.8</v>
      </c>
      <c r="H11" s="5"/>
      <c r="J11" s="4" t="s">
        <v>9</v>
      </c>
      <c r="K11" s="1">
        <f>+K8/3600</f>
        <v>93.844379418087129</v>
      </c>
      <c r="L11" s="5" t="s">
        <v>13</v>
      </c>
    </row>
    <row r="12" spans="2:12" hidden="1" x14ac:dyDescent="0.2">
      <c r="B12" s="4" t="s">
        <v>3</v>
      </c>
      <c r="C12" s="1">
        <f>+C6*C10/C8</f>
        <v>778.33333333333337</v>
      </c>
      <c r="D12" s="5" t="s">
        <v>1</v>
      </c>
      <c r="F12" s="4" t="s">
        <v>9</v>
      </c>
      <c r="G12" s="1">
        <f>+G8/$G$11</f>
        <v>117.3054742726089</v>
      </c>
      <c r="H12" s="5" t="s">
        <v>13</v>
      </c>
      <c r="J12" s="4" t="s">
        <v>11</v>
      </c>
      <c r="K12" s="1">
        <f>+K9/3600</f>
        <v>254.3026000277778</v>
      </c>
      <c r="L12" s="5" t="s">
        <v>13</v>
      </c>
    </row>
    <row r="13" spans="2:12" hidden="1" x14ac:dyDescent="0.2">
      <c r="B13" s="4" t="s">
        <v>20</v>
      </c>
      <c r="C13" s="1">
        <f>balance_general(C6,C10,C7,C8,C8,C9,C5,5%,0,0.86,25,13)</f>
        <v>870.18633540372605</v>
      </c>
      <c r="D13" s="5" t="s">
        <v>1</v>
      </c>
      <c r="F13" s="4" t="s">
        <v>11</v>
      </c>
      <c r="G13" s="1">
        <f>+G9/$G$11</f>
        <v>470.79627017397041</v>
      </c>
      <c r="H13" s="5" t="s">
        <v>13</v>
      </c>
      <c r="J13" s="4" t="s">
        <v>12</v>
      </c>
      <c r="K13" s="1">
        <f>+K10/3600</f>
        <v>24.720845904753588</v>
      </c>
      <c r="L13" s="5" t="s">
        <v>13</v>
      </c>
    </row>
    <row r="14" spans="2:12" hidden="1" x14ac:dyDescent="0.2">
      <c r="B14" s="4" t="s">
        <v>21</v>
      </c>
      <c r="C14" s="1">
        <f>balance_general(C6,C10,C7,C8,C8,C9,C5,5%,0,0.86,25,10)</f>
        <v>1338.7482083134253</v>
      </c>
      <c r="D14" s="5" t="s">
        <v>1</v>
      </c>
      <c r="F14" s="4" t="s">
        <v>12</v>
      </c>
      <c r="G14" s="1">
        <f>+G10/$G$11</f>
        <v>30.901057380941985</v>
      </c>
      <c r="H14" s="5" t="s">
        <v>13</v>
      </c>
      <c r="J14" s="4" t="s">
        <v>17</v>
      </c>
      <c r="K14" s="6">
        <v>0.8</v>
      </c>
      <c r="L14" s="5"/>
    </row>
    <row r="15" spans="2:12" hidden="1" x14ac:dyDescent="0.2">
      <c r="B15" s="4" t="s">
        <v>23</v>
      </c>
      <c r="C15" s="1">
        <f>+C14-C13</f>
        <v>468.56187290969922</v>
      </c>
      <c r="D15" s="5" t="s">
        <v>1</v>
      </c>
      <c r="F15" s="4" t="s">
        <v>14</v>
      </c>
      <c r="G15" s="6">
        <v>0.65</v>
      </c>
      <c r="H15" s="5"/>
      <c r="J15" s="4" t="s">
        <v>9</v>
      </c>
      <c r="K15" s="1">
        <f>+K11/$G$11</f>
        <v>117.3054742726089</v>
      </c>
      <c r="L15" s="5" t="s">
        <v>13</v>
      </c>
    </row>
    <row r="16" spans="2:12" ht="13.5" hidden="1" thickBot="1" x14ac:dyDescent="0.25">
      <c r="B16" s="2" t="s">
        <v>18</v>
      </c>
      <c r="C16" s="7">
        <v>0.53</v>
      </c>
      <c r="D16" s="3"/>
      <c r="F16" s="9" t="s">
        <v>15</v>
      </c>
      <c r="G16" s="10">
        <f>+G18-SUM(G12:G14)</f>
        <v>333.30920098404988</v>
      </c>
      <c r="H16" s="5" t="s">
        <v>13</v>
      </c>
      <c r="J16" s="4" t="s">
        <v>11</v>
      </c>
      <c r="K16" s="1">
        <f>+K12/$G$11</f>
        <v>317.87825003472221</v>
      </c>
      <c r="L16" s="5" t="s">
        <v>13</v>
      </c>
    </row>
    <row r="17" spans="3:12" hidden="1" x14ac:dyDescent="0.2">
      <c r="F17" s="9" t="s">
        <v>16</v>
      </c>
      <c r="G17" s="10">
        <f>SUM(G12:G14)-+SUM(G8:G10)</f>
        <v>123.80056036550434</v>
      </c>
      <c r="H17" s="5" t="s">
        <v>13</v>
      </c>
      <c r="J17" s="4" t="s">
        <v>12</v>
      </c>
      <c r="K17" s="1">
        <f>+K13/$G$11</f>
        <v>30.901057380941985</v>
      </c>
      <c r="L17" s="5" t="s">
        <v>13</v>
      </c>
    </row>
    <row r="18" spans="3:12" hidden="1" x14ac:dyDescent="0.2">
      <c r="F18" s="9" t="s">
        <v>0</v>
      </c>
      <c r="G18" s="10">
        <f>+SUM(G12:G14)/G15</f>
        <v>952.31200281157123</v>
      </c>
      <c r="H18" s="5" t="s">
        <v>13</v>
      </c>
      <c r="J18" s="4" t="s">
        <v>14</v>
      </c>
      <c r="K18" s="6">
        <v>0.65</v>
      </c>
      <c r="L18" s="5"/>
    </row>
    <row r="19" spans="3:12" ht="15" hidden="1" x14ac:dyDescent="0.2">
      <c r="F19" s="9" t="s">
        <v>24</v>
      </c>
      <c r="G19" s="11">
        <f>(17.765-20.27*C16)*1000</f>
        <v>7021.9000000000005</v>
      </c>
      <c r="H19" s="5" t="s">
        <v>25</v>
      </c>
      <c r="J19" s="4" t="s">
        <v>15</v>
      </c>
      <c r="K19" s="1">
        <f>+K21-SUM(K15:K17)</f>
        <v>250.96872860137785</v>
      </c>
      <c r="L19" s="5" t="s">
        <v>13</v>
      </c>
    </row>
    <row r="20" spans="3:12" hidden="1" x14ac:dyDescent="0.2">
      <c r="F20" s="9" t="s">
        <v>26</v>
      </c>
      <c r="G20" s="10">
        <f>+G19*C15/3600</f>
        <v>913.94294871794932</v>
      </c>
      <c r="H20" s="5" t="s">
        <v>13</v>
      </c>
      <c r="J20" s="4" t="s">
        <v>16</v>
      </c>
      <c r="K20" s="1">
        <f>SUM(K15:K17)-+SUM(K11:K13)</f>
        <v>93.216956337654551</v>
      </c>
      <c r="L20" s="5" t="s">
        <v>13</v>
      </c>
    </row>
    <row r="21" spans="3:12" hidden="1" x14ac:dyDescent="0.2">
      <c r="F21" s="12" t="s">
        <v>33</v>
      </c>
      <c r="G21" s="1">
        <f>+G20-G18</f>
        <v>-38.369054093621912</v>
      </c>
      <c r="H21" s="13" t="s">
        <v>13</v>
      </c>
      <c r="J21" s="4" t="s">
        <v>0</v>
      </c>
      <c r="K21" s="1">
        <f>+SUM(K15:K17)/K18</f>
        <v>717.05351028965094</v>
      </c>
      <c r="L21" s="5" t="s">
        <v>13</v>
      </c>
    </row>
    <row r="22" spans="3:12" ht="15.75" hidden="1" thickBot="1" x14ac:dyDescent="0.25">
      <c r="C22" s="22"/>
      <c r="D22" s="23"/>
      <c r="E22" s="23"/>
      <c r="F22" s="21" t="s">
        <v>35</v>
      </c>
      <c r="G22" s="15">
        <f>+G21*3600/G19</f>
        <v>-19.671113906070847</v>
      </c>
      <c r="H22" s="16" t="s">
        <v>1</v>
      </c>
      <c r="J22" s="4" t="s">
        <v>24</v>
      </c>
      <c r="K22" s="11">
        <f>(17.765-20.27*C16)*1000</f>
        <v>7021.9000000000005</v>
      </c>
      <c r="L22" s="5" t="s">
        <v>25</v>
      </c>
    </row>
    <row r="23" spans="3:12" hidden="1" x14ac:dyDescent="0.2">
      <c r="C23" s="22"/>
      <c r="D23" s="23"/>
      <c r="E23" s="23"/>
      <c r="J23" s="4" t="s">
        <v>26</v>
      </c>
      <c r="K23" s="1">
        <f>+K22*C15/3600</f>
        <v>913.94294871794932</v>
      </c>
      <c r="L23" s="5" t="s">
        <v>13</v>
      </c>
    </row>
    <row r="24" spans="3:12" hidden="1" x14ac:dyDescent="0.2">
      <c r="C24" s="22"/>
      <c r="D24" s="23"/>
      <c r="E24" s="23"/>
      <c r="J24" s="12" t="s">
        <v>34</v>
      </c>
      <c r="K24" s="1">
        <f>+K23-K21</f>
        <v>196.88943842829838</v>
      </c>
      <c r="L24" s="5" t="s">
        <v>13</v>
      </c>
    </row>
    <row r="25" spans="3:12" ht="13.5" hidden="1" thickBot="1" x14ac:dyDescent="0.25">
      <c r="J25" s="14" t="s">
        <v>36</v>
      </c>
      <c r="K25" s="15">
        <f>+K24*3600/K22</f>
        <v>100.94162240161127</v>
      </c>
      <c r="L25" s="16" t="s">
        <v>1</v>
      </c>
    </row>
    <row r="27" spans="3:12" ht="13.5" thickBot="1" x14ac:dyDescent="0.25"/>
    <row r="28" spans="3:12" x14ac:dyDescent="0.2">
      <c r="C28" s="167" t="s">
        <v>37</v>
      </c>
      <c r="D28" s="24">
        <f>+balance_general(D72,D71,D38,D48,D48,D60,C34,D49,0,D29,D30,10)</f>
        <v>379.80345645542957</v>
      </c>
      <c r="E28" s="25" t="s">
        <v>1</v>
      </c>
    </row>
    <row r="29" spans="3:12" x14ac:dyDescent="0.2">
      <c r="C29" s="26" t="s">
        <v>42</v>
      </c>
      <c r="D29" s="18">
        <v>0.86</v>
      </c>
      <c r="E29" s="5" t="s">
        <v>43</v>
      </c>
      <c r="H29" s="166" t="s">
        <v>80</v>
      </c>
      <c r="I29" s="166" t="s">
        <v>81</v>
      </c>
    </row>
    <row r="30" spans="3:12" ht="13.5" thickBot="1" x14ac:dyDescent="0.25">
      <c r="C30" s="27" t="s">
        <v>44</v>
      </c>
      <c r="D30" s="28">
        <v>25</v>
      </c>
      <c r="E30" s="3" t="s">
        <v>45</v>
      </c>
      <c r="H30" s="166" t="s">
        <v>82</v>
      </c>
      <c r="I30" s="166" t="s">
        <v>83</v>
      </c>
    </row>
    <row r="31" spans="3:12" x14ac:dyDescent="0.2">
      <c r="H31" s="166" t="s">
        <v>84</v>
      </c>
      <c r="I31" s="166" t="s">
        <v>85</v>
      </c>
    </row>
    <row r="32" spans="3:12" x14ac:dyDescent="0.2">
      <c r="I32" s="56"/>
      <c r="J32" s="56"/>
    </row>
    <row r="33" spans="2:10" ht="13.5" thickBot="1" x14ac:dyDescent="0.25"/>
    <row r="34" spans="2:10" ht="13.5" thickBot="1" x14ac:dyDescent="0.25">
      <c r="B34" s="29" t="s">
        <v>38</v>
      </c>
      <c r="C34" s="30">
        <v>0.65</v>
      </c>
    </row>
    <row r="36" spans="2:10" ht="13.5" thickBot="1" x14ac:dyDescent="0.25"/>
    <row r="37" spans="2:10" x14ac:dyDescent="0.2">
      <c r="C37" s="167" t="s">
        <v>41</v>
      </c>
      <c r="D37" s="58">
        <f>+balance_general(D72,D71,D38,D48,D48,D60,C34,D49,0,D29,D30,2)</f>
        <v>246.87224669603515</v>
      </c>
      <c r="E37" s="25" t="s">
        <v>1</v>
      </c>
      <c r="H37" s="167" t="s">
        <v>51</v>
      </c>
      <c r="I37" s="31">
        <f>+balance_general(D72,D71,D38,D48,D48,D60,C34,D49,0,D29,D30,4)</f>
        <v>12.343612334801756</v>
      </c>
      <c r="J37" s="25" t="s">
        <v>1</v>
      </c>
    </row>
    <row r="38" spans="2:10" ht="13.5" thickBot="1" x14ac:dyDescent="0.25">
      <c r="C38" s="27" t="s">
        <v>39</v>
      </c>
      <c r="D38" s="28">
        <v>60</v>
      </c>
      <c r="E38" s="3" t="s">
        <v>40</v>
      </c>
      <c r="H38" s="27" t="s">
        <v>52</v>
      </c>
      <c r="I38" s="32">
        <f>+delta_Tjugo(D48)+Tantoine(D29)</f>
        <v>103.42250716939876</v>
      </c>
      <c r="J38" s="3" t="s">
        <v>45</v>
      </c>
    </row>
    <row r="40" spans="2:10" ht="13.5" thickBot="1" x14ac:dyDescent="0.25"/>
    <row r="41" spans="2:10" x14ac:dyDescent="0.2">
      <c r="B41" s="167" t="s">
        <v>60</v>
      </c>
      <c r="C41" s="57">
        <f>+balance_general(D72,D71,D38,D48,D48,D60,C34,D49,0,D29,D30,1)</f>
        <v>89300.434793824039</v>
      </c>
      <c r="D41" s="25" t="s">
        <v>10</v>
      </c>
    </row>
    <row r="42" spans="2:10" x14ac:dyDescent="0.2">
      <c r="B42" s="26" t="s">
        <v>59</v>
      </c>
      <c r="C42" s="48">
        <v>0.6</v>
      </c>
      <c r="D42" s="49"/>
    </row>
    <row r="43" spans="2:10" x14ac:dyDescent="0.2">
      <c r="B43" s="26" t="s">
        <v>61</v>
      </c>
      <c r="C43" s="18">
        <v>30</v>
      </c>
      <c r="D43" s="49" t="s">
        <v>63</v>
      </c>
    </row>
    <row r="44" spans="2:10" x14ac:dyDescent="0.2">
      <c r="B44" s="26" t="s">
        <v>64</v>
      </c>
      <c r="C44" s="59">
        <f>+Hvapor(Tantoine(D29+C43/14.5))</f>
        <v>2620.1928940679563</v>
      </c>
      <c r="D44" s="50" t="s">
        <v>25</v>
      </c>
    </row>
    <row r="45" spans="2:10" ht="13.5" thickBot="1" x14ac:dyDescent="0.25">
      <c r="B45" s="27" t="s">
        <v>62</v>
      </c>
      <c r="C45" s="60">
        <f>+C41/C44/C42</f>
        <v>56.802710337343065</v>
      </c>
      <c r="D45" s="51" t="s">
        <v>1</v>
      </c>
    </row>
    <row r="47" spans="2:10" ht="13.5" thickBot="1" x14ac:dyDescent="0.25">
      <c r="H47" s="17" t="s">
        <v>53</v>
      </c>
      <c r="I47" s="19">
        <f>+balance_general(D72,D71,D38,D48,D48,D60,C34,D49,0,D29,D30,3)</f>
        <v>18.990172822763224</v>
      </c>
      <c r="J47" s="1" t="s">
        <v>1</v>
      </c>
    </row>
    <row r="48" spans="2:10" x14ac:dyDescent="0.2">
      <c r="C48" s="167" t="s">
        <v>47</v>
      </c>
      <c r="D48" s="33">
        <v>65</v>
      </c>
      <c r="E48" s="25" t="s">
        <v>40</v>
      </c>
      <c r="H48" s="17" t="s">
        <v>54</v>
      </c>
      <c r="I48" s="19">
        <f>+delta_Tjugo(D48)+Tantoine(D29)</f>
        <v>103.42250716939876</v>
      </c>
      <c r="J48" s="1" t="s">
        <v>45</v>
      </c>
    </row>
    <row r="49" spans="1:10" x14ac:dyDescent="0.2">
      <c r="C49" s="26" t="s">
        <v>48</v>
      </c>
      <c r="D49" s="18">
        <v>0.05</v>
      </c>
      <c r="E49" s="5" t="s">
        <v>49</v>
      </c>
    </row>
    <row r="50" spans="1:10" ht="13.5" thickBot="1" x14ac:dyDescent="0.25">
      <c r="C50" s="27" t="s">
        <v>50</v>
      </c>
      <c r="D50" s="60">
        <f>+D37-I37-I47</f>
        <v>215.53846153847019</v>
      </c>
      <c r="E50" s="3" t="s">
        <v>1</v>
      </c>
    </row>
    <row r="52" spans="1:10" ht="13.5" thickBot="1" x14ac:dyDescent="0.25"/>
    <row r="53" spans="1:10" x14ac:dyDescent="0.2">
      <c r="B53" s="167" t="s">
        <v>60</v>
      </c>
      <c r="C53" s="57">
        <f>+balance_general(D72,D71,D38,D48,D48,D60,C34,D49,0,D29,D30,5)</f>
        <v>35708.49246353496</v>
      </c>
      <c r="D53" s="25" t="s">
        <v>10</v>
      </c>
    </row>
    <row r="54" spans="1:10" x14ac:dyDescent="0.2">
      <c r="A54" s="166" t="s">
        <v>88</v>
      </c>
      <c r="B54" s="26" t="s">
        <v>59</v>
      </c>
      <c r="C54" s="48">
        <v>0.6</v>
      </c>
      <c r="D54" s="5"/>
    </row>
    <row r="55" spans="1:10" x14ac:dyDescent="0.2">
      <c r="B55" s="26" t="s">
        <v>61</v>
      </c>
      <c r="C55" s="18">
        <v>30</v>
      </c>
      <c r="D55" s="5" t="s">
        <v>63</v>
      </c>
      <c r="H55" s="17" t="s">
        <v>57</v>
      </c>
      <c r="I55" s="19">
        <f>+balance_general(D72,D71,D38,D48,D48,D60,C34,D49,0,D29,D30,7)</f>
        <v>15.395604395612652</v>
      </c>
      <c r="J55" s="1" t="s">
        <v>1</v>
      </c>
    </row>
    <row r="56" spans="1:10" x14ac:dyDescent="0.2">
      <c r="B56" s="26" t="s">
        <v>64</v>
      </c>
      <c r="C56" s="59">
        <f>+Hvapor(Tantoine(D29+C55/14.5))</f>
        <v>2620.1928940679563</v>
      </c>
      <c r="D56" s="50" t="s">
        <v>25</v>
      </c>
      <c r="H56" s="17" t="s">
        <v>54</v>
      </c>
      <c r="I56" s="19">
        <f>+delta_Tjugo(D60)+Tantoine(D29)</f>
        <v>105.91833309907624</v>
      </c>
      <c r="J56" s="1" t="s">
        <v>45</v>
      </c>
    </row>
    <row r="57" spans="1:10" ht="13.5" thickBot="1" x14ac:dyDescent="0.25">
      <c r="B57" s="27" t="s">
        <v>62</v>
      </c>
      <c r="C57" s="60">
        <f>+C53/C56/C54</f>
        <v>22.713653731612656</v>
      </c>
      <c r="D57" s="51" t="s">
        <v>1</v>
      </c>
    </row>
    <row r="59" spans="1:10" ht="13.5" thickBot="1" x14ac:dyDescent="0.25"/>
    <row r="60" spans="1:10" x14ac:dyDescent="0.2">
      <c r="C60" s="167" t="s">
        <v>55</v>
      </c>
      <c r="D60" s="33">
        <v>70</v>
      </c>
      <c r="E60" s="25" t="s">
        <v>40</v>
      </c>
    </row>
    <row r="61" spans="1:10" ht="13.5" thickBot="1" x14ac:dyDescent="0.25">
      <c r="C61" s="27" t="s">
        <v>56</v>
      </c>
      <c r="D61" s="60">
        <f>+balance_general(D72,D71,D38,D48,D48,D60,C34,D49,0,D29,D30,6)</f>
        <v>200.14285714285708</v>
      </c>
      <c r="E61" s="3" t="s">
        <v>1</v>
      </c>
    </row>
    <row r="63" spans="1:10" ht="13.5" thickBot="1" x14ac:dyDescent="0.25"/>
    <row r="64" spans="1:10" x14ac:dyDescent="0.2">
      <c r="B64" s="167" t="s">
        <v>60</v>
      </c>
      <c r="C64" s="57">
        <f>+balance_general(D72,D71,D38,D48,D48,D60,C34,D49,0,D29,D30,8)</f>
        <v>120696.02349969285</v>
      </c>
      <c r="D64" s="25" t="s">
        <v>10</v>
      </c>
    </row>
    <row r="65" spans="1:13" ht="13.5" thickBot="1" x14ac:dyDescent="0.25">
      <c r="A65" s="166" t="s">
        <v>88</v>
      </c>
      <c r="B65" s="26" t="s">
        <v>59</v>
      </c>
      <c r="C65" s="48">
        <v>0.6</v>
      </c>
      <c r="D65" s="5"/>
    </row>
    <row r="66" spans="1:13" x14ac:dyDescent="0.2">
      <c r="B66" s="26" t="s">
        <v>61</v>
      </c>
      <c r="C66" s="18">
        <v>100</v>
      </c>
      <c r="D66" s="5" t="s">
        <v>63</v>
      </c>
      <c r="H66" s="167" t="s">
        <v>57</v>
      </c>
      <c r="I66" s="31">
        <f>+balance_general(D72,D71,D38,D48,D48,D60,C34,D49,0,D29,D30,9)</f>
        <v>50.142857142855398</v>
      </c>
      <c r="J66" s="25" t="s">
        <v>1</v>
      </c>
    </row>
    <row r="67" spans="1:13" ht="13.5" thickBot="1" x14ac:dyDescent="0.25">
      <c r="B67" s="26" t="s">
        <v>64</v>
      </c>
      <c r="C67" s="59">
        <f>+Hvapor(Tantoine(D29+C66/14.5))</f>
        <v>2678.3575368008528</v>
      </c>
      <c r="D67" s="50" t="s">
        <v>25</v>
      </c>
      <c r="H67" s="27" t="s">
        <v>54</v>
      </c>
      <c r="I67" s="32">
        <f>+delta_Tjugo(D71)+Tantoine(D29)</f>
        <v>133.13571484417076</v>
      </c>
      <c r="J67" s="3" t="s">
        <v>45</v>
      </c>
    </row>
    <row r="68" spans="1:13" ht="13.5" thickBot="1" x14ac:dyDescent="0.25">
      <c r="B68" s="27" t="s">
        <v>62</v>
      </c>
      <c r="C68" s="60">
        <f>+C64/C67/C65</f>
        <v>75.105745369017868</v>
      </c>
      <c r="D68" s="51" t="s">
        <v>1</v>
      </c>
    </row>
    <row r="70" spans="1:13" ht="13.5" thickBot="1" x14ac:dyDescent="0.25"/>
    <row r="71" spans="1:13" x14ac:dyDescent="0.2">
      <c r="C71" s="167" t="s">
        <v>46</v>
      </c>
      <c r="D71" s="33">
        <v>93.4</v>
      </c>
      <c r="E71" s="25" t="s">
        <v>40</v>
      </c>
    </row>
    <row r="72" spans="1:13" ht="13.5" thickBot="1" x14ac:dyDescent="0.25">
      <c r="C72" s="27" t="s">
        <v>58</v>
      </c>
      <c r="D72" s="28">
        <v>150</v>
      </c>
      <c r="E72" s="3" t="s">
        <v>1</v>
      </c>
      <c r="G72" s="310" t="s">
        <v>89</v>
      </c>
      <c r="H72" s="310"/>
      <c r="I72" s="310"/>
    </row>
    <row r="74" spans="1:13" x14ac:dyDescent="0.2">
      <c r="C74" s="166" t="s">
        <v>65</v>
      </c>
    </row>
    <row r="75" spans="1:13" ht="13.5" thickBot="1" x14ac:dyDescent="0.25"/>
    <row r="76" spans="1:13" ht="25.5" x14ac:dyDescent="0.2">
      <c r="C76" s="39"/>
      <c r="D76" s="40" t="s">
        <v>67</v>
      </c>
      <c r="E76" s="41" t="s">
        <v>71</v>
      </c>
      <c r="F76" s="23"/>
      <c r="G76" s="39"/>
      <c r="H76" s="40" t="s">
        <v>67</v>
      </c>
      <c r="I76" s="41" t="s">
        <v>71</v>
      </c>
      <c r="J76" s="166">
        <v>0.86</v>
      </c>
      <c r="K76" s="1"/>
      <c r="L76" s="1">
        <v>24</v>
      </c>
      <c r="M76" s="1" t="s">
        <v>90</v>
      </c>
    </row>
    <row r="77" spans="1:13" x14ac:dyDescent="0.2">
      <c r="C77" s="42" t="s">
        <v>66</v>
      </c>
      <c r="D77" s="23">
        <f>+C43</f>
        <v>30</v>
      </c>
      <c r="E77" s="44">
        <f>+C45</f>
        <v>56.802710337343065</v>
      </c>
      <c r="F77" s="23"/>
      <c r="G77" s="42" t="s">
        <v>66</v>
      </c>
      <c r="H77" s="23">
        <f>+D77</f>
        <v>30</v>
      </c>
      <c r="I77" s="44">
        <f>+E77</f>
        <v>56.802710337343065</v>
      </c>
      <c r="J77" s="166">
        <f>+J76*14.5</f>
        <v>12.47</v>
      </c>
      <c r="K77" s="1" t="s">
        <v>91</v>
      </c>
      <c r="L77" s="1">
        <f>1.5 *25.4</f>
        <v>38.099999999999994</v>
      </c>
      <c r="M77" s="1" t="s">
        <v>92</v>
      </c>
    </row>
    <row r="78" spans="1:13" x14ac:dyDescent="0.2">
      <c r="C78" s="42" t="s">
        <v>68</v>
      </c>
      <c r="D78" s="23">
        <f>+C55</f>
        <v>30</v>
      </c>
      <c r="E78" s="44">
        <f>+C57</f>
        <v>22.713653731612656</v>
      </c>
      <c r="F78" s="23"/>
      <c r="G78" s="42" t="s">
        <v>68</v>
      </c>
      <c r="H78" s="23">
        <f>+D78</f>
        <v>30</v>
      </c>
      <c r="I78" s="44">
        <v>436.27</v>
      </c>
      <c r="J78" s="166">
        <f>+J77+D77</f>
        <v>42.47</v>
      </c>
      <c r="K78" s="1" t="s">
        <v>94</v>
      </c>
      <c r="L78" s="1">
        <v>1.65</v>
      </c>
      <c r="M78" s="1" t="s">
        <v>92</v>
      </c>
    </row>
    <row r="79" spans="1:13" x14ac:dyDescent="0.2">
      <c r="C79" s="42" t="s">
        <v>69</v>
      </c>
      <c r="D79" s="23">
        <f>+C66</f>
        <v>100</v>
      </c>
      <c r="E79" s="44">
        <f>+C68</f>
        <v>75.105745369017868</v>
      </c>
      <c r="F79" s="23"/>
      <c r="G79" s="42" t="s">
        <v>69</v>
      </c>
      <c r="H79" s="23">
        <f>+D79</f>
        <v>100</v>
      </c>
      <c r="I79" s="44">
        <f t="shared" ref="I79" si="0">+E79</f>
        <v>75.105745369017868</v>
      </c>
      <c r="K79" s="1" t="s">
        <v>93</v>
      </c>
      <c r="L79" s="1">
        <f>+L77-2*L78</f>
        <v>34.799999999999997</v>
      </c>
      <c r="M79" s="1" t="s">
        <v>92</v>
      </c>
    </row>
    <row r="80" spans="1:13" ht="13.5" thickBot="1" x14ac:dyDescent="0.25">
      <c r="C80" s="43" t="s">
        <v>70</v>
      </c>
      <c r="D80" s="52">
        <v>130</v>
      </c>
      <c r="E80" s="45">
        <f>+SUM(E77:E79)</f>
        <v>154.62210943797359</v>
      </c>
      <c r="F80" s="23"/>
      <c r="G80" s="43" t="s">
        <v>70</v>
      </c>
      <c r="H80" s="52">
        <f>+D80</f>
        <v>130</v>
      </c>
      <c r="I80" s="44">
        <f>+SUM(I77:I79)</f>
        <v>568.17845570636086</v>
      </c>
      <c r="J80" s="166">
        <f>+J77+F77</f>
        <v>12.47</v>
      </c>
      <c r="K80" s="1" t="s">
        <v>95</v>
      </c>
      <c r="L80" s="1">
        <f>+PI()*(L79/1000)</f>
        <v>0.10932742434492479</v>
      </c>
      <c r="M80" s="1" t="s">
        <v>98</v>
      </c>
    </row>
    <row r="81" spans="2:16" ht="13.5" thickBot="1" x14ac:dyDescent="0.25">
      <c r="K81" s="1" t="s">
        <v>96</v>
      </c>
      <c r="L81" s="1">
        <f>+L76/L80</f>
        <v>219.52405943709704</v>
      </c>
      <c r="M81" s="1" t="s">
        <v>97</v>
      </c>
    </row>
    <row r="82" spans="2:16" x14ac:dyDescent="0.2">
      <c r="C82" s="34" t="s">
        <v>76</v>
      </c>
      <c r="D82" s="35">
        <f>+Hvapor(D80/14.5+D29)-hagua(D80/14.5+D29)</f>
        <v>2487.2462724137931</v>
      </c>
      <c r="E82" s="36" t="s">
        <v>25</v>
      </c>
      <c r="G82" s="34" t="s">
        <v>76</v>
      </c>
      <c r="H82" s="35">
        <f>+Hvapor(H80/14.5+H26)-hagua(H80/14.5+H26)</f>
        <v>2489.4951724137932</v>
      </c>
      <c r="I82" s="36" t="s">
        <v>25</v>
      </c>
      <c r="K82" s="1" t="s">
        <v>100</v>
      </c>
      <c r="L82" s="1">
        <v>1.5</v>
      </c>
      <c r="M82" s="1" t="s">
        <v>97</v>
      </c>
    </row>
    <row r="83" spans="2:16" x14ac:dyDescent="0.2">
      <c r="B83" s="166" t="s">
        <v>86</v>
      </c>
      <c r="C83" s="37" t="s">
        <v>72</v>
      </c>
      <c r="D83" s="46">
        <v>0.6</v>
      </c>
      <c r="E83" s="38"/>
      <c r="G83" s="37" t="s">
        <v>72</v>
      </c>
      <c r="H83" s="46">
        <v>0.6</v>
      </c>
      <c r="I83" s="38"/>
      <c r="K83" s="1" t="s">
        <v>99</v>
      </c>
      <c r="L83" s="1">
        <f>+L81/L82</f>
        <v>146.34937295806469</v>
      </c>
      <c r="M83" s="1" t="s">
        <v>101</v>
      </c>
    </row>
    <row r="84" spans="2:16" x14ac:dyDescent="0.2">
      <c r="B84" s="166" t="s">
        <v>87</v>
      </c>
      <c r="C84" s="37" t="s">
        <v>73</v>
      </c>
      <c r="D84" s="46">
        <v>0.53</v>
      </c>
      <c r="E84" s="38"/>
      <c r="G84" s="37" t="s">
        <v>73</v>
      </c>
      <c r="H84" s="46">
        <v>0.52</v>
      </c>
      <c r="I84" s="38"/>
    </row>
    <row r="85" spans="2:16" x14ac:dyDescent="0.2">
      <c r="C85" s="37" t="s">
        <v>74</v>
      </c>
      <c r="D85" s="23">
        <f>+PCI_bagazo(D84)</f>
        <v>7064.5000000000009</v>
      </c>
      <c r="E85" s="38" t="s">
        <v>25</v>
      </c>
      <c r="G85" s="37" t="s">
        <v>74</v>
      </c>
      <c r="H85" s="23">
        <f>+PCI_bagazo(H84)</f>
        <v>7268.0000000000009</v>
      </c>
      <c r="I85" s="38" t="s">
        <v>25</v>
      </c>
    </row>
    <row r="86" spans="2:16" x14ac:dyDescent="0.2">
      <c r="C86" s="37" t="s">
        <v>77</v>
      </c>
      <c r="D86" s="23">
        <f>+E80*D82/D83</f>
        <v>640972.10888726229</v>
      </c>
      <c r="E86" s="38" t="s">
        <v>10</v>
      </c>
      <c r="G86" s="37" t="s">
        <v>77</v>
      </c>
      <c r="H86" s="23">
        <f>+I80*H82/H83</f>
        <v>2357462.5375841828</v>
      </c>
      <c r="I86" s="38" t="s">
        <v>10</v>
      </c>
    </row>
    <row r="87" spans="2:16" x14ac:dyDescent="0.2">
      <c r="C87" s="37" t="s">
        <v>75</v>
      </c>
      <c r="D87" s="23">
        <f>+D86/D85</f>
        <v>90.731418909655631</v>
      </c>
      <c r="E87" s="38" t="s">
        <v>1</v>
      </c>
      <c r="G87" s="37" t="s">
        <v>75</v>
      </c>
      <c r="H87" s="23">
        <f>+H86/H85</f>
        <v>324.36193417503887</v>
      </c>
      <c r="I87" s="38" t="s">
        <v>1</v>
      </c>
    </row>
    <row r="88" spans="2:16" x14ac:dyDescent="0.2">
      <c r="C88" s="37" t="s">
        <v>78</v>
      </c>
      <c r="D88" s="47">
        <f>+D28-D37</f>
        <v>132.93120975939442</v>
      </c>
      <c r="E88" s="38" t="s">
        <v>1</v>
      </c>
      <c r="G88" s="37" t="s">
        <v>78</v>
      </c>
      <c r="H88" s="47">
        <f>+D28-D37</f>
        <v>132.93120975939442</v>
      </c>
      <c r="I88" s="38" t="s">
        <v>1</v>
      </c>
    </row>
    <row r="89" spans="2:16" ht="13.5" thickBot="1" x14ac:dyDescent="0.25">
      <c r="C89" s="53" t="s">
        <v>79</v>
      </c>
      <c r="D89" s="54">
        <f>+D88-D87</f>
        <v>42.19979084973879</v>
      </c>
      <c r="E89" s="55" t="s">
        <v>1</v>
      </c>
      <c r="G89" s="53" t="s">
        <v>79</v>
      </c>
      <c r="H89" s="54">
        <f>+H88-H87</f>
        <v>-191.43072441564445</v>
      </c>
      <c r="I89" s="55" t="s">
        <v>1</v>
      </c>
    </row>
    <row r="92" spans="2:16" x14ac:dyDescent="0.2">
      <c r="C92" s="166" t="s">
        <v>303</v>
      </c>
      <c r="F92" s="310" t="s">
        <v>306</v>
      </c>
      <c r="G92" s="310"/>
      <c r="H92" s="310"/>
      <c r="I92" s="310"/>
    </row>
    <row r="93" spans="2:16" ht="13.5" thickBot="1" x14ac:dyDescent="0.25"/>
    <row r="94" spans="2:16" ht="38.25" customHeight="1" x14ac:dyDescent="0.2">
      <c r="B94" s="307" t="s">
        <v>305</v>
      </c>
      <c r="C94" s="159" t="s">
        <v>298</v>
      </c>
      <c r="D94" s="157">
        <f>+C64+C53+C41</f>
        <v>245704.95075705185</v>
      </c>
      <c r="E94" s="25" t="s">
        <v>301</v>
      </c>
      <c r="F94" s="307" t="s">
        <v>305</v>
      </c>
      <c r="G94" s="159" t="s">
        <v>298</v>
      </c>
      <c r="H94" s="157">
        <f>+D94</f>
        <v>245704.95075705185</v>
      </c>
      <c r="I94" s="25" t="s">
        <v>301</v>
      </c>
      <c r="J94" s="307" t="s">
        <v>305</v>
      </c>
      <c r="K94" s="159" t="s">
        <v>298</v>
      </c>
      <c r="L94" s="157">
        <f>+H94</f>
        <v>245704.95075705185</v>
      </c>
      <c r="M94" s="25" t="s">
        <v>301</v>
      </c>
    </row>
    <row r="95" spans="2:16" x14ac:dyDescent="0.2">
      <c r="B95" s="308"/>
      <c r="C95" s="1" t="s">
        <v>297</v>
      </c>
      <c r="D95" s="1">
        <f>+D86</f>
        <v>640972.10888726229</v>
      </c>
      <c r="E95" s="5" t="s">
        <v>301</v>
      </c>
      <c r="F95" s="308"/>
      <c r="G95" s="1" t="s">
        <v>297</v>
      </c>
      <c r="H95" s="1">
        <f>+H86</f>
        <v>2357462.5375841828</v>
      </c>
      <c r="I95" s="5" t="s">
        <v>301</v>
      </c>
      <c r="J95" s="308"/>
      <c r="K95" s="1" t="s">
        <v>297</v>
      </c>
      <c r="L95" s="1">
        <f>+L94/L96</f>
        <v>491409.90151410369</v>
      </c>
      <c r="M95" s="5" t="s">
        <v>301</v>
      </c>
      <c r="N95" s="166" t="s">
        <v>302</v>
      </c>
      <c r="O95" s="166">
        <v>166817.5728136031</v>
      </c>
      <c r="P95" s="166" t="s">
        <v>301</v>
      </c>
    </row>
    <row r="96" spans="2:16" x14ac:dyDescent="0.2">
      <c r="B96" s="308"/>
      <c r="C96" s="1" t="s">
        <v>300</v>
      </c>
      <c r="D96" s="155">
        <f>+D94/D95</f>
        <v>0.38333173526629655</v>
      </c>
      <c r="E96" s="5" t="s">
        <v>49</v>
      </c>
      <c r="F96" s="308"/>
      <c r="G96" s="1" t="s">
        <v>300</v>
      </c>
      <c r="H96" s="155">
        <f>+H94/H95</f>
        <v>0.10422432884504658</v>
      </c>
      <c r="I96" s="5" t="s">
        <v>49</v>
      </c>
      <c r="J96" s="308"/>
      <c r="K96" s="1" t="s">
        <v>300</v>
      </c>
      <c r="L96" s="155">
        <v>0.5</v>
      </c>
      <c r="M96" s="5" t="s">
        <v>49</v>
      </c>
    </row>
    <row r="97" spans="2:15" x14ac:dyDescent="0.2">
      <c r="B97" s="308"/>
      <c r="C97" s="1" t="s">
        <v>75</v>
      </c>
      <c r="D97" s="1">
        <f>+D87</f>
        <v>90.731418909655631</v>
      </c>
      <c r="E97" s="5" t="s">
        <v>1</v>
      </c>
      <c r="F97" s="308"/>
      <c r="G97" s="1" t="s">
        <v>75</v>
      </c>
      <c r="H97" s="1">
        <f>+H87</f>
        <v>324.36193417503887</v>
      </c>
      <c r="I97" s="5" t="s">
        <v>1</v>
      </c>
      <c r="J97" s="308"/>
      <c r="K97" s="1" t="s">
        <v>75</v>
      </c>
      <c r="L97" s="23">
        <f>+L95/D85</f>
        <v>69.560464507623138</v>
      </c>
      <c r="M97" s="5" t="s">
        <v>1</v>
      </c>
    </row>
    <row r="98" spans="2:15" x14ac:dyDescent="0.2">
      <c r="B98" s="308"/>
      <c r="C98" s="1" t="s">
        <v>299</v>
      </c>
      <c r="D98" s="156">
        <f>+D88</f>
        <v>132.93120975939442</v>
      </c>
      <c r="E98" s="5" t="s">
        <v>1</v>
      </c>
      <c r="F98" s="308"/>
      <c r="G98" s="1" t="s">
        <v>299</v>
      </c>
      <c r="H98" s="156">
        <f>+H88</f>
        <v>132.93120975939442</v>
      </c>
      <c r="I98" s="5" t="s">
        <v>1</v>
      </c>
      <c r="J98" s="308"/>
      <c r="K98" s="1" t="s">
        <v>299</v>
      </c>
      <c r="L98" s="156">
        <f>+H98</f>
        <v>132.93120975939442</v>
      </c>
      <c r="M98" s="5" t="s">
        <v>1</v>
      </c>
    </row>
    <row r="99" spans="2:15" ht="13.5" thickBot="1" x14ac:dyDescent="0.25">
      <c r="B99" s="309"/>
      <c r="C99" s="160" t="s">
        <v>79</v>
      </c>
      <c r="D99" s="161">
        <f>+D89</f>
        <v>42.19979084973879</v>
      </c>
      <c r="E99" s="162" t="s">
        <v>1</v>
      </c>
      <c r="F99" s="309"/>
      <c r="G99" s="28" t="s">
        <v>79</v>
      </c>
      <c r="H99" s="163">
        <f>+H89</f>
        <v>-191.43072441564445</v>
      </c>
      <c r="I99" s="164" t="s">
        <v>1</v>
      </c>
      <c r="J99" s="309"/>
      <c r="K99" s="160" t="s">
        <v>79</v>
      </c>
      <c r="L99" s="161">
        <f>+L98-L97</f>
        <v>63.370745251771282</v>
      </c>
      <c r="M99" s="162" t="s">
        <v>1</v>
      </c>
    </row>
    <row r="100" spans="2:15" ht="38.25" customHeight="1" x14ac:dyDescent="0.2">
      <c r="B100" s="307" t="s">
        <v>304</v>
      </c>
      <c r="C100" s="159" t="s">
        <v>298</v>
      </c>
      <c r="D100" s="157">
        <f>+D94</f>
        <v>245704.95075705185</v>
      </c>
      <c r="E100" s="25" t="s">
        <v>301</v>
      </c>
      <c r="F100" s="307" t="s">
        <v>304</v>
      </c>
      <c r="G100" s="159" t="s">
        <v>298</v>
      </c>
      <c r="H100" s="157">
        <f>+D100</f>
        <v>245704.95075705185</v>
      </c>
      <c r="I100" s="25" t="s">
        <v>301</v>
      </c>
      <c r="J100" s="307" t="s">
        <v>304</v>
      </c>
      <c r="K100" s="159" t="s">
        <v>298</v>
      </c>
      <c r="L100" s="157">
        <f>+H100</f>
        <v>245704.95075705185</v>
      </c>
      <c r="M100" s="25" t="s">
        <v>301</v>
      </c>
      <c r="O100" s="166">
        <v>449800.49766007665</v>
      </c>
    </row>
    <row r="101" spans="2:15" x14ac:dyDescent="0.2">
      <c r="B101" s="308"/>
      <c r="C101" s="1" t="s">
        <v>297</v>
      </c>
      <c r="D101" s="1">
        <f>+E80*D82/D83</f>
        <v>640972.10888726229</v>
      </c>
      <c r="E101" s="5" t="s">
        <v>301</v>
      </c>
      <c r="F101" s="308"/>
      <c r="G101" s="1" t="s">
        <v>297</v>
      </c>
      <c r="H101" s="1">
        <f>+H95</f>
        <v>2357462.5375841828</v>
      </c>
      <c r="I101" s="5" t="s">
        <v>301</v>
      </c>
      <c r="J101" s="308"/>
      <c r="K101" s="1" t="s">
        <v>297</v>
      </c>
      <c r="L101" s="1">
        <f>+L100/L102</f>
        <v>491409.90151410369</v>
      </c>
      <c r="M101" s="5" t="s">
        <v>301</v>
      </c>
      <c r="O101" s="61">
        <f>+N101*0.6</f>
        <v>0</v>
      </c>
    </row>
    <row r="102" spans="2:15" x14ac:dyDescent="0.2">
      <c r="B102" s="308"/>
      <c r="C102" s="1" t="s">
        <v>300</v>
      </c>
      <c r="D102" s="155">
        <f>+D100/D101</f>
        <v>0.38333173526629655</v>
      </c>
      <c r="E102" s="5" t="s">
        <v>49</v>
      </c>
      <c r="F102" s="308"/>
      <c r="G102" s="1" t="s">
        <v>300</v>
      </c>
      <c r="H102" s="155">
        <f>+H100/H101</f>
        <v>0.10422432884504658</v>
      </c>
      <c r="I102" s="5" t="s">
        <v>49</v>
      </c>
      <c r="J102" s="308"/>
      <c r="K102" s="1" t="s">
        <v>300</v>
      </c>
      <c r="L102" s="155">
        <v>0.5</v>
      </c>
      <c r="M102" s="5" t="s">
        <v>49</v>
      </c>
    </row>
    <row r="103" spans="2:15" x14ac:dyDescent="0.2">
      <c r="B103" s="308"/>
      <c r="C103" s="1" t="s">
        <v>75</v>
      </c>
      <c r="D103" s="1">
        <f>+D101/D107</f>
        <v>54.574040773713257</v>
      </c>
      <c r="E103" s="5" t="s">
        <v>1</v>
      </c>
      <c r="F103" s="308"/>
      <c r="G103" s="1" t="s">
        <v>75</v>
      </c>
      <c r="H103" s="1">
        <f>+H101/H107</f>
        <v>200.7205225699602</v>
      </c>
      <c r="I103" s="5" t="s">
        <v>1</v>
      </c>
      <c r="J103" s="308"/>
      <c r="K103" s="1" t="s">
        <v>75</v>
      </c>
      <c r="L103" s="23">
        <f>+L101/L107</f>
        <v>41.83992350056225</v>
      </c>
      <c r="M103" s="5" t="s">
        <v>1</v>
      </c>
    </row>
    <row r="104" spans="2:15" x14ac:dyDescent="0.2">
      <c r="B104" s="308"/>
      <c r="C104" s="1" t="s">
        <v>299</v>
      </c>
      <c r="D104" s="156">
        <f>+L108</f>
        <v>89.253812267021971</v>
      </c>
      <c r="E104" s="5" t="s">
        <v>1</v>
      </c>
      <c r="F104" s="308"/>
      <c r="G104" s="1" t="s">
        <v>299</v>
      </c>
      <c r="H104" s="156">
        <f>+L108</f>
        <v>89.253812267021971</v>
      </c>
      <c r="I104" s="5" t="s">
        <v>1</v>
      </c>
      <c r="J104" s="308"/>
      <c r="K104" s="1" t="s">
        <v>299</v>
      </c>
      <c r="L104" s="156">
        <f>+L108</f>
        <v>89.253812267021971</v>
      </c>
      <c r="M104" s="5" t="s">
        <v>1</v>
      </c>
    </row>
    <row r="105" spans="2:15" ht="13.5" thickBot="1" x14ac:dyDescent="0.25">
      <c r="B105" s="309"/>
      <c r="C105" s="160" t="s">
        <v>79</v>
      </c>
      <c r="D105" s="161">
        <f>+D104-D103</f>
        <v>34.679771493308714</v>
      </c>
      <c r="E105" s="162" t="s">
        <v>1</v>
      </c>
      <c r="F105" s="309"/>
      <c r="G105" s="28" t="s">
        <v>79</v>
      </c>
      <c r="H105" s="163">
        <f>+H104-H103</f>
        <v>-111.46671030293822</v>
      </c>
      <c r="I105" s="164" t="s">
        <v>1</v>
      </c>
      <c r="J105" s="309"/>
      <c r="K105" s="28" t="s">
        <v>79</v>
      </c>
      <c r="L105" s="163">
        <f>+L104-L103</f>
        <v>47.413888766459721</v>
      </c>
      <c r="M105" s="164" t="s">
        <v>1</v>
      </c>
      <c r="N105" s="158">
        <v>0.53</v>
      </c>
    </row>
    <row r="106" spans="2:15" x14ac:dyDescent="0.2">
      <c r="C106" s="34" t="s">
        <v>73</v>
      </c>
      <c r="D106" s="168">
        <f>+L106</f>
        <v>0.3</v>
      </c>
      <c r="E106" s="36" t="s">
        <v>49</v>
      </c>
      <c r="F106" s="172"/>
      <c r="G106" s="34" t="s">
        <v>73</v>
      </c>
      <c r="H106" s="168">
        <f>+L106</f>
        <v>0.3</v>
      </c>
      <c r="I106" s="36" t="s">
        <v>49</v>
      </c>
      <c r="J106" s="172"/>
      <c r="K106" s="34" t="s">
        <v>73</v>
      </c>
      <c r="L106" s="168">
        <v>0.3</v>
      </c>
      <c r="M106" s="36" t="s">
        <v>49</v>
      </c>
    </row>
    <row r="107" spans="2:15" x14ac:dyDescent="0.2">
      <c r="C107" s="37" t="s">
        <v>74</v>
      </c>
      <c r="D107" s="23">
        <f>+PCI_bagazo(D106)</f>
        <v>11745.000000000002</v>
      </c>
      <c r="E107" s="38" t="s">
        <v>25</v>
      </c>
      <c r="G107" s="37" t="s">
        <v>74</v>
      </c>
      <c r="H107" s="23">
        <f>+PCI_bagazo(H106)</f>
        <v>11745.000000000002</v>
      </c>
      <c r="I107" s="38" t="s">
        <v>25</v>
      </c>
      <c r="K107" s="37" t="s">
        <v>74</v>
      </c>
      <c r="L107" s="23">
        <f>+PCI_bagazo(L106)</f>
        <v>11745.000000000002</v>
      </c>
      <c r="M107" s="38" t="s">
        <v>25</v>
      </c>
    </row>
    <row r="108" spans="2:15" ht="12.75" customHeight="1" thickBot="1" x14ac:dyDescent="0.25">
      <c r="C108" s="169" t="s">
        <v>299</v>
      </c>
      <c r="D108" s="170">
        <f>+D95*(1-D84)/(1-D106)</f>
        <v>430366.9873957333</v>
      </c>
      <c r="E108" s="171"/>
      <c r="G108" s="169" t="s">
        <v>299</v>
      </c>
      <c r="H108" s="170">
        <f>+H98*(1-D84)/(1-H106)</f>
        <v>89.253812267021971</v>
      </c>
      <c r="I108" s="171"/>
      <c r="K108" s="169" t="s">
        <v>299</v>
      </c>
      <c r="L108" s="170">
        <f>+L98*(1-D84)/(1-L106)</f>
        <v>89.253812267021971</v>
      </c>
      <c r="M108" s="171"/>
    </row>
    <row r="109" spans="2:15" x14ac:dyDescent="0.2">
      <c r="D109" s="158"/>
    </row>
    <row r="111" spans="2:15" x14ac:dyDescent="0.2">
      <c r="C111" s="37" t="s">
        <v>307</v>
      </c>
      <c r="D111" s="174">
        <v>21300</v>
      </c>
      <c r="E111" s="174" t="s">
        <v>310</v>
      </c>
    </row>
    <row r="112" spans="2:15" x14ac:dyDescent="0.2">
      <c r="C112" s="158" t="s">
        <v>311</v>
      </c>
      <c r="D112" s="175">
        <f>-D99*D85/D111</f>
        <v>-13.996263965163367</v>
      </c>
      <c r="E112" s="174" t="s">
        <v>150</v>
      </c>
      <c r="L112" s="158"/>
      <c r="N112" s="166">
        <v>3.476882168309964</v>
      </c>
      <c r="O112" s="166">
        <f>+N112*110</f>
        <v>382.45703851409604</v>
      </c>
    </row>
    <row r="113" spans="3:5" x14ac:dyDescent="0.2">
      <c r="C113" s="158" t="s">
        <v>311</v>
      </c>
      <c r="D113" s="175">
        <f>-D105*D107/D111</f>
        <v>-19.122719069901919</v>
      </c>
      <c r="E113" s="174" t="s">
        <v>150</v>
      </c>
    </row>
    <row r="114" spans="3:5" ht="12.75" customHeight="1" x14ac:dyDescent="0.2">
      <c r="C114" s="37" t="s">
        <v>308</v>
      </c>
      <c r="D114" s="176">
        <v>35400</v>
      </c>
      <c r="E114" s="174" t="s">
        <v>312</v>
      </c>
    </row>
    <row r="115" spans="3:5" x14ac:dyDescent="0.2">
      <c r="C115" s="158" t="s">
        <v>309</v>
      </c>
    </row>
    <row r="116" spans="3:5" x14ac:dyDescent="0.2">
      <c r="C116" s="158" t="s">
        <v>309</v>
      </c>
    </row>
  </sheetData>
  <mergeCells count="11">
    <mergeCell ref="B100:B105"/>
    <mergeCell ref="F100:F105"/>
    <mergeCell ref="J100:J105"/>
    <mergeCell ref="B4:D4"/>
    <mergeCell ref="F4:H4"/>
    <mergeCell ref="J4:L4"/>
    <mergeCell ref="G72:I72"/>
    <mergeCell ref="F92:I92"/>
    <mergeCell ref="B94:B99"/>
    <mergeCell ref="F94:F99"/>
    <mergeCell ref="J94:J9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Balance de Jugo</vt:lpstr>
      <vt:lpstr>Desde_Caña</vt:lpstr>
      <vt:lpstr>Desde_Miel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Andrés López Zaraza</dc:creator>
  <cp:lastModifiedBy>John Javier Espitia Gonzalez</cp:lastModifiedBy>
  <dcterms:created xsi:type="dcterms:W3CDTF">2017-10-02T13:18:53Z</dcterms:created>
  <dcterms:modified xsi:type="dcterms:W3CDTF">2019-07-25T15:56:05Z</dcterms:modified>
</cp:coreProperties>
</file>