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filterPrivacy="1" codeName="ThisWorkbook"/>
  <xr:revisionPtr revIDLastSave="0" documentId="13_ncr:1_{71F15EBE-AE1D-4900-80DC-796993C1D328}" xr6:coauthVersionLast="36" xr6:coauthVersionMax="36" xr10:uidLastSave="{00000000-0000-0000-0000-000000000000}"/>
  <bookViews>
    <workbookView xWindow="0" yWindow="0" windowWidth="28800" windowHeight="13425" xr2:uid="{00000000-000D-0000-FFFF-FFFF00000000}"/>
  </bookViews>
  <sheets>
    <sheet name="D_Inicial" sheetId="2" r:id="rId1"/>
    <sheet name="Diseño_EVA" sheetId="6" r:id="rId2"/>
    <sheet name="Diseño_EME" sheetId="7" r:id="rId3"/>
    <sheet name="Diseño Economico" sheetId="5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64" i="2" l="1"/>
  <c r="N68" i="2" s="1"/>
  <c r="N11" i="5" l="1"/>
  <c r="O11" i="5"/>
  <c r="P11" i="5"/>
  <c r="Q11" i="5"/>
  <c r="R11" i="5"/>
  <c r="S11" i="5"/>
  <c r="T11" i="5"/>
  <c r="U11" i="5"/>
  <c r="V11" i="5"/>
  <c r="W11" i="5"/>
  <c r="X11" i="5"/>
  <c r="Y11" i="5"/>
  <c r="Z11" i="5"/>
  <c r="AA11" i="5"/>
  <c r="M11" i="5"/>
  <c r="K32" i="5"/>
  <c r="L6" i="5"/>
  <c r="L11" i="5" s="1"/>
  <c r="L15" i="5" s="1"/>
  <c r="L14" i="5" s="1"/>
  <c r="M38" i="5"/>
  <c r="F6" i="5" l="1"/>
  <c r="F5" i="5"/>
  <c r="F7" i="5" s="1"/>
  <c r="F41" i="5"/>
  <c r="F40" i="5"/>
  <c r="F39" i="5"/>
  <c r="F23" i="5"/>
  <c r="F22" i="5"/>
  <c r="E48" i="5"/>
  <c r="F48" i="5" s="1"/>
  <c r="F46" i="5"/>
  <c r="F38" i="5"/>
  <c r="F36" i="5"/>
  <c r="F37" i="5"/>
  <c r="F27" i="5"/>
  <c r="F28" i="5"/>
  <c r="F29" i="5"/>
  <c r="F30" i="5"/>
  <c r="F31" i="5"/>
  <c r="F32" i="5"/>
  <c r="F33" i="5"/>
  <c r="F34" i="5"/>
  <c r="F35" i="5"/>
  <c r="F47" i="5"/>
  <c r="I31" i="5"/>
  <c r="F10" i="5"/>
  <c r="F11" i="5"/>
  <c r="F12" i="5"/>
  <c r="F13" i="5"/>
  <c r="F14" i="5"/>
  <c r="F15" i="5"/>
  <c r="F16" i="5"/>
  <c r="F17" i="5"/>
  <c r="F18" i="5"/>
  <c r="F19" i="5"/>
  <c r="F20" i="5"/>
  <c r="F21" i="5"/>
  <c r="F24" i="5" l="1"/>
  <c r="F43" i="5" s="1"/>
  <c r="F42" i="5"/>
  <c r="F49" i="5"/>
  <c r="F50" i="5" s="1"/>
  <c r="F52" i="5" l="1"/>
  <c r="F53" i="5" s="1"/>
  <c r="A57" i="5" s="1"/>
  <c r="A58" i="5" l="1"/>
  <c r="C57" i="5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D89" i="5"/>
  <c r="D88" i="5"/>
  <c r="D87" i="5"/>
  <c r="D90" i="5" s="1"/>
  <c r="D95" i="5" s="1"/>
  <c r="K51" i="2" l="1"/>
  <c r="K50" i="2"/>
  <c r="K49" i="2"/>
  <c r="K55" i="2" s="1"/>
  <c r="K44" i="2"/>
  <c r="T49" i="2"/>
  <c r="T47" i="2"/>
  <c r="X46" i="2" s="1"/>
  <c r="X47" i="2" s="1"/>
  <c r="X48" i="2" s="1"/>
  <c r="T51" i="2" s="1"/>
  <c r="T53" i="2" s="1"/>
  <c r="X45" i="2"/>
  <c r="T44" i="2"/>
  <c r="T55" i="2" s="1"/>
  <c r="H47" i="2"/>
  <c r="H46" i="2"/>
  <c r="G47" i="2"/>
  <c r="E47" i="2"/>
  <c r="E46" i="2"/>
  <c r="K53" i="2" l="1"/>
  <c r="X16" i="2"/>
  <c r="X17" i="2" s="1"/>
  <c r="AA6" i="2" l="1"/>
  <c r="AC6" i="2"/>
  <c r="AC7" i="2"/>
  <c r="AC10" i="2" s="1"/>
  <c r="D10" i="2"/>
  <c r="X21" i="2" s="1"/>
  <c r="R5" i="2"/>
  <c r="R6" i="2"/>
  <c r="D24" i="2"/>
  <c r="R16" i="2" s="1"/>
  <c r="R17" i="2"/>
  <c r="R18" i="2"/>
  <c r="R20" i="2"/>
  <c r="D36" i="2"/>
  <c r="D37" i="2" s="1"/>
  <c r="E48" i="2"/>
  <c r="F46" i="2"/>
  <c r="F48" i="2" s="1"/>
  <c r="F51" i="2" s="1"/>
  <c r="G46" i="2"/>
  <c r="K8" i="2" l="1"/>
  <c r="G48" i="2"/>
  <c r="G51" i="2" s="1"/>
  <c r="R4" i="2"/>
  <c r="E55" i="2"/>
  <c r="E54" i="2"/>
  <c r="E56" i="2" s="1"/>
  <c r="E51" i="2"/>
  <c r="E50" i="2"/>
  <c r="H54" i="2"/>
  <c r="H56" i="2" s="1"/>
  <c r="K9" i="2"/>
  <c r="K10" i="2"/>
  <c r="K11" i="2" s="1"/>
  <c r="X15" i="2" s="1"/>
  <c r="X18" i="2" s="1"/>
  <c r="X20" i="2" s="1"/>
  <c r="X25" i="2" s="1"/>
  <c r="H48" i="2"/>
  <c r="R10" i="2"/>
  <c r="R9" i="2"/>
  <c r="G54" i="2"/>
  <c r="G56" i="2" s="1"/>
  <c r="G50" i="2"/>
  <c r="R8" i="2"/>
  <c r="F54" i="2"/>
  <c r="F56" i="2" s="1"/>
  <c r="F50" i="2"/>
  <c r="H55" i="2"/>
  <c r="G55" i="2"/>
  <c r="F55" i="2"/>
  <c r="X6" i="2" l="1"/>
  <c r="X7" i="2" s="1"/>
  <c r="X9" i="2" s="1"/>
  <c r="R14" i="2"/>
  <c r="H51" i="2"/>
  <c r="H50" i="2"/>
  <c r="R13" i="2"/>
  <c r="R12" i="2"/>
  <c r="K15" i="2"/>
  <c r="K12" i="2"/>
  <c r="K13" i="2" s="1"/>
  <c r="K14" i="2" l="1"/>
  <c r="D19" i="2" s="1"/>
  <c r="X26" i="2" l="1"/>
  <c r="Z26" i="2" s="1"/>
  <c r="X28" i="2"/>
  <c r="X31" i="2" s="1"/>
  <c r="Y31" i="2" s="1"/>
  <c r="K23" i="2"/>
  <c r="F49" i="2" s="1"/>
  <c r="G49" i="2" s="1"/>
  <c r="H49" i="2" s="1"/>
  <c r="K26" i="2" l="1"/>
  <c r="K21" i="2"/>
  <c r="E49" i="2" s="1"/>
  <c r="K22" i="2"/>
  <c r="K24" i="2"/>
  <c r="K25" i="2"/>
  <c r="K19" i="2"/>
  <c r="K27" i="2"/>
  <c r="K35" i="2" s="1"/>
  <c r="K34" i="2" l="1"/>
  <c r="K20" i="2"/>
  <c r="D35" i="2"/>
  <c r="K37" i="2"/>
  <c r="K18" i="2"/>
  <c r="K29" i="2" s="1"/>
  <c r="K30" i="2" s="1"/>
  <c r="F19" i="2" s="1"/>
  <c r="D20" i="2" s="1"/>
  <c r="R24" i="2" s="1"/>
  <c r="K33" i="2"/>
  <c r="K36" i="2" s="1"/>
  <c r="R21" i="2" l="1"/>
  <c r="R22" i="2" s="1"/>
  <c r="K28" i="2"/>
  <c r="D21" i="2" l="1"/>
  <c r="E57" i="2" l="1"/>
  <c r="E58" i="2" s="1"/>
  <c r="E52" i="2"/>
  <c r="E53" i="2" s="1"/>
  <c r="F57" i="2" l="1"/>
  <c r="F58" i="2" s="1"/>
  <c r="F52" i="2"/>
  <c r="F53" i="2" s="1"/>
  <c r="G52" i="2" l="1"/>
  <c r="G53" i="2" s="1"/>
  <c r="G57" i="2"/>
  <c r="G58" i="2" s="1"/>
  <c r="H57" i="2" l="1"/>
  <c r="H58" i="2" s="1"/>
  <c r="H52" i="2"/>
  <c r="H53" i="2" s="1"/>
</calcChain>
</file>

<file path=xl/sharedStrings.xml><?xml version="1.0" encoding="utf-8"?>
<sst xmlns="http://schemas.openxmlformats.org/spreadsheetml/2006/main" count="463" uniqueCount="343">
  <si>
    <t>Datos de Entrada</t>
  </si>
  <si>
    <t>Masas</t>
  </si>
  <si>
    <r>
      <t>m</t>
    </r>
    <r>
      <rPr>
        <sz val="8"/>
        <color theme="1"/>
        <rFont val="Calibri"/>
        <family val="2"/>
        <scheme val="minor"/>
      </rPr>
      <t>p</t>
    </r>
  </si>
  <si>
    <t>Kg/h</t>
  </si>
  <si>
    <r>
      <t>E</t>
    </r>
    <r>
      <rPr>
        <sz val="8"/>
        <color theme="1"/>
        <rFont val="Calibri"/>
        <family val="2"/>
        <scheme val="minor"/>
      </rPr>
      <t>ff</t>
    </r>
  </si>
  <si>
    <t>%</t>
  </si>
  <si>
    <t>Poder Calorifico Vagazo</t>
  </si>
  <si>
    <t>VCN</t>
  </si>
  <si>
    <t>MJ/kg</t>
  </si>
  <si>
    <t>Bagazillo en Prelimpiador</t>
  </si>
  <si>
    <t>Bgz</t>
  </si>
  <si>
    <r>
      <t>T</t>
    </r>
    <r>
      <rPr>
        <sz val="8"/>
        <color theme="1"/>
        <rFont val="Calibri"/>
        <family val="2"/>
        <scheme val="minor"/>
      </rPr>
      <t>Sclf</t>
    </r>
  </si>
  <si>
    <t>°C</t>
  </si>
  <si>
    <t>Cachaza</t>
  </si>
  <si>
    <t>Chz</t>
  </si>
  <si>
    <r>
      <t>T</t>
    </r>
    <r>
      <rPr>
        <sz val="8"/>
        <color theme="1"/>
        <rFont val="Calibri"/>
        <family val="2"/>
        <scheme val="minor"/>
      </rPr>
      <t>SEva</t>
    </r>
  </si>
  <si>
    <t>Calor Suministrado</t>
  </si>
  <si>
    <r>
      <t>Q</t>
    </r>
    <r>
      <rPr>
        <sz val="8"/>
        <color theme="1"/>
        <rFont val="Calibri"/>
        <family val="2"/>
        <scheme val="minor"/>
      </rPr>
      <t>sum</t>
    </r>
  </si>
  <si>
    <t>KW</t>
  </si>
  <si>
    <t>CSS del Jugo De Caña</t>
  </si>
  <si>
    <r>
      <t>Css</t>
    </r>
    <r>
      <rPr>
        <sz val="8"/>
        <color theme="1"/>
        <rFont val="Calibri"/>
        <family val="2"/>
        <scheme val="minor"/>
      </rPr>
      <t>i</t>
    </r>
  </si>
  <si>
    <t>°Bx</t>
  </si>
  <si>
    <r>
      <t>T</t>
    </r>
    <r>
      <rPr>
        <sz val="8"/>
        <color theme="1"/>
        <rFont val="Calibri"/>
        <family val="2"/>
        <scheme val="minor"/>
      </rPr>
      <t>SCon</t>
    </r>
  </si>
  <si>
    <t>CSS  del Jugo Calrificado</t>
  </si>
  <si>
    <r>
      <t>Css</t>
    </r>
    <r>
      <rPr>
        <sz val="8"/>
        <color theme="1"/>
        <rFont val="Calibri"/>
        <family val="2"/>
        <scheme val="minor"/>
      </rPr>
      <t>Cl</t>
    </r>
  </si>
  <si>
    <t>Area de Parrilla</t>
  </si>
  <si>
    <t>Apar</t>
  </si>
  <si>
    <t>m^2</t>
  </si>
  <si>
    <t>CSS  del Jugo Posevaporacion</t>
  </si>
  <si>
    <r>
      <t>Css</t>
    </r>
    <r>
      <rPr>
        <sz val="8"/>
        <color theme="1"/>
        <rFont val="Calibri"/>
        <family val="2"/>
        <scheme val="minor"/>
      </rPr>
      <t>TE</t>
    </r>
  </si>
  <si>
    <t>kg</t>
  </si>
  <si>
    <r>
      <rPr>
        <sz val="11"/>
        <color theme="1"/>
        <rFont val="Calibri"/>
        <family val="2"/>
      </rPr>
      <t>ΔH</t>
    </r>
    <r>
      <rPr>
        <sz val="8"/>
        <color theme="1"/>
        <rFont val="Calibri"/>
        <family val="2"/>
      </rPr>
      <t>v</t>
    </r>
  </si>
  <si>
    <t>KJ/kg</t>
  </si>
  <si>
    <r>
      <t>B</t>
    </r>
    <r>
      <rPr>
        <sz val="8"/>
        <color theme="1"/>
        <rFont val="Calibri"/>
        <family val="2"/>
        <scheme val="minor"/>
      </rPr>
      <t>p</t>
    </r>
  </si>
  <si>
    <r>
      <t>m</t>
    </r>
    <r>
      <rPr>
        <sz val="8"/>
        <color theme="1"/>
        <rFont val="Calibri"/>
        <family val="2"/>
        <scheme val="minor"/>
      </rPr>
      <t>EV</t>
    </r>
  </si>
  <si>
    <r>
      <t>m</t>
    </r>
    <r>
      <rPr>
        <sz val="8"/>
        <color theme="1"/>
        <rFont val="Calibri"/>
        <family val="2"/>
        <scheme val="minor"/>
      </rPr>
      <t>ev</t>
    </r>
  </si>
  <si>
    <t>Kg</t>
  </si>
  <si>
    <t>CSS Panela</t>
  </si>
  <si>
    <r>
      <t>m</t>
    </r>
    <r>
      <rPr>
        <sz val="8"/>
        <color theme="1"/>
        <rFont val="Calibri"/>
        <family val="2"/>
        <scheme val="minor"/>
      </rPr>
      <t>Cn</t>
    </r>
  </si>
  <si>
    <t>Tipo de camara</t>
  </si>
  <si>
    <t>Tpcam</t>
  </si>
  <si>
    <t>Plana</t>
  </si>
  <si>
    <t>Ad</t>
  </si>
  <si>
    <t>Humedad del bagazo</t>
  </si>
  <si>
    <r>
      <t>H</t>
    </r>
    <r>
      <rPr>
        <sz val="8"/>
        <color theme="1"/>
        <rFont val="Calibri"/>
        <family val="2"/>
        <scheme val="minor"/>
      </rPr>
      <t>b</t>
    </r>
  </si>
  <si>
    <r>
      <t>C</t>
    </r>
    <r>
      <rPr>
        <sz val="8"/>
        <color theme="1"/>
        <rFont val="Calibri"/>
        <family val="2"/>
        <scheme val="minor"/>
      </rPr>
      <t>p</t>
    </r>
  </si>
  <si>
    <t>KJ/Kg °C</t>
  </si>
  <si>
    <t>Exceso de Aire</t>
  </si>
  <si>
    <t>λ</t>
  </si>
  <si>
    <r>
      <rPr>
        <sz val="11"/>
        <color theme="1"/>
        <rFont val="Calibri"/>
        <family val="2"/>
      </rPr>
      <t>ρ</t>
    </r>
    <r>
      <rPr>
        <sz val="8"/>
        <color theme="1"/>
        <rFont val="Calibri"/>
        <family val="2"/>
      </rPr>
      <t>Clf</t>
    </r>
  </si>
  <si>
    <t>kg/m3</t>
  </si>
  <si>
    <t>Extraccion</t>
  </si>
  <si>
    <t>Extr</t>
  </si>
  <si>
    <r>
      <t>ρ</t>
    </r>
    <r>
      <rPr>
        <sz val="8"/>
        <color theme="1"/>
        <rFont val="Calibri"/>
        <family val="2"/>
      </rPr>
      <t>Eva1</t>
    </r>
  </si>
  <si>
    <t>Porcentaje de Fibra</t>
  </si>
  <si>
    <t>f</t>
  </si>
  <si>
    <r>
      <t>ρ</t>
    </r>
    <r>
      <rPr>
        <sz val="8"/>
        <color theme="1"/>
        <rFont val="Calibri"/>
        <family val="2"/>
      </rPr>
      <t>Con</t>
    </r>
  </si>
  <si>
    <t>Altura del Sitio</t>
  </si>
  <si>
    <t>h</t>
  </si>
  <si>
    <t>m</t>
  </si>
  <si>
    <t>Qcl</t>
  </si>
  <si>
    <t>Temperatura Ambiente</t>
  </si>
  <si>
    <r>
      <t>T</t>
    </r>
    <r>
      <rPr>
        <sz val="8"/>
        <color theme="1"/>
        <rFont val="Calibri"/>
        <family val="2"/>
        <scheme val="minor"/>
      </rPr>
      <t>a</t>
    </r>
  </si>
  <si>
    <t>Qev1</t>
  </si>
  <si>
    <t>Humedad inicial bagazo</t>
  </si>
  <si>
    <t>Hibv</t>
  </si>
  <si>
    <t>Qcn</t>
  </si>
  <si>
    <t>Qt</t>
  </si>
  <si>
    <t>Presion Atmosferica</t>
  </si>
  <si>
    <r>
      <t>P</t>
    </r>
    <r>
      <rPr>
        <sz val="8"/>
        <color theme="1"/>
        <rFont val="Calibri"/>
        <family val="2"/>
        <scheme val="minor"/>
      </rPr>
      <t>a</t>
    </r>
  </si>
  <si>
    <t>mmHG</t>
  </si>
  <si>
    <t>Temperatura Ebullición Agua</t>
  </si>
  <si>
    <r>
      <t>T</t>
    </r>
    <r>
      <rPr>
        <sz val="8"/>
        <color theme="1"/>
        <rFont val="Calibri"/>
        <family val="2"/>
        <scheme val="minor"/>
      </rPr>
      <t>e</t>
    </r>
  </si>
  <si>
    <t>Factor Consumo Bagazo</t>
  </si>
  <si>
    <t>Fcb</t>
  </si>
  <si>
    <t>Kg/Kg</t>
  </si>
  <si>
    <t>Numero de Pailas</t>
  </si>
  <si>
    <t>Tipo de Paila</t>
  </si>
  <si>
    <t>N Aletas</t>
  </si>
  <si>
    <t>A</t>
  </si>
  <si>
    <t>Orsde según Concentracion</t>
  </si>
  <si>
    <t>Orccs</t>
  </si>
  <si>
    <t>Concentracion de Solidos Inicial</t>
  </si>
  <si>
    <t>ºBrix</t>
  </si>
  <si>
    <t>Concentracion de Solidos Final</t>
  </si>
  <si>
    <t>Concentracion de Solidos Promedio</t>
  </si>
  <si>
    <t>mj</t>
  </si>
  <si>
    <t>Calor Especifico P Cte jugo</t>
  </si>
  <si>
    <t>CPj</t>
  </si>
  <si>
    <t>T E ss CSS</t>
  </si>
  <si>
    <t>ºC</t>
  </si>
  <si>
    <t>Entalpia de Vaporización</t>
  </si>
  <si>
    <t>∆hv</t>
  </si>
  <si>
    <t>Masa de Agua a Evaporar</t>
  </si>
  <si>
    <r>
      <t>m</t>
    </r>
    <r>
      <rPr>
        <sz val="8"/>
        <rFont val="Calibri"/>
        <family val="2"/>
        <scheme val="minor"/>
      </rPr>
      <t>H2O</t>
    </r>
  </si>
  <si>
    <t>Calor Nece Calc por Etapa</t>
  </si>
  <si>
    <t>Q cc</t>
  </si>
  <si>
    <t>Cssi</t>
  </si>
  <si>
    <t>Cssf</t>
  </si>
  <si>
    <t>Cssp</t>
  </si>
  <si>
    <t>Densidad</t>
  </si>
  <si>
    <t>Masa de Jugo Entrada</t>
  </si>
  <si>
    <t>Eficiencia Calculada</t>
  </si>
  <si>
    <t>m^3</t>
  </si>
  <si>
    <t>Manual</t>
  </si>
  <si>
    <t>Jugo</t>
  </si>
  <si>
    <t>Caña</t>
  </si>
  <si>
    <t>Agua a Evaporar</t>
  </si>
  <si>
    <t>A Evaporacion</t>
  </si>
  <si>
    <t>A Concentracion</t>
  </si>
  <si>
    <t>A Clarificacion</t>
  </si>
  <si>
    <t>Temperatura Ebullicion</t>
  </si>
  <si>
    <t>Calor espesifico jugo</t>
  </si>
  <si>
    <t xml:space="preserve"> Clarificacion</t>
  </si>
  <si>
    <r>
      <t>m</t>
    </r>
    <r>
      <rPr>
        <sz val="8"/>
        <color theme="1"/>
        <rFont val="Calibri"/>
        <family val="2"/>
        <scheme val="minor"/>
      </rPr>
      <t>bs</t>
    </r>
  </si>
  <si>
    <r>
      <rPr>
        <sz val="11"/>
        <color theme="1"/>
        <rFont val="Calibri"/>
        <family val="2"/>
        <scheme val="minor"/>
      </rPr>
      <t>m</t>
    </r>
    <r>
      <rPr>
        <sz val="8"/>
        <color theme="1"/>
        <rFont val="Calibri"/>
        <family val="2"/>
        <scheme val="minor"/>
      </rPr>
      <t>bsum</t>
    </r>
  </si>
  <si>
    <t>Evaporacion</t>
  </si>
  <si>
    <t>Concentracion</t>
  </si>
  <si>
    <t>Total</t>
  </si>
  <si>
    <t>Total (F.L.)</t>
  </si>
  <si>
    <t>Jugo Clarificado</t>
  </si>
  <si>
    <t>Jugo Pre Limp</t>
  </si>
  <si>
    <t>Bagazillo</t>
  </si>
  <si>
    <t>Calor Requerido por Etapa</t>
  </si>
  <si>
    <t>Inicial P. Clf</t>
  </si>
  <si>
    <t>Inicial P. Eva 1</t>
  </si>
  <si>
    <t>Inicial P. Con</t>
  </si>
  <si>
    <t>Clarificacón</t>
  </si>
  <si>
    <t>Evaporación</t>
  </si>
  <si>
    <t>Concentración</t>
  </si>
  <si>
    <t>Entalpia de Evaporizacion</t>
  </si>
  <si>
    <t>Propiedades de los Jugos</t>
  </si>
  <si>
    <t>Bag. Suministrado</t>
  </si>
  <si>
    <t>Bag. humedo</t>
  </si>
  <si>
    <t>Bag. seco</t>
  </si>
  <si>
    <t xml:space="preserve"> Inicial</t>
  </si>
  <si>
    <t>Clarificado</t>
  </si>
  <si>
    <t>Eva</t>
  </si>
  <si>
    <r>
      <t>m</t>
    </r>
    <r>
      <rPr>
        <sz val="6"/>
        <color theme="1"/>
        <rFont val="Calibri"/>
        <family val="2"/>
        <scheme val="minor"/>
      </rPr>
      <t>c</t>
    </r>
  </si>
  <si>
    <r>
      <t>m</t>
    </r>
    <r>
      <rPr>
        <sz val="6"/>
        <color theme="1"/>
        <rFont val="Calibri"/>
        <family val="2"/>
        <scheme val="minor"/>
      </rPr>
      <t>j</t>
    </r>
  </si>
  <si>
    <r>
      <t>m</t>
    </r>
    <r>
      <rPr>
        <sz val="6"/>
        <color theme="1"/>
        <rFont val="Calibri"/>
        <family val="2"/>
        <scheme val="minor"/>
      </rPr>
      <t>bzll</t>
    </r>
  </si>
  <si>
    <r>
      <t>m</t>
    </r>
    <r>
      <rPr>
        <sz val="6"/>
        <color theme="1"/>
        <rFont val="Calibri"/>
        <family val="2"/>
        <scheme val="minor"/>
      </rPr>
      <t>Cl</t>
    </r>
  </si>
  <si>
    <r>
      <t>m</t>
    </r>
    <r>
      <rPr>
        <sz val="6"/>
        <color theme="1"/>
        <rFont val="Calibri"/>
        <family val="2"/>
        <scheme val="minor"/>
      </rPr>
      <t>chz</t>
    </r>
  </si>
  <si>
    <r>
      <t>m</t>
    </r>
    <r>
      <rPr>
        <sz val="6"/>
        <color theme="1"/>
        <rFont val="Calibri"/>
        <family val="2"/>
        <scheme val="minor"/>
      </rPr>
      <t>EV</t>
    </r>
  </si>
  <si>
    <r>
      <t>m</t>
    </r>
    <r>
      <rPr>
        <sz val="6"/>
        <color theme="1"/>
        <rFont val="Calibri"/>
        <family val="2"/>
        <scheme val="minor"/>
      </rPr>
      <t>H2O</t>
    </r>
  </si>
  <si>
    <t>MAX</t>
  </si>
  <si>
    <t>m2</t>
  </si>
  <si>
    <t>Area TTC</t>
  </si>
  <si>
    <t>% de Llenado</t>
  </si>
  <si>
    <t>m3</t>
  </si>
  <si>
    <r>
      <t>Volumen</t>
    </r>
    <r>
      <rPr>
        <sz val="8"/>
        <color theme="1"/>
        <rFont val="Calibri"/>
        <family val="2"/>
        <scheme val="minor"/>
      </rPr>
      <t xml:space="preserve"> Fon</t>
    </r>
  </si>
  <si>
    <t>Volumen</t>
  </si>
  <si>
    <t>Area</t>
  </si>
  <si>
    <t>h Aletas</t>
  </si>
  <si>
    <t>L</t>
  </si>
  <si>
    <t>rad</t>
  </si>
  <si>
    <r>
      <t xml:space="preserve">Ang  </t>
    </r>
    <r>
      <rPr>
        <sz val="12"/>
        <color theme="1"/>
        <rFont val="Calibri"/>
        <family val="2"/>
      </rPr>
      <t>α</t>
    </r>
  </si>
  <si>
    <r>
      <t xml:space="preserve">H </t>
    </r>
    <r>
      <rPr>
        <sz val="8"/>
        <color theme="1"/>
        <rFont val="Calibri"/>
        <family val="2"/>
        <scheme val="minor"/>
      </rPr>
      <t>fn</t>
    </r>
  </si>
  <si>
    <r>
      <t xml:space="preserve">H </t>
    </r>
    <r>
      <rPr>
        <sz val="8"/>
        <color theme="1"/>
        <rFont val="Calibri"/>
        <family val="2"/>
        <scheme val="minor"/>
      </rPr>
      <t>fl</t>
    </r>
  </si>
  <si>
    <r>
      <t>A</t>
    </r>
    <r>
      <rPr>
        <sz val="6"/>
        <color theme="1"/>
        <rFont val="Calibri"/>
        <family val="2"/>
        <scheme val="minor"/>
      </rPr>
      <t>TC</t>
    </r>
  </si>
  <si>
    <r>
      <t>V</t>
    </r>
    <r>
      <rPr>
        <sz val="6"/>
        <color theme="1"/>
        <rFont val="Calibri"/>
        <family val="2"/>
        <scheme val="minor"/>
      </rPr>
      <t>TPA</t>
    </r>
  </si>
  <si>
    <r>
      <t>V</t>
    </r>
    <r>
      <rPr>
        <sz val="6"/>
        <color theme="1"/>
        <rFont val="Calibri"/>
        <family val="2"/>
        <scheme val="minor"/>
      </rPr>
      <t>FA</t>
    </r>
  </si>
  <si>
    <r>
      <t>V</t>
    </r>
    <r>
      <rPr>
        <sz val="6"/>
        <color theme="1"/>
        <rFont val="Calibri"/>
        <family val="2"/>
        <scheme val="minor"/>
      </rPr>
      <t>TJ</t>
    </r>
  </si>
  <si>
    <t>V</t>
  </si>
  <si>
    <t>A2</t>
  </si>
  <si>
    <t>x</t>
  </si>
  <si>
    <t>h fa</t>
  </si>
  <si>
    <t>R</t>
  </si>
  <si>
    <t>A1</t>
  </si>
  <si>
    <t xml:space="preserve">A </t>
  </si>
  <si>
    <r>
      <t xml:space="preserve">H </t>
    </r>
    <r>
      <rPr>
        <sz val="8"/>
        <rFont val="Calibri"/>
        <family val="2"/>
        <scheme val="minor"/>
      </rPr>
      <t xml:space="preserve">fn </t>
    </r>
  </si>
  <si>
    <t>Concentradora</t>
  </si>
  <si>
    <t>Temperatura de Salida</t>
  </si>
  <si>
    <t>Temperatura de Entrada</t>
  </si>
  <si>
    <t>En Litros</t>
  </si>
  <si>
    <t>m^3/kg</t>
  </si>
  <si>
    <t>Vol Jugo</t>
  </si>
  <si>
    <r>
      <t>ρ</t>
    </r>
    <r>
      <rPr>
        <sz val="8"/>
        <color theme="1"/>
        <rFont val="Calibri"/>
        <family val="2"/>
      </rPr>
      <t>jug</t>
    </r>
  </si>
  <si>
    <t>Densidad del Jugo</t>
  </si>
  <si>
    <t>Semiesferica</t>
  </si>
  <si>
    <t>Tip P</t>
  </si>
  <si>
    <t>Orfg</t>
  </si>
  <si>
    <t>Orsde según Flujo de Gas</t>
  </si>
  <si>
    <t>ward</t>
  </si>
  <si>
    <t>Capacidad Estimada de la hornilla</t>
  </si>
  <si>
    <t>Masa De panela</t>
  </si>
  <si>
    <t>sem</t>
  </si>
  <si>
    <r>
      <t>J</t>
    </r>
    <r>
      <rPr>
        <sz val="6"/>
        <color theme="1"/>
        <rFont val="Calibri"/>
        <family val="2"/>
        <scheme val="minor"/>
      </rPr>
      <t>dT</t>
    </r>
  </si>
  <si>
    <t>Jornada de Trabajo</t>
  </si>
  <si>
    <t>T/h</t>
  </si>
  <si>
    <r>
      <t>C</t>
    </r>
    <r>
      <rPr>
        <sz val="6"/>
        <color theme="1"/>
        <rFont val="Calibri"/>
        <family val="2"/>
        <scheme val="minor"/>
      </rPr>
      <t>ssi</t>
    </r>
  </si>
  <si>
    <t>CSS de la Caña</t>
  </si>
  <si>
    <t>Jugo Crudo</t>
  </si>
  <si>
    <t>T/Ha</t>
  </si>
  <si>
    <r>
      <t>C</t>
    </r>
    <r>
      <rPr>
        <sz val="6"/>
        <color theme="1"/>
        <rFont val="Calibri"/>
        <family val="2"/>
        <scheme val="minor"/>
      </rPr>
      <t>ñH</t>
    </r>
  </si>
  <si>
    <t>Caña por Hectarea Esperada</t>
  </si>
  <si>
    <t>Caña Molida por Hora</t>
  </si>
  <si>
    <t>meses</t>
  </si>
  <si>
    <r>
      <t>P</t>
    </r>
    <r>
      <rPr>
        <sz val="6"/>
        <color theme="1"/>
        <rFont val="Calibri"/>
        <family val="2"/>
        <scheme val="minor"/>
      </rPr>
      <t>vg</t>
    </r>
  </si>
  <si>
    <t>Periodo vegetatio</t>
  </si>
  <si>
    <t>T/sem</t>
  </si>
  <si>
    <t>Caña molida a la semana</t>
  </si>
  <si>
    <t>Ha</t>
  </si>
  <si>
    <r>
      <t>A</t>
    </r>
    <r>
      <rPr>
        <sz val="6"/>
        <color theme="1"/>
        <rFont val="Calibri"/>
        <family val="2"/>
        <scheme val="minor"/>
      </rPr>
      <t>spc</t>
    </r>
  </si>
  <si>
    <t>Area de Caña Sembrada Para Calculo</t>
  </si>
  <si>
    <t>Ha/mes</t>
  </si>
  <si>
    <t>Area Cosechada al mes</t>
  </si>
  <si>
    <r>
      <t>A</t>
    </r>
    <r>
      <rPr>
        <sz val="6"/>
        <color theme="1"/>
        <rFont val="Calibri"/>
        <family val="2"/>
        <scheme val="minor"/>
      </rPr>
      <t>sp</t>
    </r>
  </si>
  <si>
    <t>Area de Caña Sembrada Propia</t>
  </si>
  <si>
    <t>Capacidad del Molino</t>
  </si>
  <si>
    <t>T/mes</t>
  </si>
  <si>
    <t>Caña molida al mes</t>
  </si>
  <si>
    <r>
      <t>A</t>
    </r>
    <r>
      <rPr>
        <sz val="6"/>
        <color theme="1"/>
        <rFont val="Calibri"/>
        <family val="2"/>
        <scheme val="minor"/>
      </rPr>
      <t>sar</t>
    </r>
  </si>
  <si>
    <t>Area de Caña Sembrada al rededor</t>
  </si>
  <si>
    <t>Transporte</t>
  </si>
  <si>
    <t xml:space="preserve">Cosecha </t>
  </si>
  <si>
    <t>Alimentacion de Caña</t>
  </si>
  <si>
    <t>Alimentacion de Bagazo</t>
  </si>
  <si>
    <t>Producto</t>
  </si>
  <si>
    <t>Horas al Dia</t>
  </si>
  <si>
    <t>consumo</t>
  </si>
  <si>
    <t>Diesel</t>
  </si>
  <si>
    <t>Potencia</t>
  </si>
  <si>
    <t>Consumo</t>
  </si>
  <si>
    <t>tiempo de Uso</t>
  </si>
  <si>
    <t>Hp</t>
  </si>
  <si>
    <t>L/h</t>
  </si>
  <si>
    <t>Consumo Total</t>
  </si>
  <si>
    <t>Precio Galon Diesel</t>
  </si>
  <si>
    <t>Gastado en la Molienda</t>
  </si>
  <si>
    <t>h/mes</t>
  </si>
  <si>
    <t>L/mes</t>
  </si>
  <si>
    <t>$/gal</t>
  </si>
  <si>
    <t>$/mes</t>
  </si>
  <si>
    <t>Electrico</t>
  </si>
  <si>
    <t>Corriente</t>
  </si>
  <si>
    <t>Precio KWh</t>
  </si>
  <si>
    <t>Consumo Trifasico</t>
  </si>
  <si>
    <t>v</t>
  </si>
  <si>
    <t>Potencia Nomina</t>
  </si>
  <si>
    <t>Eficiencia</t>
  </si>
  <si>
    <t xml:space="preserve">Coseno </t>
  </si>
  <si>
    <t>Tiempo de Uso</t>
  </si>
  <si>
    <t>$/KWh</t>
  </si>
  <si>
    <t>Potencia Activa</t>
  </si>
  <si>
    <t>Potencia Reactiva</t>
  </si>
  <si>
    <t>KVAR</t>
  </si>
  <si>
    <t>KWh</t>
  </si>
  <si>
    <t>Panela</t>
  </si>
  <si>
    <t>Dias de Trabajo</t>
  </si>
  <si>
    <t>Dias</t>
  </si>
  <si>
    <t>Clarificadora/ Evaporadora</t>
  </si>
  <si>
    <t>Diseño Geometrico Inicial</t>
  </si>
  <si>
    <t>Costo de Cultivo</t>
  </si>
  <si>
    <t>$/Año</t>
  </si>
  <si>
    <t>Precio de Panela</t>
  </si>
  <si>
    <t>$/Kg</t>
  </si>
  <si>
    <t>Costo Operario</t>
  </si>
  <si>
    <t>$</t>
  </si>
  <si>
    <t>Numero de Operarios</t>
  </si>
  <si>
    <t>Otros Insumos</t>
  </si>
  <si>
    <t>Producion Mensual</t>
  </si>
  <si>
    <t>Total Costos</t>
  </si>
  <si>
    <t>U</t>
  </si>
  <si>
    <t>Total Producción</t>
  </si>
  <si>
    <t>Bagazo Almazenado</t>
  </si>
  <si>
    <t>Kg/semana</t>
  </si>
  <si>
    <t>Densidad del Bagazo</t>
  </si>
  <si>
    <t>Unidad 25 Kg/h</t>
  </si>
  <si>
    <t>Cantidad </t>
  </si>
  <si>
    <t>Valor Unitario ($) </t>
  </si>
  <si>
    <t>Valor Total ($) </t>
  </si>
  <si>
    <t>ÍTEM </t>
  </si>
  <si>
    <t>Salario Mensual ($) </t>
  </si>
  <si>
    <t>Ingeniero </t>
  </si>
  <si>
    <t>4,449917055932E+09 mm^3 (Relative Error = 0,020578%)</t>
  </si>
  <si>
    <t xml:space="preserve">Dimensiones </t>
  </si>
  <si>
    <t>Ladrillo</t>
  </si>
  <si>
    <t>Item</t>
  </si>
  <si>
    <t>Cantidad</t>
  </si>
  <si>
    <t>Nombre</t>
  </si>
  <si>
    <t>Valor unitario</t>
  </si>
  <si>
    <t>Tubo sanitario acero inoxidable 3"</t>
  </si>
  <si>
    <t>Codos sanitarios 3" acero inoxidable</t>
  </si>
  <si>
    <t>Válvula de bola 2 1/2" acero inoxidable</t>
  </si>
  <si>
    <t>ferula sanitaria 3" acero inoxidable</t>
  </si>
  <si>
    <t>Abrazadera sanitaria 3" acero inoxidable</t>
  </si>
  <si>
    <t>Empaque de silicona alta temperatura 3"</t>
  </si>
  <si>
    <t>Paila planna aleteada Curva</t>
  </si>
  <si>
    <t>Paila Evaporadora Plana</t>
  </si>
  <si>
    <t>Total Costruccion Hornilla</t>
  </si>
  <si>
    <t>Prelimpiador</t>
  </si>
  <si>
    <t>tanque recibidor</t>
  </si>
  <si>
    <t>Ladrillos Ducto</t>
  </si>
  <si>
    <t>Pegante</t>
  </si>
  <si>
    <t>Molino el Panelero R2-s con motor</t>
  </si>
  <si>
    <t>Molino</t>
  </si>
  <si>
    <t>Ducto</t>
  </si>
  <si>
    <t>Total Costos Operativos de cosntruccion</t>
  </si>
  <si>
    <t>Maestro de obra</t>
  </si>
  <si>
    <t>costos Operarios de Construccion Construccion</t>
  </si>
  <si>
    <t>Costos otras Areas</t>
  </si>
  <si>
    <t>Bloque 40x11,5x23 (0,06 m2 / ladrillo)</t>
  </si>
  <si>
    <t>Cemento (Bulto de 50 kg)</t>
  </si>
  <si>
    <t>Arena (m3)</t>
  </si>
  <si>
    <t>Mano de obra</t>
  </si>
  <si>
    <t xml:space="preserve">Angulo 1 1/2" x 3/16" x 6 metros </t>
  </si>
  <si>
    <t>Platina 1 1/2" x 3/16"</t>
  </si>
  <si>
    <t>Malla galvanizada electrosoldada recubierta en PVC calibre 16, abertura de 1/4". Altura de 1.2 metros o angeo de ancho 1.2 metros</t>
  </si>
  <si>
    <t>Soldadura y accesorios</t>
  </si>
  <si>
    <t>Teja Perfil 7 Gris</t>
  </si>
  <si>
    <t>Teja Ondulada Transparente Policarbonato</t>
  </si>
  <si>
    <t>Tubo rectangular 90 x 50 x 2mm Cal.14 x 6m</t>
  </si>
  <si>
    <t>Cercha Metalica De 3.00 Mt</t>
  </si>
  <si>
    <t>Obrero</t>
  </si>
  <si>
    <t>Seccion de parrilla</t>
  </si>
  <si>
    <t>Entada de hornilla</t>
  </si>
  <si>
    <t>Meson de acero inoxidable</t>
  </si>
  <si>
    <t>Gaberas</t>
  </si>
  <si>
    <t>Total Costruccion otras Areas</t>
  </si>
  <si>
    <t>Arrancador Electromágnetico Directo 32A</t>
  </si>
  <si>
    <t>Total coso Molino</t>
  </si>
  <si>
    <t>Estibas</t>
  </si>
  <si>
    <t>Total Costos de Construcción</t>
  </si>
  <si>
    <t>Costos de transportes</t>
  </si>
  <si>
    <t>Imprevistos</t>
  </si>
  <si>
    <t>Total coste Proyecto de construccion</t>
  </si>
  <si>
    <t>Costos Materiales</t>
  </si>
  <si>
    <t>Costo Total Materiales</t>
  </si>
  <si>
    <t>Año</t>
  </si>
  <si>
    <t>Valor</t>
  </si>
  <si>
    <t>Periodo</t>
  </si>
  <si>
    <t>Inversion</t>
  </si>
  <si>
    <t>Financiacion</t>
  </si>
  <si>
    <t>Total Inversion</t>
  </si>
  <si>
    <t>Valor de Salvamento</t>
  </si>
  <si>
    <t>Depreciacion</t>
  </si>
  <si>
    <t>costos operación mantenimiento</t>
  </si>
  <si>
    <t>Flujo de Caja</t>
  </si>
  <si>
    <t>TIR</t>
  </si>
  <si>
    <t>VPN</t>
  </si>
  <si>
    <t>TIO</t>
  </si>
  <si>
    <t>Ingresos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</si>
</sst>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\ #,##0.00;[Red]\-&quot;$&quot;\ #,##0.00"/>
    <numFmt numFmtId="42" formatCode="_-&quot;$&quot;\ * #,##0_-;\-&quot;$&quot;\ * #,##0_-;_-&quot;$&quot;\ * &quot;-&quot;_-;_-@_-"/>
    <numFmt numFmtId="164" formatCode="#,##0.000"/>
    <numFmt numFmtId="165" formatCode="0.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sz val="12"/>
      <color theme="1"/>
      <name val="Calibri"/>
      <family val="2"/>
    </font>
    <font>
      <i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318">
    <xf numFmtId="0" fontId="0" fillId="0" borderId="0" xfId="0"/>
    <xf numFmtId="164" fontId="0" fillId="2" borderId="7" xfId="0" applyNumberFormat="1" applyFill="1" applyBorder="1" applyAlignment="1">
      <alignment horizontal="left" vertical="center"/>
    </xf>
    <xf numFmtId="164" fontId="0" fillId="2" borderId="8" xfId="0" applyNumberFormat="1" applyFill="1" applyBorder="1" applyAlignment="1">
      <alignment horizontal="center" vertical="center"/>
    </xf>
    <xf numFmtId="164" fontId="0" fillId="2" borderId="9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horizontal="left" vertical="center"/>
    </xf>
    <xf numFmtId="9" fontId="0" fillId="2" borderId="8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164" fontId="0" fillId="2" borderId="22" xfId="0" applyNumberFormat="1" applyFill="1" applyBorder="1" applyAlignment="1">
      <alignment horizontal="left" vertical="center"/>
    </xf>
    <xf numFmtId="164" fontId="0" fillId="2" borderId="23" xfId="0" applyNumberFormat="1" applyFill="1" applyBorder="1" applyAlignment="1">
      <alignment horizontal="center" vertical="center"/>
    </xf>
    <xf numFmtId="164" fontId="0" fillId="2" borderId="24" xfId="0" applyNumberForma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2" fontId="0" fillId="2" borderId="8" xfId="0" applyNumberFormat="1" applyFill="1" applyBorder="1" applyAlignment="1">
      <alignment horizontal="center" vertical="center"/>
    </xf>
    <xf numFmtId="9" fontId="0" fillId="2" borderId="8" xfId="1" applyFont="1" applyFill="1" applyBorder="1" applyAlignment="1">
      <alignment horizontal="center" vertical="center"/>
    </xf>
    <xf numFmtId="164" fontId="0" fillId="2" borderId="17" xfId="0" applyNumberFormat="1" applyFill="1" applyBorder="1" applyAlignment="1">
      <alignment horizontal="left" vertical="center"/>
    </xf>
    <xf numFmtId="164" fontId="0" fillId="2" borderId="18" xfId="0" applyNumberFormat="1" applyFill="1" applyBorder="1" applyAlignment="1">
      <alignment horizontal="center" vertical="center"/>
    </xf>
    <xf numFmtId="164" fontId="0" fillId="2" borderId="19" xfId="0" applyNumberFormat="1" applyFill="1" applyBorder="1" applyAlignment="1">
      <alignment horizontal="center" vertical="center"/>
    </xf>
    <xf numFmtId="0" fontId="0" fillId="3" borderId="7" xfId="0" applyFill="1" applyBorder="1" applyAlignment="1">
      <alignment horizontal="left" vertical="center"/>
    </xf>
    <xf numFmtId="0" fontId="0" fillId="3" borderId="8" xfId="0" applyFill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/>
    <xf numFmtId="0" fontId="0" fillId="4" borderId="0" xfId="0" applyFill="1" applyBorder="1"/>
    <xf numFmtId="0" fontId="0" fillId="4" borderId="0" xfId="0" applyFill="1" applyBorder="1" applyAlignment="1">
      <alignment horizontal="center"/>
    </xf>
    <xf numFmtId="0" fontId="0" fillId="4" borderId="0" xfId="0" applyFill="1" applyBorder="1" applyAlignment="1"/>
    <xf numFmtId="0" fontId="0" fillId="4" borderId="0" xfId="0" applyFill="1" applyAlignment="1">
      <alignment shrinkToFit="1"/>
    </xf>
    <xf numFmtId="10" fontId="0" fillId="3" borderId="8" xfId="0" applyNumberFormat="1" applyFill="1" applyBorder="1" applyAlignment="1">
      <alignment horizontal="center" vertical="center"/>
    </xf>
    <xf numFmtId="0" fontId="6" fillId="6" borderId="8" xfId="0" applyFont="1" applyFill="1" applyBorder="1" applyAlignment="1">
      <alignment horizontal="center" vertical="center"/>
    </xf>
    <xf numFmtId="0" fontId="8" fillId="6" borderId="8" xfId="0" applyFont="1" applyFill="1" applyBorder="1" applyAlignment="1">
      <alignment horizontal="center" vertical="center"/>
    </xf>
    <xf numFmtId="0" fontId="6" fillId="6" borderId="18" xfId="0" applyFont="1" applyFill="1" applyBorder="1" applyAlignment="1">
      <alignment horizontal="center" vertical="center"/>
    </xf>
    <xf numFmtId="0" fontId="6" fillId="6" borderId="30" xfId="0" applyFont="1" applyFill="1" applyBorder="1" applyAlignment="1">
      <alignment horizontal="center" vertical="center"/>
    </xf>
    <xf numFmtId="0" fontId="6" fillId="6" borderId="31" xfId="0" applyFont="1" applyFill="1" applyBorder="1" applyAlignment="1">
      <alignment horizontal="center" vertical="center"/>
    </xf>
    <xf numFmtId="0" fontId="6" fillId="6" borderId="32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 shrinkToFit="1"/>
    </xf>
    <xf numFmtId="0" fontId="0" fillId="4" borderId="0" xfId="0" applyFill="1" applyBorder="1" applyAlignment="1">
      <alignment shrinkToFit="1"/>
    </xf>
    <xf numFmtId="0" fontId="0" fillId="4" borderId="0" xfId="0" applyFill="1" applyBorder="1" applyAlignment="1">
      <alignment horizontal="center" shrinkToFit="1"/>
    </xf>
    <xf numFmtId="164" fontId="6" fillId="6" borderId="18" xfId="0" applyNumberFormat="1" applyFont="1" applyFill="1" applyBorder="1" applyAlignment="1">
      <alignment horizontal="center" vertical="center" shrinkToFit="1"/>
    </xf>
    <xf numFmtId="165" fontId="6" fillId="6" borderId="8" xfId="0" applyNumberFormat="1" applyFont="1" applyFill="1" applyBorder="1" applyAlignment="1">
      <alignment horizontal="center" vertical="center"/>
    </xf>
    <xf numFmtId="165" fontId="6" fillId="6" borderId="9" xfId="0" applyNumberFormat="1" applyFont="1" applyFill="1" applyBorder="1" applyAlignment="1">
      <alignment horizontal="center" vertical="center"/>
    </xf>
    <xf numFmtId="165" fontId="6" fillId="6" borderId="9" xfId="0" applyNumberFormat="1" applyFont="1" applyFill="1" applyBorder="1" applyAlignment="1">
      <alignment horizontal="center" vertical="center" shrinkToFit="1"/>
    </xf>
    <xf numFmtId="165" fontId="6" fillId="6" borderId="26" xfId="0" applyNumberFormat="1" applyFont="1" applyFill="1" applyBorder="1" applyAlignment="1">
      <alignment horizontal="center" vertical="center"/>
    </xf>
    <xf numFmtId="165" fontId="6" fillId="6" borderId="27" xfId="0" applyNumberFormat="1" applyFont="1" applyFill="1" applyBorder="1" applyAlignment="1">
      <alignment horizontal="center" vertical="center"/>
    </xf>
    <xf numFmtId="165" fontId="6" fillId="6" borderId="8" xfId="0" applyNumberFormat="1" applyFon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 vertical="center"/>
    </xf>
    <xf numFmtId="165" fontId="0" fillId="4" borderId="0" xfId="0" applyNumberFormat="1" applyFill="1" applyAlignment="1">
      <alignment horizontal="center" vertical="center" shrinkToFit="1"/>
    </xf>
    <xf numFmtId="164" fontId="0" fillId="4" borderId="0" xfId="0" applyNumberFormat="1" applyFill="1" applyBorder="1" applyAlignment="1">
      <alignment horizontal="center" vertical="center" shrinkToFit="1"/>
    </xf>
    <xf numFmtId="0" fontId="9" fillId="4" borderId="0" xfId="0" applyFont="1" applyFill="1"/>
    <xf numFmtId="0" fontId="2" fillId="6" borderId="0" xfId="0" applyFont="1" applyFill="1" applyBorder="1" applyAlignment="1">
      <alignment horizontal="center"/>
    </xf>
    <xf numFmtId="164" fontId="0" fillId="6" borderId="39" xfId="0" applyNumberFormat="1" applyFill="1" applyBorder="1" applyAlignment="1">
      <alignment horizontal="center" vertical="center" shrinkToFit="1"/>
    </xf>
    <xf numFmtId="164" fontId="3" fillId="6" borderId="14" xfId="0" applyNumberFormat="1" applyFont="1" applyFill="1" applyBorder="1" applyAlignment="1">
      <alignment horizontal="center" vertical="center" shrinkToFit="1"/>
    </xf>
    <xf numFmtId="164" fontId="0" fillId="6" borderId="15" xfId="0" applyNumberFormat="1" applyFill="1" applyBorder="1" applyAlignment="1">
      <alignment horizontal="center" vertical="center" shrinkToFit="1"/>
    </xf>
    <xf numFmtId="164" fontId="3" fillId="6" borderId="0" xfId="0" applyNumberFormat="1" applyFont="1" applyFill="1" applyBorder="1" applyAlignment="1">
      <alignment horizontal="center" vertical="center" shrinkToFit="1"/>
    </xf>
    <xf numFmtId="164" fontId="3" fillId="6" borderId="41" xfId="0" applyNumberFormat="1" applyFont="1" applyFill="1" applyBorder="1" applyAlignment="1">
      <alignment horizontal="center" vertical="center" shrinkToFit="1"/>
    </xf>
    <xf numFmtId="164" fontId="0" fillId="6" borderId="42" xfId="0" applyNumberFormat="1" applyFill="1" applyBorder="1" applyAlignment="1">
      <alignment horizontal="center" vertical="center" shrinkToFit="1"/>
    </xf>
    <xf numFmtId="164" fontId="0" fillId="6" borderId="7" xfId="0" applyNumberFormat="1" applyFill="1" applyBorder="1" applyAlignment="1">
      <alignment vertical="center"/>
    </xf>
    <xf numFmtId="9" fontId="0" fillId="6" borderId="8" xfId="1" applyFont="1" applyFill="1" applyBorder="1" applyAlignment="1">
      <alignment horizontal="center" vertical="center"/>
    </xf>
    <xf numFmtId="164" fontId="0" fillId="6" borderId="9" xfId="0" applyNumberFormat="1" applyFill="1" applyBorder="1" applyAlignment="1">
      <alignment vertical="center"/>
    </xf>
    <xf numFmtId="164" fontId="0" fillId="6" borderId="8" xfId="0" applyNumberFormat="1" applyFill="1" applyBorder="1" applyAlignment="1">
      <alignment horizontal="center" vertical="center"/>
    </xf>
    <xf numFmtId="164" fontId="0" fillId="6" borderId="17" xfId="0" applyNumberFormat="1" applyFill="1" applyBorder="1" applyAlignment="1">
      <alignment horizontal="left" vertical="center"/>
    </xf>
    <xf numFmtId="164" fontId="0" fillId="6" borderId="18" xfId="0" applyNumberFormat="1" applyFill="1" applyBorder="1" applyAlignment="1">
      <alignment horizontal="center" vertical="center"/>
    </xf>
    <xf numFmtId="164" fontId="0" fillId="6" borderId="19" xfId="0" applyNumberFormat="1" applyFill="1" applyBorder="1" applyAlignment="1">
      <alignment horizontal="center" vertical="center"/>
    </xf>
    <xf numFmtId="165" fontId="0" fillId="6" borderId="14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 vertical="center" shrinkToFit="1"/>
    </xf>
    <xf numFmtId="165" fontId="0" fillId="6" borderId="41" xfId="0" applyNumberFormat="1" applyFill="1" applyBorder="1" applyAlignment="1">
      <alignment horizontal="center" vertical="center" shrinkToFit="1"/>
    </xf>
    <xf numFmtId="165" fontId="0" fillId="6" borderId="0" xfId="0" applyNumberFormat="1" applyFill="1" applyBorder="1" applyAlignment="1">
      <alignment horizontal="center"/>
    </xf>
    <xf numFmtId="0" fontId="0" fillId="6" borderId="39" xfId="0" applyFill="1" applyBorder="1" applyAlignment="1">
      <alignment horizontal="center" vertical="center" shrinkToFit="1"/>
    </xf>
    <xf numFmtId="0" fontId="0" fillId="6" borderId="42" xfId="0" applyFill="1" applyBorder="1" applyAlignment="1">
      <alignment horizontal="center" vertical="center" shrinkToFit="1"/>
    </xf>
    <xf numFmtId="0" fontId="0" fillId="4" borderId="41" xfId="0" applyFill="1" applyBorder="1" applyAlignment="1"/>
    <xf numFmtId="0" fontId="0" fillId="4" borderId="5" xfId="0" applyFill="1" applyBorder="1" applyAlignment="1"/>
    <xf numFmtId="0" fontId="0" fillId="6" borderId="0" xfId="0" applyFill="1" applyBorder="1" applyAlignment="1">
      <alignment horizontal="center"/>
    </xf>
    <xf numFmtId="164" fontId="0" fillId="6" borderId="41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41" xfId="0" applyFill="1" applyBorder="1" applyAlignment="1">
      <alignment horizontal="center" vertical="center" shrinkToFit="1"/>
    </xf>
    <xf numFmtId="0" fontId="0" fillId="6" borderId="15" xfId="0" applyFill="1" applyBorder="1" applyAlignment="1">
      <alignment horizontal="center" vertical="center" shrinkToFit="1"/>
    </xf>
    <xf numFmtId="0" fontId="0" fillId="4" borderId="38" xfId="0" applyFill="1" applyBorder="1"/>
    <xf numFmtId="0" fontId="0" fillId="4" borderId="0" xfId="0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164" fontId="0" fillId="3" borderId="18" xfId="0" applyNumberFormat="1" applyFill="1" applyBorder="1" applyAlignment="1">
      <alignment horizontal="center" vertical="center"/>
    </xf>
    <xf numFmtId="164" fontId="5" fillId="3" borderId="17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164" fontId="0" fillId="4" borderId="21" xfId="0" applyNumberFormat="1" applyFill="1" applyBorder="1" applyAlignment="1">
      <alignment horizontal="center" vertical="center"/>
    </xf>
    <xf numFmtId="164" fontId="0" fillId="4" borderId="20" xfId="0" applyNumberFormat="1" applyFill="1" applyBorder="1" applyAlignment="1">
      <alignment horizontal="center" vertical="center"/>
    </xf>
    <xf numFmtId="9" fontId="0" fillId="4" borderId="8" xfId="1" applyFont="1" applyFill="1" applyBorder="1" applyAlignment="1">
      <alignment horizontal="center" vertical="center"/>
    </xf>
    <xf numFmtId="164" fontId="0" fillId="4" borderId="7" xfId="0" applyNumberFormat="1" applyFill="1" applyBorder="1" applyAlignment="1">
      <alignment horizontal="center" vertical="center"/>
    </xf>
    <xf numFmtId="164" fontId="0" fillId="4" borderId="8" xfId="0" applyNumberFormat="1" applyFill="1" applyBorder="1" applyAlignment="1">
      <alignment horizontal="center" vertical="center"/>
    </xf>
    <xf numFmtId="164" fontId="0" fillId="5" borderId="8" xfId="0" applyNumberFormat="1" applyFill="1" applyBorder="1" applyAlignment="1">
      <alignment horizontal="center" vertical="center"/>
    </xf>
    <xf numFmtId="164" fontId="0" fillId="5" borderId="7" xfId="0" applyNumberFormat="1" applyFill="1" applyBorder="1" applyAlignment="1">
      <alignment horizontal="center" vertical="center"/>
    </xf>
    <xf numFmtId="164" fontId="0" fillId="4" borderId="29" xfId="0" applyNumberFormat="1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164" fontId="0" fillId="4" borderId="2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vertical="center"/>
    </xf>
    <xf numFmtId="164" fontId="0" fillId="4" borderId="0" xfId="0" applyNumberFormat="1" applyFill="1" applyBorder="1" applyAlignment="1">
      <alignment horizontal="center" vertical="center"/>
    </xf>
    <xf numFmtId="164" fontId="0" fillId="4" borderId="42" xfId="0" applyNumberFormat="1" applyFill="1" applyBorder="1" applyAlignment="1">
      <alignment horizontal="center" vertical="center"/>
    </xf>
    <xf numFmtId="164" fontId="0" fillId="4" borderId="41" xfId="0" applyNumberFormat="1" applyFill="1" applyBorder="1" applyAlignment="1">
      <alignment horizontal="center" vertical="center"/>
    </xf>
    <xf numFmtId="164" fontId="0" fillId="3" borderId="17" xfId="0" applyNumberFormat="1" applyFill="1" applyBorder="1" applyAlignment="1">
      <alignment horizontal="center" vertical="center"/>
    </xf>
    <xf numFmtId="164" fontId="0" fillId="4" borderId="39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164" fontId="6" fillId="4" borderId="7" xfId="0" applyNumberFormat="1" applyFont="1" applyFill="1" applyBorder="1" applyAlignment="1">
      <alignment horizontal="center" vertical="center"/>
    </xf>
    <xf numFmtId="164" fontId="6" fillId="4" borderId="33" xfId="0" applyNumberFormat="1" applyFont="1" applyFill="1" applyBorder="1" applyAlignment="1">
      <alignment horizontal="center" vertical="center"/>
    </xf>
    <xf numFmtId="0" fontId="0" fillId="4" borderId="38" xfId="0" applyFill="1" applyBorder="1" applyAlignment="1">
      <alignment horizontal="center" vertical="center"/>
    </xf>
    <xf numFmtId="164" fontId="6" fillId="6" borderId="8" xfId="0" applyNumberFormat="1" applyFont="1" applyFill="1" applyBorder="1" applyAlignment="1">
      <alignment horizontal="center" vertical="center" shrinkToFit="1"/>
    </xf>
    <xf numFmtId="164" fontId="6" fillId="6" borderId="19" xfId="0" applyNumberFormat="1" applyFont="1" applyFill="1" applyBorder="1" applyAlignment="1">
      <alignment horizontal="center" vertical="center" shrinkToFit="1"/>
    </xf>
    <xf numFmtId="165" fontId="6" fillId="2" borderId="32" xfId="0" applyNumberFormat="1" applyFont="1" applyFill="1" applyBorder="1" applyAlignment="1">
      <alignment horizontal="center" vertical="center"/>
    </xf>
    <xf numFmtId="165" fontId="6" fillId="2" borderId="31" xfId="0" applyNumberFormat="1" applyFont="1" applyFill="1" applyBorder="1" applyAlignment="1">
      <alignment horizontal="center" vertical="center"/>
    </xf>
    <xf numFmtId="0" fontId="6" fillId="6" borderId="26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65" fontId="6" fillId="6" borderId="9" xfId="0" applyNumberFormat="1" applyFont="1" applyFill="1" applyBorder="1" applyAlignment="1">
      <alignment horizontal="center"/>
    </xf>
    <xf numFmtId="164" fontId="3" fillId="6" borderId="8" xfId="0" applyNumberFormat="1" applyFont="1" applyFill="1" applyBorder="1" applyAlignment="1">
      <alignment horizontal="center" vertical="center" shrinkToFit="1"/>
    </xf>
    <xf numFmtId="165" fontId="6" fillId="6" borderId="8" xfId="0" applyNumberFormat="1" applyFont="1" applyFill="1" applyBorder="1" applyAlignment="1">
      <alignment horizontal="center" vertical="center" shrinkToFit="1"/>
    </xf>
    <xf numFmtId="164" fontId="6" fillId="2" borderId="8" xfId="0" applyNumberFormat="1" applyFont="1" applyFill="1" applyBorder="1" applyAlignment="1">
      <alignment horizontal="center" vertical="center"/>
    </xf>
    <xf numFmtId="164" fontId="6" fillId="2" borderId="8" xfId="0" applyNumberFormat="1" applyFont="1" applyFill="1" applyBorder="1" applyAlignment="1">
      <alignment horizontal="center" vertical="center" shrinkToFit="1"/>
    </xf>
    <xf numFmtId="0" fontId="6" fillId="2" borderId="8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 shrinkToFit="1"/>
    </xf>
    <xf numFmtId="0" fontId="6" fillId="0" borderId="8" xfId="0" applyFont="1" applyBorder="1"/>
    <xf numFmtId="0" fontId="0" fillId="0" borderId="8" xfId="0" applyBorder="1"/>
    <xf numFmtId="0" fontId="0" fillId="0" borderId="7" xfId="0" applyBorder="1"/>
    <xf numFmtId="0" fontId="6" fillId="0" borderId="3" xfId="0" applyFont="1" applyFill="1" applyBorder="1"/>
    <xf numFmtId="0" fontId="6" fillId="0" borderId="2" xfId="0" applyFont="1" applyFill="1" applyBorder="1"/>
    <xf numFmtId="0" fontId="6" fillId="0" borderId="2" xfId="0" applyFont="1" applyBorder="1"/>
    <xf numFmtId="0" fontId="6" fillId="0" borderId="2" xfId="0" applyFont="1" applyFill="1" applyBorder="1" applyAlignment="1">
      <alignment horizontal="center"/>
    </xf>
    <xf numFmtId="164" fontId="0" fillId="4" borderId="14" xfId="0" applyNumberFormat="1" applyFill="1" applyBorder="1" applyAlignment="1">
      <alignment vertical="center"/>
    </xf>
    <xf numFmtId="165" fontId="0" fillId="4" borderId="0" xfId="0" applyNumberFormat="1" applyFill="1"/>
    <xf numFmtId="0" fontId="0" fillId="6" borderId="18" xfId="0" applyFill="1" applyBorder="1"/>
    <xf numFmtId="165" fontId="0" fillId="6" borderId="8" xfId="0" applyNumberFormat="1" applyFill="1" applyBorder="1"/>
    <xf numFmtId="164" fontId="0" fillId="6" borderId="9" xfId="0" applyNumberFormat="1" applyFill="1" applyBorder="1" applyAlignment="1">
      <alignment horizontal="center" vertical="center"/>
    </xf>
    <xf numFmtId="164" fontId="0" fillId="6" borderId="7" xfId="0" applyNumberFormat="1" applyFill="1" applyBorder="1" applyAlignment="1">
      <alignment horizontal="left" vertical="center"/>
    </xf>
    <xf numFmtId="0" fontId="0" fillId="6" borderId="8" xfId="0" applyFill="1" applyBorder="1"/>
    <xf numFmtId="0" fontId="0" fillId="6" borderId="7" xfId="0" applyFill="1" applyBorder="1"/>
    <xf numFmtId="0" fontId="0" fillId="6" borderId="9" xfId="0" applyFill="1" applyBorder="1"/>
    <xf numFmtId="165" fontId="0" fillId="6" borderId="2" xfId="0" applyNumberFormat="1" applyFill="1" applyBorder="1"/>
    <xf numFmtId="0" fontId="0" fillId="6" borderId="2" xfId="0" applyFill="1" applyBorder="1"/>
    <xf numFmtId="0" fontId="0" fillId="6" borderId="1" xfId="0" applyFill="1" applyBorder="1"/>
    <xf numFmtId="0" fontId="0" fillId="4" borderId="36" xfId="0" applyFill="1" applyBorder="1"/>
    <xf numFmtId="0" fontId="0" fillId="6" borderId="29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17" xfId="0" applyFill="1" applyBorder="1" applyAlignment="1"/>
    <xf numFmtId="0" fontId="0" fillId="6" borderId="2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6" fillId="6" borderId="7" xfId="0" applyFont="1" applyFill="1" applyBorder="1" applyAlignment="1">
      <alignment horizontal="center" vertical="center" shrinkToFit="1"/>
    </xf>
    <xf numFmtId="0" fontId="6" fillId="6" borderId="8" xfId="0" applyFont="1" applyFill="1" applyBorder="1" applyAlignment="1">
      <alignment horizontal="center" vertical="center" shrinkToFit="1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6" fillId="6" borderId="7" xfId="0" applyFont="1" applyFill="1" applyBorder="1" applyAlignment="1">
      <alignment horizontal="center" vertical="center"/>
    </xf>
    <xf numFmtId="0" fontId="6" fillId="6" borderId="9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6" borderId="17" xfId="0" applyFont="1" applyFill="1" applyBorder="1" applyAlignment="1">
      <alignment horizontal="center" vertical="center"/>
    </xf>
    <xf numFmtId="0" fontId="0" fillId="4" borderId="4" xfId="0" applyFill="1" applyBorder="1" applyAlignment="1"/>
    <xf numFmtId="0" fontId="0" fillId="4" borderId="6" xfId="0" applyFill="1" applyBorder="1" applyAlignment="1"/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6" fillId="0" borderId="9" xfId="0" applyFont="1" applyBorder="1" applyAlignment="1">
      <alignment horizontal="center" shrinkToFit="1"/>
    </xf>
    <xf numFmtId="164" fontId="6" fillId="2" borderId="9" xfId="0" applyNumberFormat="1" applyFont="1" applyFill="1" applyBorder="1" applyAlignment="1">
      <alignment horizontal="center" vertical="center"/>
    </xf>
    <xf numFmtId="0" fontId="0" fillId="4" borderId="42" xfId="0" applyFill="1" applyBorder="1" applyAlignment="1"/>
    <xf numFmtId="0" fontId="0" fillId="4" borderId="39" xfId="0" applyFill="1" applyBorder="1" applyAlignment="1"/>
    <xf numFmtId="3" fontId="0" fillId="3" borderId="31" xfId="0" applyNumberFormat="1" applyFill="1" applyBorder="1"/>
    <xf numFmtId="0" fontId="0" fillId="3" borderId="32" xfId="0" applyFill="1" applyBorder="1" applyAlignment="1">
      <alignment horizontal="center"/>
    </xf>
    <xf numFmtId="0" fontId="0" fillId="2" borderId="31" xfId="0" applyFill="1" applyBorder="1"/>
    <xf numFmtId="0" fontId="0" fillId="2" borderId="32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3" fontId="0" fillId="6" borderId="26" xfId="0" applyNumberFormat="1" applyFill="1" applyBorder="1" applyAlignment="1">
      <alignment horizontal="center"/>
    </xf>
    <xf numFmtId="0" fontId="0" fillId="6" borderId="27" xfId="0" applyFill="1" applyBorder="1" applyAlignment="1">
      <alignment horizontal="center"/>
    </xf>
    <xf numFmtId="3" fontId="0" fillId="6" borderId="8" xfId="0" applyNumberFormat="1" applyFill="1" applyBorder="1"/>
    <xf numFmtId="3" fontId="0" fillId="6" borderId="8" xfId="0" applyNumberFormat="1" applyFill="1" applyBorder="1" applyAlignment="1"/>
    <xf numFmtId="3" fontId="0" fillId="6" borderId="26" xfId="0" applyNumberFormat="1" applyFill="1" applyBorder="1"/>
    <xf numFmtId="0" fontId="0" fillId="6" borderId="29" xfId="0" applyFill="1" applyBorder="1"/>
    <xf numFmtId="0" fontId="0" fillId="6" borderId="34" xfId="0" applyFill="1" applyBorder="1"/>
    <xf numFmtId="3" fontId="0" fillId="6" borderId="18" xfId="0" applyNumberFormat="1" applyFill="1" applyBorder="1"/>
    <xf numFmtId="0" fontId="0" fillId="6" borderId="19" xfId="0" applyFill="1" applyBorder="1"/>
    <xf numFmtId="0" fontId="0" fillId="6" borderId="29" xfId="0" applyFill="1" applyBorder="1" applyAlignment="1"/>
    <xf numFmtId="0" fontId="0" fillId="6" borderId="34" xfId="0" applyFill="1" applyBorder="1" applyAlignment="1"/>
    <xf numFmtId="3" fontId="0" fillId="4" borderId="0" xfId="0" applyNumberFormat="1" applyFill="1" applyAlignment="1"/>
    <xf numFmtId="42" fontId="0" fillId="4" borderId="0" xfId="2" applyFont="1" applyFill="1" applyAlignment="1"/>
    <xf numFmtId="0" fontId="0" fillId="0" borderId="0" xfId="0" applyAlignment="1">
      <alignment horizontal="center"/>
    </xf>
    <xf numFmtId="4" fontId="0" fillId="0" borderId="0" xfId="0" applyNumberFormat="1"/>
    <xf numFmtId="42" fontId="0" fillId="0" borderId="0" xfId="2" applyFont="1"/>
    <xf numFmtId="0" fontId="0" fillId="0" borderId="0" xfId="0" applyAlignment="1"/>
    <xf numFmtId="42" fontId="0" fillId="0" borderId="0" xfId="0" applyNumberFormat="1"/>
    <xf numFmtId="3" fontId="0" fillId="0" borderId="0" xfId="2" applyNumberFormat="1" applyFont="1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3" fontId="0" fillId="0" borderId="0" xfId="2" applyNumberFormat="1" applyFont="1" applyBorder="1" applyAlignment="1">
      <alignment horizontal="center" vertical="center"/>
    </xf>
    <xf numFmtId="3" fontId="0" fillId="0" borderId="39" xfId="2" applyNumberFormat="1" applyFont="1" applyBorder="1" applyAlignment="1">
      <alignment horizontal="center" vertical="center"/>
    </xf>
    <xf numFmtId="3" fontId="0" fillId="0" borderId="39" xfId="0" applyNumberFormat="1" applyBorder="1" applyAlignment="1">
      <alignment horizontal="center" vertical="center"/>
    </xf>
    <xf numFmtId="42" fontId="0" fillId="0" borderId="0" xfId="2" applyFont="1" applyBorder="1" applyAlignment="1">
      <alignment horizontal="center" vertical="center"/>
    </xf>
    <xf numFmtId="42" fontId="0" fillId="0" borderId="39" xfId="2" applyFont="1" applyBorder="1" applyAlignment="1">
      <alignment horizontal="center" vertical="center"/>
    </xf>
    <xf numFmtId="42" fontId="0" fillId="0" borderId="39" xfId="0" applyNumberFormat="1" applyBorder="1" applyAlignment="1">
      <alignment horizontal="center" vertical="center"/>
    </xf>
    <xf numFmtId="42" fontId="0" fillId="0" borderId="42" xfId="0" applyNumberFormat="1" applyBorder="1" applyAlignment="1">
      <alignment horizontal="center" vertical="center"/>
    </xf>
    <xf numFmtId="3" fontId="0" fillId="0" borderId="42" xfId="0" applyNumberFormat="1" applyBorder="1" applyAlignment="1">
      <alignment horizontal="center" vertical="center"/>
    </xf>
    <xf numFmtId="3" fontId="0" fillId="0" borderId="42" xfId="2" applyNumberFormat="1" applyFont="1" applyBorder="1" applyAlignment="1">
      <alignment horizontal="center" vertical="center"/>
    </xf>
    <xf numFmtId="4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2" fontId="0" fillId="0" borderId="0" xfId="0" applyNumberFormat="1" applyAlignment="1">
      <alignment vertical="center"/>
    </xf>
    <xf numFmtId="3" fontId="0" fillId="0" borderId="0" xfId="0" applyNumberFormat="1"/>
    <xf numFmtId="3" fontId="12" fillId="0" borderId="0" xfId="0" applyNumberFormat="1" applyFont="1"/>
    <xf numFmtId="0" fontId="0" fillId="0" borderId="0" xfId="0" applyBorder="1" applyAlignment="1">
      <alignment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3" fontId="0" fillId="0" borderId="0" xfId="0" applyNumberFormat="1" applyFill="1" applyBorder="1" applyAlignment="1">
      <alignment horizontal="right" vertical="center"/>
    </xf>
    <xf numFmtId="9" fontId="0" fillId="0" borderId="0" xfId="0" applyNumberFormat="1"/>
    <xf numFmtId="8" fontId="0" fillId="0" borderId="0" xfId="0" applyNumberFormat="1"/>
    <xf numFmtId="9" fontId="0" fillId="0" borderId="0" xfId="1" applyFont="1"/>
    <xf numFmtId="0" fontId="0" fillId="2" borderId="8" xfId="0" applyFill="1" applyBorder="1" applyAlignment="1">
      <alignment horizontal="center" vertical="center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6" borderId="26" xfId="0" applyFill="1" applyBorder="1" applyAlignment="1">
      <alignment horizontal="center"/>
    </xf>
    <xf numFmtId="0" fontId="0" fillId="6" borderId="17" xfId="0" applyFill="1" applyBorder="1" applyAlignment="1">
      <alignment horizontal="center"/>
    </xf>
    <xf numFmtId="0" fontId="0" fillId="6" borderId="18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29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44" xfId="0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0" fillId="6" borderId="35" xfId="0" applyFill="1" applyBorder="1" applyAlignment="1">
      <alignment horizontal="center"/>
    </xf>
    <xf numFmtId="0" fontId="0" fillId="6" borderId="45" xfId="0" applyFill="1" applyBorder="1" applyAlignment="1">
      <alignment horizontal="center"/>
    </xf>
    <xf numFmtId="0" fontId="0" fillId="6" borderId="43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6" borderId="30" xfId="0" applyFill="1" applyBorder="1" applyAlignment="1">
      <alignment horizontal="center"/>
    </xf>
    <xf numFmtId="0" fontId="0" fillId="6" borderId="31" xfId="0" applyFill="1" applyBorder="1" applyAlignment="1">
      <alignment horizontal="center"/>
    </xf>
    <xf numFmtId="0" fontId="0" fillId="6" borderId="32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7" xfId="0" applyFill="1" applyBorder="1" applyAlignment="1">
      <alignment horizontal="left"/>
    </xf>
    <xf numFmtId="0" fontId="0" fillId="6" borderId="8" xfId="0" applyFill="1" applyBorder="1" applyAlignment="1">
      <alignment horizontal="left"/>
    </xf>
    <xf numFmtId="0" fontId="0" fillId="6" borderId="17" xfId="0" applyFill="1" applyBorder="1" applyAlignment="1">
      <alignment horizontal="left"/>
    </xf>
    <xf numFmtId="0" fontId="0" fillId="6" borderId="18" xfId="0" applyFill="1" applyBorder="1" applyAlignment="1">
      <alignment horizontal="left"/>
    </xf>
    <xf numFmtId="0" fontId="0" fillId="6" borderId="9" xfId="0" applyFill="1" applyBorder="1" applyAlignment="1">
      <alignment horizontal="center"/>
    </xf>
    <xf numFmtId="0" fontId="0" fillId="6" borderId="19" xfId="0" applyFill="1" applyBorder="1" applyAlignment="1">
      <alignment horizontal="center"/>
    </xf>
    <xf numFmtId="0" fontId="0" fillId="6" borderId="7" xfId="0" applyFill="1" applyBorder="1" applyAlignment="1"/>
    <xf numFmtId="0" fontId="0" fillId="6" borderId="8" xfId="0" applyFill="1" applyBorder="1" applyAlignment="1"/>
    <xf numFmtId="164" fontId="0" fillId="6" borderId="40" xfId="0" applyNumberFormat="1" applyFill="1" applyBorder="1" applyAlignment="1">
      <alignment horizontal="center" vertical="center" shrinkToFit="1"/>
    </xf>
    <xf numFmtId="164" fontId="0" fillId="6" borderId="41" xfId="0" applyNumberFormat="1" applyFill="1" applyBorder="1" applyAlignment="1">
      <alignment horizontal="center" vertical="center" shrinkToFit="1"/>
    </xf>
    <xf numFmtId="0" fontId="0" fillId="6" borderId="40" xfId="0" applyFill="1" applyBorder="1" applyAlignment="1">
      <alignment horizontal="center" vertical="center" shrinkToFit="1"/>
    </xf>
    <xf numFmtId="0" fontId="0" fillId="6" borderId="41" xfId="0" applyFill="1" applyBorder="1" applyAlignment="1">
      <alignment horizontal="center" vertical="center" shrinkToFit="1"/>
    </xf>
    <xf numFmtId="164" fontId="0" fillId="6" borderId="13" xfId="0" applyNumberFormat="1" applyFill="1" applyBorder="1" applyAlignment="1">
      <alignment horizontal="center" vertical="center" shrinkToFit="1"/>
    </xf>
    <xf numFmtId="164" fontId="0" fillId="6" borderId="14" xfId="0" applyNumberFormat="1" applyFill="1" applyBorder="1" applyAlignment="1">
      <alignment horizontal="center" vertical="center" shrinkToFit="1"/>
    </xf>
    <xf numFmtId="164" fontId="0" fillId="6" borderId="28" xfId="0" applyNumberFormat="1" applyFill="1" applyBorder="1" applyAlignment="1">
      <alignment horizontal="center" vertical="center" shrinkToFit="1"/>
    </xf>
    <xf numFmtId="164" fontId="0" fillId="6" borderId="0" xfId="0" applyNumberFormat="1" applyFill="1" applyBorder="1" applyAlignment="1">
      <alignment horizontal="center" vertical="center" shrinkToFit="1"/>
    </xf>
    <xf numFmtId="164" fontId="0" fillId="6" borderId="4" xfId="0" applyNumberFormat="1" applyFill="1" applyBorder="1" applyAlignment="1">
      <alignment horizontal="center" vertical="center" shrinkToFit="1"/>
    </xf>
    <xf numFmtId="164" fontId="0" fillId="6" borderId="5" xfId="0" applyNumberFormat="1" applyFill="1" applyBorder="1" applyAlignment="1">
      <alignment horizontal="center" vertical="center" shrinkToFit="1"/>
    </xf>
    <xf numFmtId="164" fontId="0" fillId="6" borderId="6" xfId="0" applyNumberFormat="1" applyFill="1" applyBorder="1" applyAlignment="1">
      <alignment horizontal="center" vertical="center" shrinkToFit="1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64" fontId="0" fillId="6" borderId="28" xfId="0" applyNumberFormat="1" applyFont="1" applyFill="1" applyBorder="1" applyAlignment="1">
      <alignment horizontal="center" vertical="center"/>
    </xf>
    <xf numFmtId="164" fontId="0" fillId="6" borderId="0" xfId="0" applyNumberFormat="1" applyFont="1" applyFill="1" applyBorder="1" applyAlignment="1">
      <alignment horizontal="center" vertical="center"/>
    </xf>
    <xf numFmtId="0" fontId="0" fillId="6" borderId="28" xfId="0" applyFont="1" applyFill="1" applyBorder="1" applyAlignment="1">
      <alignment horizontal="center"/>
    </xf>
    <xf numFmtId="0" fontId="0" fillId="6" borderId="0" xfId="0" applyFont="1" applyFill="1" applyBorder="1" applyAlignment="1">
      <alignment horizontal="center"/>
    </xf>
    <xf numFmtId="0" fontId="0" fillId="6" borderId="17" xfId="0" applyFill="1" applyBorder="1" applyAlignment="1">
      <alignment horizontal="center" shrinkToFit="1"/>
    </xf>
    <xf numFmtId="0" fontId="0" fillId="6" borderId="18" xfId="0" applyFill="1" applyBorder="1" applyAlignment="1">
      <alignment horizontal="center" shrinkToFit="1"/>
    </xf>
    <xf numFmtId="0" fontId="0" fillId="6" borderId="13" xfId="0" applyFill="1" applyBorder="1" applyAlignment="1">
      <alignment horizontal="center" vertical="center" shrinkToFit="1"/>
    </xf>
    <xf numFmtId="0" fontId="0" fillId="6" borderId="14" xfId="0" applyFill="1" applyBorder="1" applyAlignment="1">
      <alignment horizontal="center" vertical="center" shrinkToFit="1"/>
    </xf>
    <xf numFmtId="0" fontId="0" fillId="6" borderId="28" xfId="0" applyFill="1" applyBorder="1" applyAlignment="1">
      <alignment horizontal="center" vertical="center" shrinkToFit="1"/>
    </xf>
    <xf numFmtId="0" fontId="0" fillId="6" borderId="0" xfId="0" applyFill="1" applyBorder="1" applyAlignment="1">
      <alignment horizontal="center" vertical="center" shrinkToFit="1"/>
    </xf>
    <xf numFmtId="0" fontId="0" fillId="6" borderId="40" xfId="0" applyFont="1" applyFill="1" applyBorder="1" applyAlignment="1">
      <alignment horizontal="center" vertical="center"/>
    </xf>
    <xf numFmtId="0" fontId="0" fillId="6" borderId="41" xfId="0" applyFont="1" applyFill="1" applyBorder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6" borderId="13" xfId="0" applyFill="1" applyBorder="1" applyAlignment="1">
      <alignment horizontal="center" vertical="center"/>
    </xf>
    <xf numFmtId="0" fontId="0" fillId="6" borderId="14" xfId="0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6" borderId="39" xfId="0" applyFill="1" applyBorder="1" applyAlignment="1">
      <alignment horizontal="center" vertical="center"/>
    </xf>
    <xf numFmtId="0" fontId="0" fillId="6" borderId="40" xfId="0" applyFill="1" applyBorder="1" applyAlignment="1">
      <alignment horizontal="center" vertical="center"/>
    </xf>
    <xf numFmtId="0" fontId="0" fillId="6" borderId="41" xfId="0" applyFill="1" applyBorder="1" applyAlignment="1">
      <alignment horizontal="center" vertical="center"/>
    </xf>
    <xf numFmtId="0" fontId="0" fillId="6" borderId="42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shrinkToFit="1"/>
    </xf>
    <xf numFmtId="0" fontId="0" fillId="6" borderId="5" xfId="0" applyFill="1" applyBorder="1" applyAlignment="1">
      <alignment horizontal="center" shrinkToFit="1"/>
    </xf>
    <xf numFmtId="0" fontId="0" fillId="6" borderId="6" xfId="0" applyFill="1" applyBorder="1" applyAlignment="1">
      <alignment horizontal="center" shrinkToFit="1"/>
    </xf>
    <xf numFmtId="164" fontId="0" fillId="6" borderId="13" xfId="0" applyNumberFormat="1" applyFont="1" applyFill="1" applyBorder="1" applyAlignment="1">
      <alignment horizontal="center" vertical="center"/>
    </xf>
    <xf numFmtId="164" fontId="0" fillId="6" borderId="14" xfId="0" applyNumberFormat="1" applyFont="1" applyFill="1" applyBorder="1" applyAlignment="1">
      <alignment horizontal="center" vertical="center"/>
    </xf>
    <xf numFmtId="0" fontId="0" fillId="6" borderId="15" xfId="0" applyFill="1" applyBorder="1" applyAlignment="1">
      <alignment horizontal="center" vertical="center" shrinkToFit="1"/>
    </xf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37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6" borderId="28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164" fontId="0" fillId="0" borderId="10" xfId="0" applyNumberFormat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164" fontId="0" fillId="0" borderId="1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3" fontId="0" fillId="4" borderId="0" xfId="0" applyNumberFormat="1" applyFill="1" applyBorder="1" applyAlignment="1"/>
  </cellXfs>
  <cellStyles count="3">
    <cellStyle name="Moneda [0]" xfId="2" builtinId="7"/>
    <cellStyle name="Normal" xfId="0" builtinId="0"/>
    <cellStyle name="Porcentaje" xfId="1" builtinId="5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Valor de Salvamento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'Diseño Economico'!$B$57:$B$72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'Diseño Economico'!$C$57:$C$72</c:f>
              <c:numCache>
                <c:formatCode>_("$"* #,##0_);_("$"* \(#,##0\);_("$"* "-"_);_(@_)</c:formatCode>
                <c:ptCount val="16"/>
                <c:pt idx="0">
                  <c:v>56389919.6184</c:v>
                </c:pt>
                <c:pt idx="1">
                  <c:v>52630591.64384</c:v>
                </c:pt>
                <c:pt idx="2">
                  <c:v>48871263.66928</c:v>
                </c:pt>
                <c:pt idx="3">
                  <c:v>45111935.69472</c:v>
                </c:pt>
                <c:pt idx="4">
                  <c:v>41352607.72016</c:v>
                </c:pt>
                <c:pt idx="5">
                  <c:v>37593279.7456</c:v>
                </c:pt>
                <c:pt idx="6">
                  <c:v>33833951.77104</c:v>
                </c:pt>
                <c:pt idx="7">
                  <c:v>30074623.79648</c:v>
                </c:pt>
                <c:pt idx="8">
                  <c:v>26315295.82192</c:v>
                </c:pt>
                <c:pt idx="9">
                  <c:v>22555967.84736</c:v>
                </c:pt>
                <c:pt idx="10">
                  <c:v>18796639.8728</c:v>
                </c:pt>
                <c:pt idx="11">
                  <c:v>15037311.89824</c:v>
                </c:pt>
                <c:pt idx="12">
                  <c:v>11277983.92368</c:v>
                </c:pt>
                <c:pt idx="13">
                  <c:v>7518655.94912</c:v>
                </c:pt>
                <c:pt idx="14">
                  <c:v>3759327.97456</c:v>
                </c:pt>
                <c:pt idx="1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B5-4D88-9FC3-6D5D69FA3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96991"/>
        <c:axId val="229722447"/>
      </c:scatterChart>
      <c:valAx>
        <c:axId val="234996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29722447"/>
        <c:crosses val="autoZero"/>
        <c:crossBetween val="midCat"/>
      </c:valAx>
      <c:valAx>
        <c:axId val="22972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34996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21</xdr:col>
      <xdr:colOff>238391</xdr:colOff>
      <xdr:row>42</xdr:row>
      <xdr:rowOff>188527</xdr:rowOff>
    </xdr:from>
    <xdr:ext cx="2654034" cy="1441715"/>
    <xdr:pic>
      <xdr:nvPicPr>
        <xdr:cNvPr id="14" name="Imagen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240516" y="12594840"/>
          <a:ext cx="2654034" cy="1441715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28015</xdr:colOff>
      <xdr:row>56</xdr:row>
      <xdr:rowOff>23532</xdr:rowOff>
    </xdr:from>
    <xdr:to>
      <xdr:col>3</xdr:col>
      <xdr:colOff>5266765</xdr:colOff>
      <xdr:row>72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CFF5-A7CA-4FD6-B41D-F83A612D45D0}">
  <sheetPr codeName="Hoja3">
    <tabColor rgb="FFFFC000"/>
  </sheetPr>
  <dimension ref="A1:AQ130"/>
  <sheetViews>
    <sheetView tabSelected="1" topLeftCell="A25" zoomScale="85" zoomScaleNormal="85" workbookViewId="0">
      <selection activeCell="P65" sqref="P65"/>
    </sheetView>
  </sheetViews>
  <sheetFormatPr baseColWidth="10" defaultColWidth="9.140625" defaultRowHeight="15" x14ac:dyDescent="0.25"/>
  <cols>
    <col min="2" max="2" width="31.5703125" bestFit="1" customWidth="1"/>
    <col min="5" max="24" width="10.85546875" customWidth="1"/>
    <col min="25" max="25" width="14" bestFit="1" customWidth="1"/>
    <col min="29" max="29" width="9.140625" style="79"/>
    <col min="30" max="38" width="9.140625" style="19"/>
  </cols>
  <sheetData>
    <row r="1" spans="1:39" ht="15.75" thickBot="1" x14ac:dyDescent="0.3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140"/>
    </row>
    <row r="2" spans="1:39" ht="15.75" thickBot="1" x14ac:dyDescent="0.3">
      <c r="A2" s="19"/>
      <c r="B2" s="276" t="s">
        <v>268</v>
      </c>
      <c r="C2" s="277"/>
      <c r="D2" s="277"/>
      <c r="E2" s="278"/>
      <c r="F2" s="19"/>
      <c r="G2" s="19"/>
      <c r="H2" s="239" t="s">
        <v>218</v>
      </c>
      <c r="I2" s="240"/>
      <c r="J2" s="240"/>
      <c r="K2" s="293" t="s">
        <v>248</v>
      </c>
      <c r="L2" s="294"/>
      <c r="M2" s="19"/>
      <c r="N2" s="22"/>
      <c r="O2" s="285" t="s">
        <v>131</v>
      </c>
      <c r="P2" s="286"/>
      <c r="Q2" s="286"/>
      <c r="R2" s="286"/>
      <c r="S2" s="287"/>
      <c r="T2" s="22"/>
      <c r="U2" s="19"/>
      <c r="V2" s="233" t="s">
        <v>220</v>
      </c>
      <c r="W2" s="234"/>
      <c r="X2" s="234"/>
      <c r="Y2" s="235"/>
      <c r="Z2" s="19"/>
      <c r="AA2" s="19"/>
      <c r="AB2" s="19"/>
    </row>
    <row r="3" spans="1:39" ht="15.75" thickBot="1" x14ac:dyDescent="0.3">
      <c r="A3" s="19"/>
      <c r="B3" s="279"/>
      <c r="C3" s="280"/>
      <c r="D3" s="280"/>
      <c r="E3" s="281"/>
      <c r="F3" s="19"/>
      <c r="G3" s="19"/>
      <c r="H3" s="241" t="s">
        <v>217</v>
      </c>
      <c r="I3" s="242"/>
      <c r="J3" s="242"/>
      <c r="K3" s="220" t="s">
        <v>104</v>
      </c>
      <c r="L3" s="245"/>
      <c r="M3" s="19"/>
      <c r="N3" s="22"/>
      <c r="O3" s="269" t="s">
        <v>100</v>
      </c>
      <c r="P3" s="270"/>
      <c r="Q3" s="270"/>
      <c r="R3" s="270"/>
      <c r="S3" s="290"/>
      <c r="T3" s="22"/>
      <c r="U3" s="19"/>
      <c r="V3" s="236" t="s">
        <v>221</v>
      </c>
      <c r="W3" s="237"/>
      <c r="X3" s="237"/>
      <c r="Y3" s="238"/>
      <c r="Z3" s="19"/>
      <c r="AA3" s="19"/>
      <c r="AB3" s="19"/>
    </row>
    <row r="4" spans="1:39" x14ac:dyDescent="0.25">
      <c r="A4" s="19"/>
      <c r="B4" s="279"/>
      <c r="C4" s="280"/>
      <c r="D4" s="280"/>
      <c r="E4" s="281"/>
      <c r="F4" s="19"/>
      <c r="G4" s="19"/>
      <c r="H4" s="241" t="s">
        <v>216</v>
      </c>
      <c r="I4" s="242"/>
      <c r="J4" s="242"/>
      <c r="K4" s="220" t="s">
        <v>104</v>
      </c>
      <c r="L4" s="245"/>
      <c r="M4" s="19"/>
      <c r="N4" s="22"/>
      <c r="O4" s="253" t="s">
        <v>124</v>
      </c>
      <c r="P4" s="254"/>
      <c r="Q4" s="51" t="s">
        <v>49</v>
      </c>
      <c r="R4" s="74">
        <f>997.39+4.46*D24</f>
        <v>1073.21</v>
      </c>
      <c r="S4" s="52" t="s">
        <v>50</v>
      </c>
      <c r="T4" s="22"/>
      <c r="U4" s="19"/>
      <c r="V4" s="225" t="s">
        <v>222</v>
      </c>
      <c r="W4" s="226"/>
      <c r="X4" s="177">
        <v>10</v>
      </c>
      <c r="Y4" s="178" t="s">
        <v>225</v>
      </c>
      <c r="Z4" s="19"/>
      <c r="AA4" s="19"/>
      <c r="AB4" s="19"/>
      <c r="AM4" s="19"/>
    </row>
    <row r="5" spans="1:39" x14ac:dyDescent="0.25">
      <c r="A5" s="19"/>
      <c r="B5" s="279"/>
      <c r="C5" s="280"/>
      <c r="D5" s="280"/>
      <c r="E5" s="281"/>
      <c r="F5" s="19"/>
      <c r="G5" s="19"/>
      <c r="H5" s="241" t="s">
        <v>215</v>
      </c>
      <c r="I5" s="242"/>
      <c r="J5" s="242"/>
      <c r="K5" s="220" t="s">
        <v>104</v>
      </c>
      <c r="L5" s="245"/>
      <c r="M5" s="19"/>
      <c r="N5" s="22"/>
      <c r="O5" s="255" t="s">
        <v>125</v>
      </c>
      <c r="P5" s="256"/>
      <c r="Q5" s="53" t="s">
        <v>53</v>
      </c>
      <c r="R5" s="73">
        <f>997.39+4.46*D25</f>
        <v>1095.51</v>
      </c>
      <c r="S5" s="50" t="s">
        <v>50</v>
      </c>
      <c r="T5" s="22"/>
      <c r="U5" s="19"/>
      <c r="V5" s="219" t="s">
        <v>223</v>
      </c>
      <c r="W5" s="220"/>
      <c r="X5" s="134">
        <v>2</v>
      </c>
      <c r="Y5" s="136" t="s">
        <v>226</v>
      </c>
      <c r="Z5" s="19"/>
      <c r="AA5" s="19"/>
      <c r="AB5" s="19"/>
    </row>
    <row r="6" spans="1:39" ht="15.75" thickBot="1" x14ac:dyDescent="0.3">
      <c r="A6" s="19"/>
      <c r="B6" s="282"/>
      <c r="C6" s="283"/>
      <c r="D6" s="283"/>
      <c r="E6" s="284"/>
      <c r="F6" s="19"/>
      <c r="G6" s="19"/>
      <c r="H6" s="243" t="s">
        <v>214</v>
      </c>
      <c r="I6" s="244"/>
      <c r="J6" s="244"/>
      <c r="K6" s="224" t="s">
        <v>104</v>
      </c>
      <c r="L6" s="246"/>
      <c r="M6" s="19"/>
      <c r="N6" s="22"/>
      <c r="O6" s="249" t="s">
        <v>126</v>
      </c>
      <c r="P6" s="250"/>
      <c r="Q6" s="54" t="s">
        <v>56</v>
      </c>
      <c r="R6" s="72">
        <f>997.39+4.46*D26</f>
        <v>1331.8899999999999</v>
      </c>
      <c r="S6" s="55" t="s">
        <v>50</v>
      </c>
      <c r="T6" s="22"/>
      <c r="U6" s="19"/>
      <c r="V6" s="219" t="s">
        <v>224</v>
      </c>
      <c r="W6" s="220"/>
      <c r="X6" s="134">
        <f>+K8/K11</f>
        <v>192</v>
      </c>
      <c r="Y6" s="136" t="s">
        <v>230</v>
      </c>
      <c r="Z6" s="19"/>
      <c r="AA6" s="19">
        <f>52*7</f>
        <v>364</v>
      </c>
      <c r="AB6" s="19"/>
      <c r="AC6" s="79">
        <f>52/4</f>
        <v>13</v>
      </c>
    </row>
    <row r="7" spans="1:39" ht="15.75" thickBot="1" x14ac:dyDescent="0.3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22"/>
      <c r="O7" s="260" t="s">
        <v>111</v>
      </c>
      <c r="P7" s="261"/>
      <c r="Q7" s="261"/>
      <c r="R7" s="261"/>
      <c r="S7" s="262"/>
      <c r="T7" s="22"/>
      <c r="U7" s="19"/>
      <c r="V7" s="219" t="s">
        <v>227</v>
      </c>
      <c r="W7" s="220"/>
      <c r="X7" s="134">
        <f>+X6*X5</f>
        <v>384</v>
      </c>
      <c r="Y7" s="136" t="s">
        <v>231</v>
      </c>
      <c r="Z7" s="19"/>
      <c r="AA7" s="19"/>
      <c r="AB7" s="19"/>
      <c r="AC7" s="79">
        <f>52-16</f>
        <v>36</v>
      </c>
    </row>
    <row r="8" spans="1:39" x14ac:dyDescent="0.25">
      <c r="A8" s="19"/>
      <c r="B8" s="139" t="s">
        <v>213</v>
      </c>
      <c r="C8" s="147" t="s">
        <v>212</v>
      </c>
      <c r="D8" s="138">
        <v>30</v>
      </c>
      <c r="E8" s="148" t="s">
        <v>202</v>
      </c>
      <c r="F8" s="19"/>
      <c r="G8" s="19"/>
      <c r="H8" s="291" t="s">
        <v>211</v>
      </c>
      <c r="I8" s="292"/>
      <c r="J8" s="292"/>
      <c r="K8" s="137">
        <f>+D10*D12/D11</f>
        <v>280</v>
      </c>
      <c r="L8" s="148" t="s">
        <v>210</v>
      </c>
      <c r="M8" s="19"/>
      <c r="N8" s="22"/>
      <c r="O8" s="253" t="s">
        <v>127</v>
      </c>
      <c r="P8" s="254"/>
      <c r="Q8" s="74" t="s">
        <v>11</v>
      </c>
      <c r="R8" s="74">
        <f>D37+0.2209*EXP(0.0557*D25)</f>
        <v>95.599979559921579</v>
      </c>
      <c r="S8" s="52" t="s">
        <v>12</v>
      </c>
      <c r="T8" s="22"/>
      <c r="V8" s="219" t="s">
        <v>228</v>
      </c>
      <c r="W8" s="220"/>
      <c r="X8" s="134">
        <v>8900</v>
      </c>
      <c r="Y8" s="136" t="s">
        <v>232</v>
      </c>
      <c r="Z8" s="19"/>
      <c r="AA8" s="19"/>
      <c r="AB8" s="19"/>
    </row>
    <row r="9" spans="1:39" ht="15.75" thickBot="1" x14ac:dyDescent="0.3">
      <c r="A9" s="19"/>
      <c r="B9" s="135" t="s">
        <v>208</v>
      </c>
      <c r="C9" s="142" t="s">
        <v>207</v>
      </c>
      <c r="D9" s="134">
        <v>40</v>
      </c>
      <c r="E9" s="143" t="s">
        <v>202</v>
      </c>
      <c r="F9" s="19"/>
      <c r="G9" s="19"/>
      <c r="H9" s="247" t="s">
        <v>206</v>
      </c>
      <c r="I9" s="248"/>
      <c r="J9" s="248"/>
      <c r="K9" s="131">
        <f>+K8/D12</f>
        <v>2.3333333333333335</v>
      </c>
      <c r="L9" s="136" t="s">
        <v>205</v>
      </c>
      <c r="M9" s="19"/>
      <c r="N9" s="22"/>
      <c r="O9" s="255" t="s">
        <v>128</v>
      </c>
      <c r="P9" s="256"/>
      <c r="Q9" s="73" t="s">
        <v>15</v>
      </c>
      <c r="R9" s="73">
        <f>D37+0.2209*EXP(0.0557*D26)</f>
        <v>109.25096218777557</v>
      </c>
      <c r="S9" s="50" t="s">
        <v>12</v>
      </c>
      <c r="T9" s="22"/>
      <c r="U9" s="19"/>
      <c r="V9" s="223" t="s">
        <v>229</v>
      </c>
      <c r="W9" s="224"/>
      <c r="X9" s="179">
        <f>+(X7/3.75)*X8</f>
        <v>911360</v>
      </c>
      <c r="Y9" s="180" t="s">
        <v>233</v>
      </c>
      <c r="Z9" s="19"/>
      <c r="AA9" s="19"/>
      <c r="AB9" s="19"/>
    </row>
    <row r="10" spans="1:39" ht="15.75" thickBot="1" x14ac:dyDescent="0.3">
      <c r="A10" s="19"/>
      <c r="B10" s="135" t="s">
        <v>204</v>
      </c>
      <c r="C10" s="142" t="s">
        <v>203</v>
      </c>
      <c r="D10" s="134">
        <f>+(D9+D8)/2</f>
        <v>35</v>
      </c>
      <c r="E10" s="143" t="s">
        <v>202</v>
      </c>
      <c r="F10" s="19"/>
      <c r="G10" s="19"/>
      <c r="H10" s="247" t="s">
        <v>201</v>
      </c>
      <c r="I10" s="248"/>
      <c r="J10" s="248"/>
      <c r="K10" s="131">
        <f>+K8/D14</f>
        <v>140</v>
      </c>
      <c r="L10" s="143" t="s">
        <v>200</v>
      </c>
      <c r="M10" s="19"/>
      <c r="N10" s="22"/>
      <c r="O10" s="249" t="s">
        <v>129</v>
      </c>
      <c r="P10" s="250"/>
      <c r="Q10" s="72" t="s">
        <v>22</v>
      </c>
      <c r="R10" s="72">
        <f>D37+0.2209*EXP(0.0557*Q33)</f>
        <v>95.06859841995157</v>
      </c>
      <c r="S10" s="55" t="s">
        <v>12</v>
      </c>
      <c r="T10" s="22"/>
      <c r="U10" s="19"/>
      <c r="V10" s="236" t="s">
        <v>234</v>
      </c>
      <c r="W10" s="237"/>
      <c r="X10" s="237"/>
      <c r="Y10" s="238"/>
      <c r="Z10" s="19"/>
      <c r="AA10" s="19"/>
      <c r="AB10" s="19"/>
      <c r="AC10" s="79">
        <f>+AC7/3</f>
        <v>12</v>
      </c>
    </row>
    <row r="11" spans="1:39" ht="15.75" thickBot="1" x14ac:dyDescent="0.3">
      <c r="A11" s="19"/>
      <c r="B11" s="135" t="s">
        <v>199</v>
      </c>
      <c r="C11" s="142" t="s">
        <v>198</v>
      </c>
      <c r="D11" s="134">
        <v>15</v>
      </c>
      <c r="E11" s="143" t="s">
        <v>197</v>
      </c>
      <c r="F11" s="19"/>
      <c r="G11" s="19"/>
      <c r="H11" s="247" t="s">
        <v>196</v>
      </c>
      <c r="I11" s="248"/>
      <c r="J11" s="248"/>
      <c r="K11" s="131">
        <f>+K10/(6*D16)</f>
        <v>1.4583333333333333</v>
      </c>
      <c r="L11" s="143" t="s">
        <v>189</v>
      </c>
      <c r="N11" s="22"/>
      <c r="O11" s="257" t="s">
        <v>130</v>
      </c>
      <c r="P11" s="258"/>
      <c r="Q11" s="258"/>
      <c r="R11" s="258"/>
      <c r="S11" s="259"/>
      <c r="T11" s="22"/>
      <c r="U11" s="19"/>
      <c r="V11" s="225" t="s">
        <v>239</v>
      </c>
      <c r="W11" s="226"/>
      <c r="X11" s="141">
        <v>5</v>
      </c>
      <c r="Y11" s="171" t="s">
        <v>225</v>
      </c>
      <c r="Z11" s="19"/>
      <c r="AA11" s="19"/>
      <c r="AB11" s="19"/>
    </row>
    <row r="12" spans="1:39" x14ac:dyDescent="0.25">
      <c r="A12" s="19"/>
      <c r="B12" s="135" t="s">
        <v>195</v>
      </c>
      <c r="C12" s="142" t="s">
        <v>194</v>
      </c>
      <c r="D12" s="134">
        <v>120</v>
      </c>
      <c r="E12" s="143" t="s">
        <v>193</v>
      </c>
      <c r="F12" s="19"/>
      <c r="G12" s="19"/>
      <c r="H12" s="247" t="s">
        <v>192</v>
      </c>
      <c r="I12" s="248"/>
      <c r="J12" s="248"/>
      <c r="K12" s="131">
        <f>+K11*D31</f>
        <v>0.87499999999999989</v>
      </c>
      <c r="L12" s="143" t="s">
        <v>189</v>
      </c>
      <c r="M12" s="19"/>
      <c r="N12" s="22"/>
      <c r="O12" s="255" t="s">
        <v>127</v>
      </c>
      <c r="P12" s="256"/>
      <c r="Q12" s="53" t="s">
        <v>31</v>
      </c>
      <c r="R12" s="73">
        <f>2492.9-2.0523*((D37+R8)/2)-0.0030752*((D37+R8)/2)^2</f>
        <v>2269.5874947257084</v>
      </c>
      <c r="S12" s="50" t="s">
        <v>32</v>
      </c>
      <c r="T12" s="22"/>
      <c r="U12" s="19"/>
      <c r="V12" s="219" t="s">
        <v>240</v>
      </c>
      <c r="W12" s="220"/>
      <c r="X12" s="160">
        <v>0.875</v>
      </c>
      <c r="Y12" s="161"/>
      <c r="Z12" s="19"/>
      <c r="AA12" s="19"/>
      <c r="AB12" s="19"/>
    </row>
    <row r="13" spans="1:39" x14ac:dyDescent="0.25">
      <c r="A13" s="19"/>
      <c r="B13" s="133" t="s">
        <v>191</v>
      </c>
      <c r="C13" s="59" t="s">
        <v>190</v>
      </c>
      <c r="D13" s="59">
        <v>17</v>
      </c>
      <c r="E13" s="132" t="s">
        <v>21</v>
      </c>
      <c r="F13" s="19"/>
      <c r="G13" s="19"/>
      <c r="H13" s="247" t="s">
        <v>120</v>
      </c>
      <c r="I13" s="248"/>
      <c r="J13" s="248"/>
      <c r="K13" s="131">
        <f>+K12-((K12*D22)+((K12-(K12*D22))*D23))</f>
        <v>0.82319999999999993</v>
      </c>
      <c r="L13" s="143" t="s">
        <v>189</v>
      </c>
      <c r="M13" s="19"/>
      <c r="N13" s="22"/>
      <c r="O13" s="255" t="s">
        <v>128</v>
      </c>
      <c r="P13" s="256"/>
      <c r="Q13" s="53" t="s">
        <v>31</v>
      </c>
      <c r="R13" s="73">
        <f>2492.9-2.0523*((R8+R9)/2)-0.0030752*((R8+R9)/2)^2</f>
        <v>2250.4303533977154</v>
      </c>
      <c r="S13" s="50" t="s">
        <v>32</v>
      </c>
      <c r="T13" s="22"/>
      <c r="U13" s="19"/>
      <c r="V13" s="219" t="s">
        <v>241</v>
      </c>
      <c r="W13" s="220"/>
      <c r="X13" s="160">
        <v>0.82</v>
      </c>
      <c r="Y13" s="161"/>
      <c r="Z13" s="19"/>
      <c r="AA13" s="19"/>
      <c r="AB13" s="19"/>
    </row>
    <row r="14" spans="1:39" ht="15.75" thickBot="1" x14ac:dyDescent="0.3">
      <c r="A14" s="19"/>
      <c r="B14" s="135" t="s">
        <v>188</v>
      </c>
      <c r="C14" s="142" t="s">
        <v>187</v>
      </c>
      <c r="D14" s="134">
        <v>2</v>
      </c>
      <c r="E14" s="143" t="s">
        <v>186</v>
      </c>
      <c r="F14" s="19"/>
      <c r="G14" s="19"/>
      <c r="H14" s="247" t="s">
        <v>185</v>
      </c>
      <c r="I14" s="248"/>
      <c r="J14" s="248"/>
      <c r="K14" s="131">
        <f>+K13*D24/D27*1000</f>
        <v>149.67272727272726</v>
      </c>
      <c r="L14" s="143" t="s">
        <v>3</v>
      </c>
      <c r="M14" s="19"/>
      <c r="N14" s="22"/>
      <c r="O14" s="249" t="s">
        <v>129</v>
      </c>
      <c r="P14" s="250"/>
      <c r="Q14" s="54" t="s">
        <v>31</v>
      </c>
      <c r="R14" s="72">
        <f>2492.9-2.0523*((R9+R10)/2)-0.0030752*((R9+R10)/2)^2</f>
        <v>2251.1427868696574</v>
      </c>
      <c r="S14" s="55" t="s">
        <v>32</v>
      </c>
      <c r="T14" s="22"/>
      <c r="U14" s="19"/>
      <c r="V14" s="229" t="s">
        <v>235</v>
      </c>
      <c r="W14" s="230"/>
      <c r="X14" s="160">
        <v>220</v>
      </c>
      <c r="Y14" s="161" t="s">
        <v>238</v>
      </c>
      <c r="Z14" s="19"/>
      <c r="AA14" s="19"/>
      <c r="AB14" s="19"/>
    </row>
    <row r="15" spans="1:39" ht="15.75" thickBot="1" x14ac:dyDescent="0.3">
      <c r="A15" s="19"/>
      <c r="B15" s="135" t="s">
        <v>249</v>
      </c>
      <c r="C15" s="151" t="s">
        <v>187</v>
      </c>
      <c r="D15" s="134">
        <v>6</v>
      </c>
      <c r="E15" s="152" t="s">
        <v>250</v>
      </c>
      <c r="G15" s="19"/>
      <c r="H15" s="267" t="s">
        <v>209</v>
      </c>
      <c r="I15" s="268"/>
      <c r="J15" s="268"/>
      <c r="K15" s="144">
        <f>+K11*1.3</f>
        <v>1.8958333333333333</v>
      </c>
      <c r="L15" s="145" t="s">
        <v>189</v>
      </c>
      <c r="M15" s="19"/>
      <c r="N15" s="22"/>
      <c r="O15" s="257" t="s">
        <v>112</v>
      </c>
      <c r="P15" s="258"/>
      <c r="Q15" s="258"/>
      <c r="R15" s="258"/>
      <c r="S15" s="259"/>
      <c r="T15" s="22"/>
      <c r="U15" s="19"/>
      <c r="V15" s="229" t="s">
        <v>242</v>
      </c>
      <c r="W15" s="230"/>
      <c r="X15" s="160">
        <f>+K8/K11</f>
        <v>192</v>
      </c>
      <c r="Y15" s="161" t="s">
        <v>230</v>
      </c>
      <c r="Z15" s="19"/>
      <c r="AA15" s="19"/>
      <c r="AB15" s="19"/>
    </row>
    <row r="16" spans="1:39" ht="15.75" thickBot="1" x14ac:dyDescent="0.3">
      <c r="A16" s="19"/>
      <c r="B16" s="146" t="s">
        <v>219</v>
      </c>
      <c r="C16" s="144" t="s">
        <v>187</v>
      </c>
      <c r="D16" s="130">
        <v>16</v>
      </c>
      <c r="E16" s="145" t="s">
        <v>58</v>
      </c>
      <c r="F16" s="19"/>
      <c r="G16" s="19"/>
      <c r="H16" s="19"/>
      <c r="I16" s="19"/>
      <c r="J16" s="19"/>
      <c r="K16" s="19"/>
      <c r="L16" s="19"/>
      <c r="M16" s="19"/>
      <c r="N16" s="19"/>
      <c r="O16" s="255" t="s">
        <v>135</v>
      </c>
      <c r="P16" s="256"/>
      <c r="Q16" s="73" t="s">
        <v>45</v>
      </c>
      <c r="R16" s="73">
        <f>4.18*(1-0.006*D24)</f>
        <v>3.7536399999999999</v>
      </c>
      <c r="S16" s="50" t="s">
        <v>46</v>
      </c>
      <c r="T16" s="19"/>
      <c r="U16" s="19"/>
      <c r="V16" s="219" t="s">
        <v>244</v>
      </c>
      <c r="W16" s="220"/>
      <c r="X16" s="44">
        <f>((+X11*0.75)/X12)</f>
        <v>4.2857142857142856</v>
      </c>
      <c r="Y16" s="161" t="s">
        <v>18</v>
      </c>
      <c r="Z16" s="19"/>
      <c r="AA16" s="19"/>
      <c r="AB16" s="19"/>
    </row>
    <row r="17" spans="1:28" ht="15.75" thickBot="1" x14ac:dyDescent="0.3">
      <c r="A17" s="19"/>
      <c r="F17" s="20"/>
      <c r="G17" s="19"/>
      <c r="H17" s="257" t="s">
        <v>1</v>
      </c>
      <c r="I17" s="258"/>
      <c r="J17" s="258"/>
      <c r="K17" s="258"/>
      <c r="L17" s="259"/>
      <c r="M17" s="19"/>
      <c r="N17" s="19"/>
      <c r="O17" s="255" t="s">
        <v>136</v>
      </c>
      <c r="P17" s="256"/>
      <c r="Q17" s="73" t="s">
        <v>45</v>
      </c>
      <c r="R17" s="73">
        <f>4.18*(1-0.006*D25)</f>
        <v>3.6282399999999999</v>
      </c>
      <c r="S17" s="50" t="s">
        <v>46</v>
      </c>
      <c r="T17" s="36"/>
      <c r="U17" s="20"/>
      <c r="V17" s="219" t="s">
        <v>245</v>
      </c>
      <c r="W17" s="220"/>
      <c r="X17" s="44">
        <f>+X16*TAN(ACOS(X13))</f>
        <v>2.9914469730844986</v>
      </c>
      <c r="Y17" s="161" t="s">
        <v>246</v>
      </c>
      <c r="Z17" s="19"/>
      <c r="AA17" s="19"/>
      <c r="AB17" s="19"/>
    </row>
    <row r="18" spans="1:28" ht="15.75" thickBot="1" x14ac:dyDescent="0.3">
      <c r="A18" s="19"/>
      <c r="B18" s="303" t="s">
        <v>0</v>
      </c>
      <c r="C18" s="304"/>
      <c r="D18" s="304"/>
      <c r="E18" s="305"/>
      <c r="F18" s="20" t="s">
        <v>145</v>
      </c>
      <c r="G18" s="19"/>
      <c r="H18" s="288" t="s">
        <v>106</v>
      </c>
      <c r="I18" s="289"/>
      <c r="J18" s="74" t="s">
        <v>138</v>
      </c>
      <c r="K18" s="63">
        <f>K19/D31</f>
        <v>1458.3333333333333</v>
      </c>
      <c r="L18" s="52" t="s">
        <v>3</v>
      </c>
      <c r="M18" s="19"/>
      <c r="N18" s="19"/>
      <c r="O18" s="249" t="s">
        <v>137</v>
      </c>
      <c r="P18" s="250"/>
      <c r="Q18" s="72" t="s">
        <v>45</v>
      </c>
      <c r="R18" s="72">
        <f>4.18*(1-0.006*D26)</f>
        <v>2.2989999999999999</v>
      </c>
      <c r="S18" s="55" t="s">
        <v>46</v>
      </c>
      <c r="T18" s="34"/>
      <c r="U18" s="20"/>
      <c r="V18" s="229" t="s">
        <v>237</v>
      </c>
      <c r="W18" s="230"/>
      <c r="X18" s="160">
        <f>+X16*X15</f>
        <v>822.85714285714289</v>
      </c>
      <c r="Y18" s="161" t="s">
        <v>247</v>
      </c>
      <c r="Z18" s="19"/>
      <c r="AA18" s="19"/>
      <c r="AB18" s="19"/>
    </row>
    <row r="19" spans="1:28" ht="15.75" thickBot="1" x14ac:dyDescent="0.3">
      <c r="A19" s="19"/>
      <c r="B19" s="1" t="s">
        <v>184</v>
      </c>
      <c r="C19" s="2" t="s">
        <v>2</v>
      </c>
      <c r="D19" s="2">
        <f>+K14</f>
        <v>149.67272727272726</v>
      </c>
      <c r="E19" s="3" t="s">
        <v>3</v>
      </c>
      <c r="F19" s="46">
        <f>K30/D19</f>
        <v>2.1114695878351344</v>
      </c>
      <c r="G19" s="19"/>
      <c r="H19" s="263" t="s">
        <v>105</v>
      </c>
      <c r="I19" s="264"/>
      <c r="J19" s="73" t="s">
        <v>139</v>
      </c>
      <c r="K19" s="64">
        <f>+K21/(1-D22)</f>
        <v>874.99999999999989</v>
      </c>
      <c r="L19" s="50" t="s">
        <v>3</v>
      </c>
      <c r="M19" s="129"/>
      <c r="N19" s="19"/>
      <c r="O19" s="35"/>
      <c r="P19" s="23"/>
      <c r="Q19" s="23"/>
      <c r="R19" s="23"/>
      <c r="S19" s="23"/>
      <c r="T19" s="47"/>
      <c r="U19" s="20"/>
      <c r="V19" s="229" t="s">
        <v>236</v>
      </c>
      <c r="W19" s="230"/>
      <c r="X19" s="160">
        <v>500</v>
      </c>
      <c r="Y19" s="161" t="s">
        <v>243</v>
      </c>
      <c r="Z19" s="19"/>
      <c r="AA19" s="19"/>
      <c r="AB19" s="19"/>
    </row>
    <row r="20" spans="1:28" x14ac:dyDescent="0.25">
      <c r="A20" s="19"/>
      <c r="B20" s="4" t="s">
        <v>73</v>
      </c>
      <c r="C20" s="216" t="s">
        <v>74</v>
      </c>
      <c r="D20" s="45">
        <f>+F19</f>
        <v>2.1114695878351344</v>
      </c>
      <c r="E20" s="6" t="s">
        <v>75</v>
      </c>
      <c r="F20" s="20"/>
      <c r="G20" s="19"/>
      <c r="H20" s="301" t="s">
        <v>122</v>
      </c>
      <c r="I20" s="302"/>
      <c r="J20" s="71" t="s">
        <v>140</v>
      </c>
      <c r="K20" s="66">
        <f>+K19*D22</f>
        <v>17.499999999999996</v>
      </c>
      <c r="L20" s="50" t="s">
        <v>3</v>
      </c>
      <c r="M20" s="129"/>
      <c r="N20" s="19"/>
      <c r="O20" s="269" t="s">
        <v>6</v>
      </c>
      <c r="P20" s="270"/>
      <c r="Q20" s="75" t="s">
        <v>7</v>
      </c>
      <c r="R20" s="75">
        <f>17.85-20.35*D29</f>
        <v>14.797500000000001</v>
      </c>
      <c r="S20" s="78" t="s">
        <v>8</v>
      </c>
      <c r="T20" s="47"/>
      <c r="U20" s="20"/>
      <c r="V20" s="231" t="s">
        <v>229</v>
      </c>
      <c r="W20" s="232"/>
      <c r="X20" s="172">
        <f>+X18*X19</f>
        <v>411428.57142857142</v>
      </c>
      <c r="Y20" s="173" t="s">
        <v>233</v>
      </c>
      <c r="Z20" s="19"/>
      <c r="AA20" s="19"/>
      <c r="AB20" s="19"/>
    </row>
    <row r="21" spans="1:28" x14ac:dyDescent="0.25">
      <c r="A21" s="19"/>
      <c r="B21" s="16" t="s">
        <v>102</v>
      </c>
      <c r="C21" s="17" t="s">
        <v>4</v>
      </c>
      <c r="D21" s="27">
        <f>+K36/R21</f>
        <v>0.39640813836853944</v>
      </c>
      <c r="E21" s="18" t="s">
        <v>5</v>
      </c>
      <c r="F21" s="20"/>
      <c r="G21" s="19"/>
      <c r="H21" s="301" t="s">
        <v>121</v>
      </c>
      <c r="I21" s="302"/>
      <c r="J21" s="73" t="s">
        <v>141</v>
      </c>
      <c r="K21" s="66">
        <f>+K23/(1-D23)</f>
        <v>857.49999999999989</v>
      </c>
      <c r="L21" s="50" t="s">
        <v>3</v>
      </c>
      <c r="M21" s="19"/>
      <c r="N21" s="19"/>
      <c r="O21" s="271" t="s">
        <v>16</v>
      </c>
      <c r="P21" s="272"/>
      <c r="Q21" s="76" t="s">
        <v>17</v>
      </c>
      <c r="R21" s="76">
        <f>(D20*D19)*R20/3.6</f>
        <v>1299.0125612745101</v>
      </c>
      <c r="S21" s="67" t="s">
        <v>18</v>
      </c>
      <c r="T21" s="47"/>
      <c r="U21" s="20"/>
      <c r="V21" s="219" t="s">
        <v>253</v>
      </c>
      <c r="W21" s="220"/>
      <c r="X21" s="174">
        <f>6160000*D10</f>
        <v>215600000</v>
      </c>
      <c r="Y21" s="161" t="s">
        <v>254</v>
      </c>
      <c r="Z21" s="19"/>
      <c r="AA21" s="19"/>
      <c r="AB21" s="19"/>
    </row>
    <row r="22" spans="1:28" ht="15.75" thickBot="1" x14ac:dyDescent="0.3">
      <c r="A22" s="19"/>
      <c r="B22" s="4" t="s">
        <v>9</v>
      </c>
      <c r="C22" s="216" t="s">
        <v>10</v>
      </c>
      <c r="D22" s="5">
        <v>0.02</v>
      </c>
      <c r="E22" s="6" t="s">
        <v>5</v>
      </c>
      <c r="F22" s="20"/>
      <c r="G22" s="19"/>
      <c r="H22" s="301" t="s">
        <v>13</v>
      </c>
      <c r="I22" s="302"/>
      <c r="J22" s="71" t="s">
        <v>142</v>
      </c>
      <c r="K22" s="66">
        <f>+K21*D23</f>
        <v>34.299999999999997</v>
      </c>
      <c r="L22" s="50" t="s">
        <v>3</v>
      </c>
      <c r="M22" s="19"/>
      <c r="N22" s="19"/>
      <c r="O22" s="251" t="s">
        <v>25</v>
      </c>
      <c r="P22" s="252"/>
      <c r="Q22" s="77" t="s">
        <v>26</v>
      </c>
      <c r="R22" s="77">
        <f>R21/1000</f>
        <v>1.29901256127451</v>
      </c>
      <c r="S22" s="68" t="s">
        <v>27</v>
      </c>
      <c r="T22" s="24"/>
      <c r="U22" s="20"/>
      <c r="V22" s="219" t="s">
        <v>257</v>
      </c>
      <c r="W22" s="220"/>
      <c r="X22" s="175">
        <v>869000</v>
      </c>
      <c r="Y22" s="161" t="s">
        <v>258</v>
      </c>
      <c r="Z22" s="19"/>
      <c r="AA22" s="19"/>
      <c r="AB22" s="19"/>
    </row>
    <row r="23" spans="1:28" x14ac:dyDescent="0.25">
      <c r="A23" s="19"/>
      <c r="B23" s="4" t="s">
        <v>13</v>
      </c>
      <c r="C23" s="216" t="s">
        <v>14</v>
      </c>
      <c r="D23" s="5">
        <v>0.04</v>
      </c>
      <c r="E23" s="6" t="s">
        <v>5</v>
      </c>
      <c r="F23" s="20"/>
      <c r="G23" s="19"/>
      <c r="H23" s="301" t="s">
        <v>120</v>
      </c>
      <c r="I23" s="302"/>
      <c r="J23" s="73" t="s">
        <v>143</v>
      </c>
      <c r="K23" s="66">
        <f>+D19*D27/D24</f>
        <v>823.19999999999982</v>
      </c>
      <c r="L23" s="50" t="s">
        <v>3</v>
      </c>
      <c r="M23" s="19"/>
      <c r="N23" s="19"/>
      <c r="O23" s="19"/>
      <c r="P23" s="19"/>
      <c r="Q23" s="19"/>
      <c r="R23" s="19"/>
      <c r="S23" s="19"/>
      <c r="T23" s="47"/>
      <c r="U23" s="20"/>
      <c r="V23" s="219" t="s">
        <v>259</v>
      </c>
      <c r="W23" s="220"/>
      <c r="X23" s="134">
        <v>3</v>
      </c>
      <c r="Y23" s="161" t="s">
        <v>263</v>
      </c>
      <c r="Z23" s="19"/>
      <c r="AA23" s="19"/>
      <c r="AB23" s="19"/>
    </row>
    <row r="24" spans="1:28" ht="15.75" thickBot="1" x14ac:dyDescent="0.3">
      <c r="A24" s="19"/>
      <c r="B24" s="1" t="s">
        <v>19</v>
      </c>
      <c r="C24" s="2" t="s">
        <v>20</v>
      </c>
      <c r="D24" s="2">
        <f>+D13</f>
        <v>17</v>
      </c>
      <c r="E24" s="3" t="s">
        <v>21</v>
      </c>
      <c r="F24" s="20"/>
      <c r="G24" s="19"/>
      <c r="H24" s="263" t="s">
        <v>107</v>
      </c>
      <c r="I24" s="264"/>
      <c r="J24" s="73" t="s">
        <v>144</v>
      </c>
      <c r="K24" s="64">
        <f>K21-D19</f>
        <v>707.82727272727266</v>
      </c>
      <c r="L24" s="50" t="s">
        <v>3</v>
      </c>
      <c r="M24" s="19"/>
      <c r="N24" s="19"/>
      <c r="O24" s="275" t="s">
        <v>265</v>
      </c>
      <c r="P24" s="275"/>
      <c r="R24" s="22">
        <f>+D19*D20*D16*D15</f>
        <v>30338.823529411769</v>
      </c>
      <c r="S24" s="22" t="s">
        <v>266</v>
      </c>
      <c r="T24" s="22"/>
      <c r="U24" s="22"/>
      <c r="V24" s="223" t="s">
        <v>260</v>
      </c>
      <c r="W24" s="224"/>
      <c r="X24" s="179">
        <v>200000</v>
      </c>
      <c r="Y24" s="162" t="s">
        <v>258</v>
      </c>
      <c r="Z24" s="22"/>
      <c r="AA24" s="19"/>
      <c r="AB24" s="19"/>
    </row>
    <row r="25" spans="1:28" ht="15.75" thickBot="1" x14ac:dyDescent="0.3">
      <c r="A25" s="19"/>
      <c r="B25" s="1" t="s">
        <v>23</v>
      </c>
      <c r="C25" s="2" t="s">
        <v>24</v>
      </c>
      <c r="D25" s="2">
        <v>22</v>
      </c>
      <c r="E25" s="3" t="s">
        <v>21</v>
      </c>
      <c r="F25" s="20"/>
      <c r="G25" s="19"/>
      <c r="H25" s="263" t="s">
        <v>110</v>
      </c>
      <c r="I25" s="264"/>
      <c r="J25" s="73" t="s">
        <v>141</v>
      </c>
      <c r="K25" s="64">
        <f>+K21</f>
        <v>857.49999999999989</v>
      </c>
      <c r="L25" s="50" t="s">
        <v>3</v>
      </c>
      <c r="M25" s="19"/>
      <c r="N25" s="19"/>
      <c r="O25" s="275" t="s">
        <v>267</v>
      </c>
      <c r="P25" s="275"/>
      <c r="Q25" s="22"/>
      <c r="R25" s="22"/>
      <c r="S25" s="22"/>
      <c r="T25" s="22"/>
      <c r="U25" s="22"/>
      <c r="V25" s="227" t="s">
        <v>262</v>
      </c>
      <c r="W25" s="228"/>
      <c r="X25" s="167">
        <f>+X21/D11+X22*X23+X24+X20</f>
        <v>17591761.904761907</v>
      </c>
      <c r="Y25" s="168" t="s">
        <v>258</v>
      </c>
      <c r="Z25" s="22"/>
      <c r="AA25" s="19"/>
      <c r="AB25" s="19"/>
    </row>
    <row r="26" spans="1:28" x14ac:dyDescent="0.25">
      <c r="A26" s="19"/>
      <c r="B26" s="1" t="s">
        <v>28</v>
      </c>
      <c r="C26" s="2" t="s">
        <v>29</v>
      </c>
      <c r="D26" s="2">
        <v>75</v>
      </c>
      <c r="E26" s="3" t="s">
        <v>21</v>
      </c>
      <c r="F26" s="20"/>
      <c r="G26" s="19"/>
      <c r="H26" s="263" t="s">
        <v>108</v>
      </c>
      <c r="I26" s="264"/>
      <c r="J26" s="73" t="s">
        <v>34</v>
      </c>
      <c r="K26" s="64">
        <f>+K23</f>
        <v>823.19999999999982</v>
      </c>
      <c r="L26" s="50" t="s">
        <v>3</v>
      </c>
      <c r="M26" s="19"/>
      <c r="N26" s="19"/>
      <c r="O26" s="22"/>
      <c r="P26" s="22"/>
      <c r="Q26" s="22"/>
      <c r="R26" s="22"/>
      <c r="S26" s="22"/>
      <c r="T26" s="22"/>
      <c r="U26" s="22"/>
      <c r="V26" s="225" t="s">
        <v>261</v>
      </c>
      <c r="W26" s="226"/>
      <c r="X26" s="181">
        <f>+D19*D16*D15*D14</f>
        <v>28737.163636363635</v>
      </c>
      <c r="Y26" s="182" t="s">
        <v>30</v>
      </c>
      <c r="Z26" s="22">
        <f>+X26*X27*12</f>
        <v>620722734.5454545</v>
      </c>
      <c r="AA26" s="19"/>
      <c r="AB26" s="19"/>
    </row>
    <row r="27" spans="1:28" ht="15.75" thickBot="1" x14ac:dyDescent="0.3">
      <c r="A27" s="19"/>
      <c r="B27" s="1" t="s">
        <v>37</v>
      </c>
      <c r="C27" s="216" t="s">
        <v>33</v>
      </c>
      <c r="D27" s="2">
        <v>93.5</v>
      </c>
      <c r="E27" s="3" t="s">
        <v>21</v>
      </c>
      <c r="F27" s="20"/>
      <c r="G27" s="19"/>
      <c r="H27" s="263" t="s">
        <v>109</v>
      </c>
      <c r="I27" s="264"/>
      <c r="J27" s="73" t="s">
        <v>38</v>
      </c>
      <c r="K27" s="64">
        <f>K26*D25/D26</f>
        <v>241.47199999999992</v>
      </c>
      <c r="L27" s="50" t="s">
        <v>3</v>
      </c>
      <c r="M27" s="19"/>
      <c r="N27" s="19"/>
      <c r="O27" s="22"/>
      <c r="P27" s="22"/>
      <c r="Q27" s="22"/>
      <c r="R27" s="22"/>
      <c r="S27" s="22"/>
      <c r="T27" s="22"/>
      <c r="U27" s="22"/>
      <c r="V27" s="221" t="s">
        <v>255</v>
      </c>
      <c r="W27" s="222"/>
      <c r="X27" s="176">
        <v>1800</v>
      </c>
      <c r="Y27" s="173" t="s">
        <v>256</v>
      </c>
      <c r="Z27" s="22"/>
      <c r="AA27" s="19"/>
      <c r="AB27" s="19"/>
    </row>
    <row r="28" spans="1:28" ht="15.75" thickBot="1" x14ac:dyDescent="0.3">
      <c r="A28" s="19"/>
      <c r="B28" s="7" t="s">
        <v>39</v>
      </c>
      <c r="C28" s="8" t="s">
        <v>40</v>
      </c>
      <c r="D28" s="5" t="s">
        <v>183</v>
      </c>
      <c r="E28" s="9" t="s">
        <v>42</v>
      </c>
      <c r="F28" s="20"/>
      <c r="G28" s="19"/>
      <c r="H28" s="265" t="s">
        <v>132</v>
      </c>
      <c r="I28" s="266"/>
      <c r="J28" s="49" t="s">
        <v>115</v>
      </c>
      <c r="K28" s="66">
        <f>D19*D20</f>
        <v>316.02941176470591</v>
      </c>
      <c r="L28" s="50" t="s">
        <v>3</v>
      </c>
      <c r="M28" s="19"/>
      <c r="N28" s="19"/>
      <c r="O28" s="22"/>
      <c r="P28" s="22"/>
      <c r="Q28" s="22"/>
      <c r="R28" s="22"/>
      <c r="S28" s="22"/>
      <c r="T28" s="22"/>
      <c r="U28" s="22"/>
      <c r="V28" s="217" t="s">
        <v>264</v>
      </c>
      <c r="W28" s="218"/>
      <c r="X28" s="169">
        <f>+X27*X26</f>
        <v>51726894.545454547</v>
      </c>
      <c r="Y28" s="170" t="s">
        <v>258</v>
      </c>
      <c r="Z28" s="22"/>
      <c r="AA28" s="19"/>
      <c r="AB28" s="19"/>
    </row>
    <row r="29" spans="1:28" x14ac:dyDescent="0.25">
      <c r="A29" s="19"/>
      <c r="B29" s="4" t="s">
        <v>43</v>
      </c>
      <c r="C29" s="216" t="s">
        <v>44</v>
      </c>
      <c r="D29" s="5">
        <v>0.15</v>
      </c>
      <c r="E29" s="6" t="s">
        <v>5</v>
      </c>
      <c r="F29" s="20"/>
      <c r="G29" s="19"/>
      <c r="H29" s="263" t="s">
        <v>133</v>
      </c>
      <c r="I29" s="264"/>
      <c r="J29" s="73" t="s">
        <v>35</v>
      </c>
      <c r="K29" s="64">
        <f>K18-K19</f>
        <v>583.33333333333337</v>
      </c>
      <c r="L29" s="50" t="s">
        <v>3</v>
      </c>
      <c r="M29" s="19"/>
      <c r="N29" s="19"/>
      <c r="O29" s="22"/>
      <c r="P29" s="22"/>
      <c r="Q29" s="22"/>
      <c r="R29" s="22"/>
      <c r="S29" s="22"/>
      <c r="T29" s="22"/>
      <c r="U29" s="22"/>
      <c r="V29" s="19"/>
      <c r="W29" s="19"/>
      <c r="X29" s="19"/>
      <c r="Y29" s="19"/>
      <c r="Z29" s="22"/>
      <c r="AA29" s="19"/>
      <c r="AB29" s="19"/>
    </row>
    <row r="30" spans="1:28" ht="15.75" thickBot="1" x14ac:dyDescent="0.3">
      <c r="A30" s="19"/>
      <c r="B30" s="4" t="s">
        <v>47</v>
      </c>
      <c r="C30" s="10" t="s">
        <v>48</v>
      </c>
      <c r="D30" s="11">
        <v>1.8</v>
      </c>
      <c r="E30" s="6"/>
      <c r="F30" s="20"/>
      <c r="G30" s="19"/>
      <c r="H30" s="273" t="s">
        <v>134</v>
      </c>
      <c r="I30" s="274"/>
      <c r="J30" s="77" t="s">
        <v>114</v>
      </c>
      <c r="K30" s="65">
        <f>K29*((100%-D35)/(100%-D29))</f>
        <v>316.02941176470591</v>
      </c>
      <c r="L30" s="55" t="s">
        <v>3</v>
      </c>
      <c r="M30" s="19"/>
      <c r="N30" s="19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19"/>
      <c r="AB30" s="19"/>
    </row>
    <row r="31" spans="1:28" ht="15.75" thickBot="1" x14ac:dyDescent="0.3">
      <c r="A31" s="19"/>
      <c r="B31" s="1" t="s">
        <v>51</v>
      </c>
      <c r="C31" s="2" t="s">
        <v>52</v>
      </c>
      <c r="D31" s="12">
        <v>0.6</v>
      </c>
      <c r="E31" s="3" t="s">
        <v>5</v>
      </c>
      <c r="F31" s="20"/>
      <c r="G31" s="19"/>
      <c r="H31" s="23"/>
      <c r="I31" s="23"/>
      <c r="J31" s="23"/>
      <c r="K31" s="35"/>
      <c r="L31" s="35"/>
      <c r="M31" s="19"/>
      <c r="N31" s="19"/>
      <c r="O31" s="22"/>
      <c r="P31" s="22"/>
      <c r="Q31" s="22"/>
      <c r="R31" s="22"/>
      <c r="S31" s="22"/>
      <c r="T31" s="22"/>
      <c r="U31" s="22"/>
      <c r="V31" s="22"/>
      <c r="W31" s="22"/>
      <c r="X31" s="183">
        <f>+X28-X25</f>
        <v>34135132.640692636</v>
      </c>
      <c r="Y31" s="184">
        <f>+X31*12*5</f>
        <v>2048107958.4415581</v>
      </c>
      <c r="Z31" s="22"/>
      <c r="AA31" s="19"/>
      <c r="AB31" s="19"/>
    </row>
    <row r="32" spans="1:28" ht="15.75" thickBot="1" x14ac:dyDescent="0.3">
      <c r="A32" s="19"/>
      <c r="B32" s="1" t="s">
        <v>54</v>
      </c>
      <c r="C32" s="2" t="s">
        <v>55</v>
      </c>
      <c r="D32" s="12">
        <v>0.14000000000000001</v>
      </c>
      <c r="E32" s="3" t="s">
        <v>5</v>
      </c>
      <c r="F32" s="20"/>
      <c r="G32" s="19"/>
      <c r="H32" s="260" t="s">
        <v>123</v>
      </c>
      <c r="I32" s="261"/>
      <c r="J32" s="261"/>
      <c r="K32" s="261"/>
      <c r="L32" s="262"/>
      <c r="M32" s="19"/>
      <c r="N32" s="19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19"/>
      <c r="AB32" s="19"/>
    </row>
    <row r="33" spans="1:28" x14ac:dyDescent="0.25">
      <c r="A33" s="19"/>
      <c r="B33" s="1" t="s">
        <v>57</v>
      </c>
      <c r="C33" s="2" t="s">
        <v>58</v>
      </c>
      <c r="D33" s="2">
        <v>1610</v>
      </c>
      <c r="E33" s="3" t="s">
        <v>59</v>
      </c>
      <c r="F33" s="20"/>
      <c r="G33" s="19"/>
      <c r="H33" s="253" t="s">
        <v>113</v>
      </c>
      <c r="I33" s="254"/>
      <c r="J33" s="74" t="s">
        <v>60</v>
      </c>
      <c r="K33" s="74">
        <f>(K25*R16*(R8-D34)+(K25-K26)*R12)/3600</f>
        <v>84.747298349351425</v>
      </c>
      <c r="L33" s="52" t="s">
        <v>18</v>
      </c>
      <c r="M33" s="19"/>
      <c r="N33" s="19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19"/>
      <c r="AB33" s="19"/>
    </row>
    <row r="34" spans="1:28" ht="15.75" thickBot="1" x14ac:dyDescent="0.3">
      <c r="A34" s="19"/>
      <c r="B34" s="13" t="s">
        <v>61</v>
      </c>
      <c r="C34" s="14" t="s">
        <v>62</v>
      </c>
      <c r="D34" s="14">
        <v>25</v>
      </c>
      <c r="E34" s="15" t="s">
        <v>12</v>
      </c>
      <c r="F34" s="20"/>
      <c r="G34" s="19"/>
      <c r="H34" s="255" t="s">
        <v>116</v>
      </c>
      <c r="I34" s="256"/>
      <c r="J34" s="73" t="s">
        <v>63</v>
      </c>
      <c r="K34" s="73">
        <f>(K26*R17*(R9-R8)+(K26-K27)*R13)/3600</f>
        <v>374.97518204032178</v>
      </c>
      <c r="L34" s="50" t="s">
        <v>18</v>
      </c>
      <c r="M34" s="19"/>
      <c r="N34" s="19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19"/>
      <c r="AB34" s="19"/>
    </row>
    <row r="35" spans="1:28" x14ac:dyDescent="0.25">
      <c r="A35" s="19"/>
      <c r="B35" s="56" t="s">
        <v>64</v>
      </c>
      <c r="C35" s="59" t="s">
        <v>65</v>
      </c>
      <c r="D35" s="57">
        <f>((K19-K19*(D31+D32))-(K19-K19*(D31+D32))*(D24/100))/(K19*(1-D31))</f>
        <v>0.53949999999999998</v>
      </c>
      <c r="E35" s="58" t="s">
        <v>5</v>
      </c>
      <c r="F35" s="20"/>
      <c r="G35" s="19"/>
      <c r="H35" s="255" t="s">
        <v>117</v>
      </c>
      <c r="I35" s="256"/>
      <c r="J35" s="73" t="s">
        <v>66</v>
      </c>
      <c r="K35" s="73">
        <f>(K27*R18*(R10-R9)+(K27-D19)*R14)/3600</f>
        <v>55.216670742503581</v>
      </c>
      <c r="L35" s="50" t="s">
        <v>18</v>
      </c>
      <c r="M35" s="19"/>
      <c r="N35" s="19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19"/>
      <c r="AB35" s="19"/>
    </row>
    <row r="36" spans="1:28" x14ac:dyDescent="0.25">
      <c r="A36" s="19"/>
      <c r="B36" s="56" t="s">
        <v>68</v>
      </c>
      <c r="C36" s="59" t="s">
        <v>69</v>
      </c>
      <c r="D36" s="59">
        <f>760*EXP(-0.0001158*D33)</f>
        <v>630.73161123067814</v>
      </c>
      <c r="E36" s="58" t="s">
        <v>70</v>
      </c>
      <c r="F36" s="20"/>
      <c r="G36" s="19"/>
      <c r="H36" s="255" t="s">
        <v>118</v>
      </c>
      <c r="I36" s="256"/>
      <c r="J36" s="73" t="s">
        <v>67</v>
      </c>
      <c r="K36" s="73">
        <f>SUM(K33:K35)</f>
        <v>514.93915113217679</v>
      </c>
      <c r="L36" s="50" t="s">
        <v>18</v>
      </c>
      <c r="M36" s="19"/>
      <c r="N36" s="19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19"/>
      <c r="AB36" s="19"/>
    </row>
    <row r="37" spans="1:28" ht="15.75" thickBot="1" x14ac:dyDescent="0.3">
      <c r="A37" s="19"/>
      <c r="B37" s="60" t="s">
        <v>71</v>
      </c>
      <c r="C37" s="61" t="s">
        <v>72</v>
      </c>
      <c r="D37" s="61">
        <f>-227.03+3816.44/(18.3036-LN(7.5*(D36*133.3224/1000)))</f>
        <v>94.84769841995157</v>
      </c>
      <c r="E37" s="62" t="s">
        <v>12</v>
      </c>
      <c r="F37" s="20"/>
      <c r="G37" s="19"/>
      <c r="H37" s="249" t="s">
        <v>119</v>
      </c>
      <c r="I37" s="250"/>
      <c r="J37" s="72" t="s">
        <v>67</v>
      </c>
      <c r="K37" s="72">
        <f>(K19*(R10-D34)*R16+K24*((R12+R14)/2))/3600</f>
        <v>508.35662500834866</v>
      </c>
      <c r="L37" s="55" t="s">
        <v>18</v>
      </c>
      <c r="M37" s="19"/>
      <c r="N37" s="19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19"/>
      <c r="AB37" s="19"/>
    </row>
    <row r="38" spans="1:28" ht="15.75" thickBot="1" x14ac:dyDescent="0.3">
      <c r="A38" s="19"/>
      <c r="B38" s="128"/>
      <c r="C38" s="128"/>
      <c r="D38" s="128"/>
      <c r="E38" s="128"/>
      <c r="F38" s="20"/>
      <c r="G38" s="19"/>
      <c r="H38" s="19"/>
      <c r="I38" s="19"/>
      <c r="J38" s="26"/>
      <c r="K38" s="19"/>
      <c r="L38" s="26"/>
      <c r="M38" s="19"/>
      <c r="N38" s="19"/>
      <c r="O38" s="19"/>
      <c r="P38" s="21"/>
      <c r="Q38" s="21"/>
      <c r="R38" s="21"/>
      <c r="S38" s="21"/>
      <c r="T38" s="21"/>
      <c r="U38" s="21"/>
      <c r="V38" s="19"/>
      <c r="W38" s="19"/>
      <c r="X38" s="19"/>
      <c r="Y38" s="19"/>
      <c r="Z38" s="19"/>
      <c r="AA38" s="19"/>
      <c r="AB38" s="19"/>
    </row>
    <row r="39" spans="1:28" ht="15.75" thickBot="1" x14ac:dyDescent="0.3">
      <c r="A39" s="295" t="s">
        <v>76</v>
      </c>
      <c r="B39" s="296"/>
      <c r="C39" s="296"/>
      <c r="D39" s="296"/>
      <c r="E39" s="296"/>
      <c r="F39" s="296"/>
      <c r="G39" s="296"/>
      <c r="H39" s="296"/>
      <c r="I39" s="296"/>
      <c r="J39" s="296"/>
      <c r="K39" s="296"/>
      <c r="L39" s="296"/>
      <c r="M39" s="296"/>
      <c r="N39" s="296"/>
      <c r="O39" s="296"/>
      <c r="P39" s="296"/>
      <c r="Q39" s="296"/>
      <c r="R39" s="296"/>
      <c r="S39" s="296"/>
      <c r="T39" s="296"/>
      <c r="U39" s="296"/>
      <c r="V39" s="296"/>
      <c r="W39" s="296"/>
      <c r="X39" s="296"/>
      <c r="Y39" s="296"/>
      <c r="Z39" s="296"/>
      <c r="AA39" s="296"/>
      <c r="AB39" s="297"/>
    </row>
    <row r="40" spans="1:28" ht="15.75" thickBot="1" x14ac:dyDescent="0.3">
      <c r="A40" s="19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19"/>
      <c r="W40" s="19"/>
      <c r="X40" s="19"/>
      <c r="Y40" s="19"/>
      <c r="Z40" s="19"/>
      <c r="AA40" s="19"/>
      <c r="AB40" s="19"/>
    </row>
    <row r="41" spans="1:28" ht="15.75" customHeight="1" thickBot="1" x14ac:dyDescent="0.3">
      <c r="A41" s="19"/>
      <c r="B41" s="295" t="s">
        <v>252</v>
      </c>
      <c r="C41" s="296"/>
      <c r="D41" s="296"/>
      <c r="E41" s="296"/>
      <c r="F41" s="296"/>
      <c r="G41" s="296"/>
      <c r="H41" s="297"/>
      <c r="I41" s="22"/>
      <c r="J41" s="298" t="s">
        <v>251</v>
      </c>
      <c r="K41" s="299"/>
      <c r="L41" s="299"/>
      <c r="M41" s="299"/>
      <c r="N41" s="299"/>
      <c r="O41" s="299"/>
      <c r="P41" s="299"/>
      <c r="Q41" s="300"/>
      <c r="R41" s="22"/>
      <c r="S41" s="298" t="s">
        <v>171</v>
      </c>
      <c r="T41" s="299"/>
      <c r="U41" s="299"/>
      <c r="V41" s="299"/>
      <c r="W41" s="299"/>
      <c r="X41" s="299"/>
      <c r="Y41" s="299"/>
      <c r="Z41" s="300"/>
      <c r="AA41" s="19"/>
      <c r="AB41" s="19"/>
    </row>
    <row r="42" spans="1:28" ht="15.75" thickBot="1" x14ac:dyDescent="0.3">
      <c r="A42" s="19"/>
      <c r="B42" s="19"/>
      <c r="C42" s="19"/>
      <c r="D42" s="19"/>
      <c r="E42" s="19"/>
      <c r="F42" s="19"/>
      <c r="G42" s="19"/>
      <c r="H42" s="19"/>
      <c r="I42" s="22"/>
      <c r="J42" s="97" t="s">
        <v>158</v>
      </c>
      <c r="K42" s="96">
        <v>0.3</v>
      </c>
      <c r="L42" s="96" t="s">
        <v>59</v>
      </c>
      <c r="M42" s="95"/>
      <c r="N42" s="95"/>
      <c r="O42" s="95"/>
      <c r="P42" s="95"/>
      <c r="Q42" s="94"/>
      <c r="R42" s="22"/>
      <c r="S42" s="106" t="s">
        <v>170</v>
      </c>
      <c r="T42" s="93">
        <v>0.3</v>
      </c>
      <c r="U42" s="93" t="s">
        <v>59</v>
      </c>
      <c r="V42" s="99"/>
      <c r="W42" s="99"/>
      <c r="X42" s="99"/>
      <c r="Y42" s="99"/>
      <c r="Z42" s="103"/>
      <c r="AA42" s="19"/>
      <c r="AB42" s="19"/>
    </row>
    <row r="43" spans="1:28" x14ac:dyDescent="0.25">
      <c r="A43" s="19"/>
      <c r="B43" s="156" t="s">
        <v>182</v>
      </c>
      <c r="C43" s="127" t="s">
        <v>181</v>
      </c>
      <c r="D43" s="126" t="s">
        <v>42</v>
      </c>
      <c r="E43" s="125">
        <v>1</v>
      </c>
      <c r="F43" s="125">
        <v>2</v>
      </c>
      <c r="G43" s="125">
        <v>3</v>
      </c>
      <c r="H43" s="124">
        <v>4</v>
      </c>
      <c r="I43" s="22"/>
      <c r="J43" s="89" t="s">
        <v>157</v>
      </c>
      <c r="K43" s="90">
        <v>0.1</v>
      </c>
      <c r="L43" s="90" t="s">
        <v>59</v>
      </c>
      <c r="M43" s="80"/>
      <c r="N43" s="80"/>
      <c r="O43" s="80"/>
      <c r="P43" s="80"/>
      <c r="Q43" s="85"/>
      <c r="R43" s="22"/>
      <c r="S43" s="105" t="s">
        <v>169</v>
      </c>
      <c r="T43" s="90">
        <v>0.8</v>
      </c>
      <c r="U43" s="90" t="s">
        <v>59</v>
      </c>
      <c r="V43" s="99"/>
      <c r="W43" s="99"/>
      <c r="X43" s="99"/>
      <c r="Y43" s="99"/>
      <c r="Z43" s="103"/>
      <c r="AA43" s="19"/>
      <c r="AB43" s="19"/>
    </row>
    <row r="44" spans="1:28" ht="15.75" x14ac:dyDescent="0.25">
      <c r="A44" s="19"/>
      <c r="B44" s="123" t="s">
        <v>77</v>
      </c>
      <c r="C44" s="122" t="s">
        <v>180</v>
      </c>
      <c r="D44" s="121" t="s">
        <v>42</v>
      </c>
      <c r="E44" s="120" t="s">
        <v>41</v>
      </c>
      <c r="F44" s="120" t="s">
        <v>41</v>
      </c>
      <c r="G44" s="120" t="s">
        <v>41</v>
      </c>
      <c r="H44" s="163" t="s">
        <v>179</v>
      </c>
      <c r="I44" s="22"/>
      <c r="J44" s="89" t="s">
        <v>156</v>
      </c>
      <c r="K44" s="90">
        <f>68*PI()/180</f>
        <v>1.1868238913561442</v>
      </c>
      <c r="L44" s="90" t="s">
        <v>155</v>
      </c>
      <c r="M44" s="80"/>
      <c r="N44" s="80"/>
      <c r="O44" s="80"/>
      <c r="P44" s="80"/>
      <c r="Q44" s="85"/>
      <c r="R44" s="22"/>
      <c r="S44" s="89" t="s">
        <v>167</v>
      </c>
      <c r="T44" s="90">
        <f>((T43/2)^2+T42^2)/(2*T42)</f>
        <v>0.41666666666666669</v>
      </c>
      <c r="U44" s="90" t="s">
        <v>59</v>
      </c>
      <c r="V44" s="99"/>
      <c r="W44" s="99"/>
      <c r="X44" s="99"/>
      <c r="Y44" s="99"/>
      <c r="Z44" s="103"/>
      <c r="AA44" s="19"/>
      <c r="AB44" s="19"/>
    </row>
    <row r="45" spans="1:28" x14ac:dyDescent="0.25">
      <c r="A45" s="19"/>
      <c r="B45" s="153" t="s">
        <v>80</v>
      </c>
      <c r="C45" s="28" t="s">
        <v>81</v>
      </c>
      <c r="D45" s="28" t="s">
        <v>42</v>
      </c>
      <c r="E45" s="28">
        <v>1</v>
      </c>
      <c r="F45" s="150">
        <v>2</v>
      </c>
      <c r="G45" s="28">
        <v>3</v>
      </c>
      <c r="H45" s="154">
        <v>4</v>
      </c>
      <c r="I45" s="22"/>
      <c r="J45" s="89" t="s">
        <v>79</v>
      </c>
      <c r="K45" s="90">
        <v>0.4</v>
      </c>
      <c r="L45" s="90" t="s">
        <v>59</v>
      </c>
      <c r="M45" s="80"/>
      <c r="N45" s="80"/>
      <c r="O45" s="80"/>
      <c r="P45" s="80"/>
      <c r="Q45" s="85"/>
      <c r="R45" s="22"/>
      <c r="S45" s="104"/>
      <c r="T45" s="80"/>
      <c r="U45" s="80"/>
      <c r="V45" s="99"/>
      <c r="W45" s="90" t="s">
        <v>168</v>
      </c>
      <c r="X45" s="90">
        <f>PI()*(T43/2)^2</f>
        <v>0.50265482457436694</v>
      </c>
      <c r="Y45" s="99"/>
      <c r="Z45" s="103"/>
      <c r="AA45" s="19"/>
      <c r="AB45" s="19"/>
    </row>
    <row r="46" spans="1:28" x14ac:dyDescent="0.25">
      <c r="A46" s="19"/>
      <c r="B46" s="155" t="s">
        <v>82</v>
      </c>
      <c r="C46" s="119" t="s">
        <v>97</v>
      </c>
      <c r="D46" s="119" t="s">
        <v>83</v>
      </c>
      <c r="E46" s="117">
        <f>+D24</f>
        <v>17</v>
      </c>
      <c r="F46" s="118">
        <f>+E47</f>
        <v>22</v>
      </c>
      <c r="G46" s="117">
        <f>+F47</f>
        <v>65</v>
      </c>
      <c r="H46" s="164">
        <f>+G47</f>
        <v>75</v>
      </c>
      <c r="I46" s="22"/>
      <c r="J46" s="89" t="s">
        <v>154</v>
      </c>
      <c r="K46" s="90">
        <v>0.6</v>
      </c>
      <c r="L46" s="90" t="s">
        <v>59</v>
      </c>
      <c r="M46" s="80"/>
      <c r="N46" s="80"/>
      <c r="O46" s="80"/>
      <c r="P46" s="80"/>
      <c r="Q46" s="85"/>
      <c r="R46" s="22"/>
      <c r="S46" s="89" t="s">
        <v>166</v>
      </c>
      <c r="T46" s="90">
        <v>0.35</v>
      </c>
      <c r="U46" s="90" t="s">
        <v>59</v>
      </c>
      <c r="V46" s="99"/>
      <c r="W46" s="90" t="s">
        <v>165</v>
      </c>
      <c r="X46" s="90">
        <f>T43+2*(T46/TAN(T47))</f>
        <v>1.0828183580846098</v>
      </c>
      <c r="Y46" s="99"/>
      <c r="Z46" s="103"/>
      <c r="AA46" s="19"/>
      <c r="AB46" s="19"/>
    </row>
    <row r="47" spans="1:28" ht="15.75" x14ac:dyDescent="0.25">
      <c r="A47" s="19"/>
      <c r="B47" s="155" t="s">
        <v>84</v>
      </c>
      <c r="C47" s="119" t="s">
        <v>98</v>
      </c>
      <c r="D47" s="119" t="s">
        <v>83</v>
      </c>
      <c r="E47" s="117">
        <f>+D25</f>
        <v>22</v>
      </c>
      <c r="F47" s="118">
        <v>65</v>
      </c>
      <c r="G47" s="117">
        <f>+D26</f>
        <v>75</v>
      </c>
      <c r="H47" s="164">
        <f>+D27</f>
        <v>93.5</v>
      </c>
      <c r="I47" s="22"/>
      <c r="J47" s="89" t="s">
        <v>78</v>
      </c>
      <c r="K47" s="90">
        <v>9</v>
      </c>
      <c r="L47" s="90" t="s">
        <v>42</v>
      </c>
      <c r="M47" s="80"/>
      <c r="N47" s="80"/>
      <c r="O47" s="80"/>
      <c r="P47" s="80"/>
      <c r="Q47" s="85"/>
      <c r="R47" s="22"/>
      <c r="S47" s="89" t="s">
        <v>156</v>
      </c>
      <c r="T47" s="90">
        <f>68*PI()/180</f>
        <v>1.1868238913561442</v>
      </c>
      <c r="U47" s="90" t="s">
        <v>155</v>
      </c>
      <c r="V47" s="99"/>
      <c r="W47" s="90" t="s">
        <v>164</v>
      </c>
      <c r="X47" s="90">
        <f>X46^2</f>
        <v>1.1724955966050503</v>
      </c>
      <c r="Y47" s="99"/>
      <c r="Z47" s="103"/>
      <c r="AA47" s="19"/>
      <c r="AB47" s="19"/>
    </row>
    <row r="48" spans="1:28" x14ac:dyDescent="0.25">
      <c r="A48" s="19"/>
      <c r="B48" s="149" t="s">
        <v>85</v>
      </c>
      <c r="C48" s="28" t="s">
        <v>99</v>
      </c>
      <c r="D48" s="28" t="s">
        <v>83</v>
      </c>
      <c r="E48" s="28">
        <f t="shared" ref="E48:H48" si="0">(E46+E47)/2</f>
        <v>19.5</v>
      </c>
      <c r="F48" s="150">
        <f t="shared" si="0"/>
        <v>43.5</v>
      </c>
      <c r="G48" s="28">
        <f t="shared" si="0"/>
        <v>70</v>
      </c>
      <c r="H48" s="154">
        <f t="shared" si="0"/>
        <v>84.25</v>
      </c>
      <c r="I48" s="22"/>
      <c r="J48" s="89" t="s">
        <v>153</v>
      </c>
      <c r="K48" s="90">
        <v>0.1</v>
      </c>
      <c r="L48" s="90" t="s">
        <v>59</v>
      </c>
      <c r="M48" s="80"/>
      <c r="N48" s="80"/>
      <c r="O48" s="80"/>
      <c r="P48" s="80"/>
      <c r="Q48" s="85"/>
      <c r="R48" s="22"/>
      <c r="S48" s="104"/>
      <c r="T48" s="80"/>
      <c r="U48" s="80"/>
      <c r="V48" s="99"/>
      <c r="W48" s="90" t="s">
        <v>163</v>
      </c>
      <c r="X48" s="90">
        <f>(T46*(X45+X47+SQRT(X45*X47)))/3</f>
        <v>0.28499900900645053</v>
      </c>
      <c r="Y48" s="99"/>
      <c r="Z48" s="103"/>
      <c r="AA48" s="19"/>
      <c r="AB48" s="19"/>
    </row>
    <row r="49" spans="1:43" x14ac:dyDescent="0.25">
      <c r="A49" s="19"/>
      <c r="B49" s="153" t="s">
        <v>101</v>
      </c>
      <c r="C49" s="28" t="s">
        <v>86</v>
      </c>
      <c r="D49" s="28" t="s">
        <v>36</v>
      </c>
      <c r="E49" s="38">
        <f>+K21</f>
        <v>857.49999999999989</v>
      </c>
      <c r="F49" s="116">
        <f>+K23*E46/E47</f>
        <v>636.10909090909081</v>
      </c>
      <c r="G49" s="116">
        <f>+F49*F46/F47</f>
        <v>215.29846153846151</v>
      </c>
      <c r="H49" s="40">
        <f>+G49*G46/G47</f>
        <v>186.59199999999998</v>
      </c>
      <c r="I49" s="22"/>
      <c r="J49" s="89" t="s">
        <v>152</v>
      </c>
      <c r="K49" s="90">
        <f>(K45*K46+2*K45*K43+2*K43*K46)</f>
        <v>0.44</v>
      </c>
      <c r="L49" s="90" t="s">
        <v>146</v>
      </c>
      <c r="M49" s="80"/>
      <c r="N49" s="80"/>
      <c r="O49" s="80"/>
      <c r="P49" s="80"/>
      <c r="Q49" s="85"/>
      <c r="R49" s="22"/>
      <c r="S49" s="92" t="s">
        <v>162</v>
      </c>
      <c r="T49" s="91">
        <f>(PI()*T42^2*(3*T44-T42))/3</f>
        <v>8.95353906273091E-2</v>
      </c>
      <c r="U49" s="91" t="s">
        <v>149</v>
      </c>
      <c r="V49" s="99"/>
      <c r="W49" s="99"/>
      <c r="X49" s="99"/>
      <c r="Y49" s="99"/>
      <c r="Z49" s="103"/>
      <c r="AA49" s="19"/>
      <c r="AB49" s="19"/>
    </row>
    <row r="50" spans="1:43" x14ac:dyDescent="0.25">
      <c r="A50" s="19"/>
      <c r="B50" s="153" t="s">
        <v>87</v>
      </c>
      <c r="C50" s="28" t="s">
        <v>88</v>
      </c>
      <c r="D50" s="28" t="s">
        <v>46</v>
      </c>
      <c r="E50" s="38">
        <f t="shared" ref="E50:H50" si="1">4.18*(1-0.006*E48)</f>
        <v>3.6909399999999999</v>
      </c>
      <c r="F50" s="116">
        <f t="shared" si="1"/>
        <v>3.0890199999999997</v>
      </c>
      <c r="G50" s="38">
        <f t="shared" si="1"/>
        <v>2.4244000000000003</v>
      </c>
      <c r="H50" s="39">
        <f t="shared" si="1"/>
        <v>2.0670099999999998</v>
      </c>
      <c r="I50" s="22"/>
      <c r="J50" s="92" t="s">
        <v>150</v>
      </c>
      <c r="K50" s="91">
        <f>K43*K45*K46</f>
        <v>2.4000000000000004E-2</v>
      </c>
      <c r="L50" s="91" t="s">
        <v>149</v>
      </c>
      <c r="M50" s="80"/>
      <c r="N50" s="80"/>
      <c r="O50" s="80"/>
      <c r="P50" s="80"/>
      <c r="Q50" s="85"/>
      <c r="R50" s="22"/>
      <c r="S50" s="104"/>
      <c r="T50" s="80"/>
      <c r="U50" s="80"/>
      <c r="V50" s="99"/>
      <c r="W50" s="99"/>
      <c r="X50" s="99"/>
      <c r="Y50" s="99"/>
      <c r="Z50" s="103"/>
      <c r="AA50" s="19"/>
      <c r="AB50" s="19"/>
    </row>
    <row r="51" spans="1:43" x14ac:dyDescent="0.25">
      <c r="A51" s="19"/>
      <c r="B51" s="153" t="s">
        <v>178</v>
      </c>
      <c r="C51" s="115" t="s">
        <v>177</v>
      </c>
      <c r="D51" s="108" t="s">
        <v>50</v>
      </c>
      <c r="E51" s="43">
        <f t="shared" ref="E51:H51" si="2">997.39+4.46*E48</f>
        <v>1084.3599999999999</v>
      </c>
      <c r="F51" s="43">
        <f t="shared" si="2"/>
        <v>1191.4000000000001</v>
      </c>
      <c r="G51" s="43">
        <f t="shared" si="2"/>
        <v>1309.5899999999999</v>
      </c>
      <c r="H51" s="114">
        <f t="shared" si="2"/>
        <v>1373.145</v>
      </c>
      <c r="I51" s="22"/>
      <c r="J51" s="89" t="s">
        <v>151</v>
      </c>
      <c r="K51" s="90">
        <f>(K45*K43*K46)+(K45+K42/TAN(K44))*K42*K46</f>
        <v>0.11781741619509847</v>
      </c>
      <c r="L51" s="90" t="s">
        <v>149</v>
      </c>
      <c r="M51" s="80"/>
      <c r="N51" s="80"/>
      <c r="O51" s="80"/>
      <c r="P51" s="80"/>
      <c r="Q51" s="85"/>
      <c r="R51" s="22"/>
      <c r="S51" s="89" t="s">
        <v>161</v>
      </c>
      <c r="T51" s="90">
        <f>X48</f>
        <v>0.28499900900645053</v>
      </c>
      <c r="U51" s="90" t="s">
        <v>149</v>
      </c>
      <c r="V51" s="99"/>
      <c r="W51" s="99"/>
      <c r="X51" s="99"/>
      <c r="Y51" s="99"/>
      <c r="Z51" s="103"/>
      <c r="AA51" s="19"/>
      <c r="AB51" s="19"/>
    </row>
    <row r="52" spans="1:43" ht="15.75" thickBot="1" x14ac:dyDescent="0.3">
      <c r="A52" s="19"/>
      <c r="B52" s="113" t="s">
        <v>151</v>
      </c>
      <c r="C52" s="112" t="s">
        <v>176</v>
      </c>
      <c r="D52" s="112" t="s">
        <v>175</v>
      </c>
      <c r="E52" s="41">
        <f t="shared" ref="E52:H52" si="3">+E49/E51</f>
        <v>0.79078903685123014</v>
      </c>
      <c r="F52" s="41">
        <f t="shared" si="3"/>
        <v>0.53391731652601204</v>
      </c>
      <c r="G52" s="41">
        <f t="shared" si="3"/>
        <v>0.16440142452100392</v>
      </c>
      <c r="H52" s="42">
        <f t="shared" si="3"/>
        <v>0.13588659609873682</v>
      </c>
      <c r="I52" s="22"/>
      <c r="J52" s="87"/>
      <c r="K52" s="86"/>
      <c r="L52" s="86"/>
      <c r="M52" s="80"/>
      <c r="N52" s="80"/>
      <c r="O52" s="80"/>
      <c r="P52" s="80"/>
      <c r="Q52" s="85"/>
      <c r="R52" s="22"/>
      <c r="S52" s="104"/>
      <c r="T52" s="80"/>
      <c r="U52" s="80"/>
      <c r="V52" s="99"/>
      <c r="W52" s="99"/>
      <c r="X52" s="99"/>
      <c r="Y52" s="99"/>
      <c r="Z52" s="103"/>
      <c r="AA52" s="19"/>
      <c r="AB52" s="19"/>
    </row>
    <row r="53" spans="1:43" ht="15.75" thickBot="1" x14ac:dyDescent="0.3">
      <c r="A53" s="19"/>
      <c r="B53" s="31" t="s">
        <v>151</v>
      </c>
      <c r="C53" s="32" t="s">
        <v>174</v>
      </c>
      <c r="D53" s="32" t="s">
        <v>154</v>
      </c>
      <c r="E53" s="111">
        <f t="shared" ref="E53:H53" si="4">+E52*1000</f>
        <v>790.78903685123009</v>
      </c>
      <c r="F53" s="111">
        <f t="shared" si="4"/>
        <v>533.91731652601209</v>
      </c>
      <c r="G53" s="111">
        <f t="shared" si="4"/>
        <v>164.40142452100392</v>
      </c>
      <c r="H53" s="110">
        <f t="shared" si="4"/>
        <v>135.88659609873682</v>
      </c>
      <c r="I53" s="22"/>
      <c r="J53" s="89" t="s">
        <v>148</v>
      </c>
      <c r="K53" s="88">
        <f>K50/K51</f>
        <v>0.20370502744906122</v>
      </c>
      <c r="L53" s="90" t="s">
        <v>5</v>
      </c>
      <c r="M53" s="80"/>
      <c r="N53" s="80"/>
      <c r="O53" s="80"/>
      <c r="P53" s="80"/>
      <c r="Q53" s="85"/>
      <c r="R53" s="22"/>
      <c r="S53" s="89" t="s">
        <v>160</v>
      </c>
      <c r="T53" s="90">
        <f>T51+T49</f>
        <v>0.37453439963375962</v>
      </c>
      <c r="U53" s="90" t="s">
        <v>149</v>
      </c>
      <c r="V53" s="99"/>
      <c r="W53" s="80"/>
      <c r="X53" s="80"/>
      <c r="Y53" s="80"/>
      <c r="Z53" s="103"/>
      <c r="AA53" s="19"/>
      <c r="AB53" s="19"/>
    </row>
    <row r="54" spans="1:43" x14ac:dyDescent="0.25">
      <c r="A54" s="19"/>
      <c r="B54" s="153" t="s">
        <v>173</v>
      </c>
      <c r="C54" s="28" t="s">
        <v>89</v>
      </c>
      <c r="D54" s="28" t="s">
        <v>90</v>
      </c>
      <c r="E54" s="38">
        <f t="shared" ref="E54:H55" si="5">$D$37+0.2209*EXP(0.0557*E46)</f>
        <v>95.417113757278599</v>
      </c>
      <c r="F54" s="38">
        <f t="shared" si="5"/>
        <v>95.599979559921579</v>
      </c>
      <c r="G54" s="38">
        <f t="shared" si="5"/>
        <v>103.09969211736461</v>
      </c>
      <c r="H54" s="39">
        <f t="shared" si="5"/>
        <v>109.25096218777557</v>
      </c>
      <c r="I54" s="22"/>
      <c r="J54" s="87"/>
      <c r="K54" s="86"/>
      <c r="L54" s="86"/>
      <c r="M54" s="80"/>
      <c r="N54" s="80"/>
      <c r="O54" s="80"/>
      <c r="P54" s="80"/>
      <c r="Q54" s="85"/>
      <c r="R54" s="22"/>
      <c r="S54" s="104"/>
      <c r="T54" s="80"/>
      <c r="U54" s="80"/>
      <c r="V54" s="99"/>
      <c r="W54" s="80"/>
      <c r="X54" s="80"/>
      <c r="Y54" s="80"/>
      <c r="Z54" s="103"/>
      <c r="AA54" s="19"/>
      <c r="AB54" s="19"/>
    </row>
    <row r="55" spans="1:43" ht="15.75" thickBot="1" x14ac:dyDescent="0.3">
      <c r="A55" s="19"/>
      <c r="B55" s="153" t="s">
        <v>172</v>
      </c>
      <c r="C55" s="28" t="s">
        <v>89</v>
      </c>
      <c r="D55" s="28" t="s">
        <v>90</v>
      </c>
      <c r="E55" s="38">
        <f t="shared" si="5"/>
        <v>95.599979559921579</v>
      </c>
      <c r="F55" s="38">
        <f t="shared" si="5"/>
        <v>103.09969211736461</v>
      </c>
      <c r="G55" s="38">
        <f t="shared" si="5"/>
        <v>109.25096218777557</v>
      </c>
      <c r="H55" s="39">
        <f t="shared" si="5"/>
        <v>135.21034757417664</v>
      </c>
      <c r="I55" s="22"/>
      <c r="J55" s="84" t="s">
        <v>147</v>
      </c>
      <c r="K55" s="83">
        <f>K48*K46*K47*2+K49</f>
        <v>1.52</v>
      </c>
      <c r="L55" s="83" t="s">
        <v>146</v>
      </c>
      <c r="M55" s="82"/>
      <c r="N55" s="82"/>
      <c r="O55" s="82"/>
      <c r="P55" s="82"/>
      <c r="Q55" s="81"/>
      <c r="R55" s="22"/>
      <c r="S55" s="102" t="s">
        <v>159</v>
      </c>
      <c r="T55" s="83">
        <f>2*PI()*T44*T42</f>
        <v>0.78539816339744828</v>
      </c>
      <c r="U55" s="83" t="s">
        <v>146</v>
      </c>
      <c r="V55" s="101"/>
      <c r="W55" s="101"/>
      <c r="X55" s="101"/>
      <c r="Y55" s="101"/>
      <c r="Z55" s="100"/>
      <c r="AA55" s="19"/>
      <c r="AB55" s="19"/>
    </row>
    <row r="56" spans="1:43" x14ac:dyDescent="0.25">
      <c r="A56" s="19"/>
      <c r="B56" s="153" t="s">
        <v>91</v>
      </c>
      <c r="C56" s="29" t="s">
        <v>92</v>
      </c>
      <c r="D56" s="28" t="s">
        <v>32</v>
      </c>
      <c r="E56" s="38">
        <f t="shared" ref="E56:H56" si="6">2492.9-2.0523*E54-0.0030752*E54^2</f>
        <v>2269.0775278376764</v>
      </c>
      <c r="F56" s="38">
        <f t="shared" si="6"/>
        <v>2268.5948140954929</v>
      </c>
      <c r="G56" s="38">
        <f t="shared" si="6"/>
        <v>2248.6205204255416</v>
      </c>
      <c r="H56" s="39">
        <f t="shared" si="6"/>
        <v>2231.9793619751949</v>
      </c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19"/>
      <c r="Z56" s="19"/>
      <c r="AA56" s="19"/>
      <c r="AB56" s="19"/>
    </row>
    <row r="57" spans="1:43" ht="15.75" thickBot="1" x14ac:dyDescent="0.3">
      <c r="A57" s="19"/>
      <c r="B57" s="157" t="s">
        <v>93</v>
      </c>
      <c r="C57" s="30" t="s">
        <v>94</v>
      </c>
      <c r="D57" s="30" t="s">
        <v>36</v>
      </c>
      <c r="E57" s="37">
        <f t="shared" ref="E57:H57" si="7">+E49-(E49*E46/E47)</f>
        <v>194.88636363636363</v>
      </c>
      <c r="F57" s="37">
        <f t="shared" si="7"/>
        <v>420.81062937062927</v>
      </c>
      <c r="G57" s="37">
        <f t="shared" si="7"/>
        <v>28.706461538461525</v>
      </c>
      <c r="H57" s="109">
        <f t="shared" si="7"/>
        <v>36.919272727272727</v>
      </c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19"/>
      <c r="Z57" s="19"/>
      <c r="AA57" s="19"/>
      <c r="AB57" s="19"/>
    </row>
    <row r="58" spans="1:43" ht="15.75" thickBot="1" x14ac:dyDescent="0.3">
      <c r="A58" s="19"/>
      <c r="B58" s="31" t="s">
        <v>95</v>
      </c>
      <c r="C58" s="32" t="s">
        <v>96</v>
      </c>
      <c r="D58" s="32" t="s">
        <v>18</v>
      </c>
      <c r="E58" s="32">
        <f t="shared" ref="E58:H58" si="8">(E49*E50*(E55- E54)+E57*E56)/3600</f>
        <v>122.99750972481458</v>
      </c>
      <c r="F58" s="32">
        <f t="shared" si="8"/>
        <v>269.2737220764314</v>
      </c>
      <c r="G58" s="32">
        <f t="shared" si="8"/>
        <v>18.822420667158106</v>
      </c>
      <c r="H58" s="33">
        <f t="shared" si="8"/>
        <v>25.670907226202434</v>
      </c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19"/>
      <c r="Z58" s="19"/>
      <c r="AA58" s="19"/>
      <c r="AB58" s="19"/>
    </row>
    <row r="59" spans="1:43" ht="15.75" thickBot="1" x14ac:dyDescent="0.3">
      <c r="A59" s="19"/>
      <c r="B59" s="19"/>
      <c r="C59" s="19"/>
      <c r="D59" s="19"/>
      <c r="E59" s="19"/>
      <c r="F59" s="19"/>
      <c r="G59" s="19"/>
      <c r="H59" s="19"/>
      <c r="I59" s="69"/>
      <c r="J59" s="69"/>
      <c r="K59" s="69"/>
      <c r="L59" s="69"/>
      <c r="M59" s="69"/>
      <c r="N59" s="69"/>
      <c r="O59" s="69"/>
      <c r="P59" s="69"/>
      <c r="Q59" s="69"/>
      <c r="R59" s="69"/>
      <c r="S59" s="69"/>
      <c r="T59" s="69"/>
      <c r="U59" s="69"/>
      <c r="V59" s="69"/>
      <c r="W59" s="69"/>
      <c r="X59" s="69"/>
      <c r="Y59" s="19"/>
      <c r="Z59" s="19"/>
      <c r="AA59" s="19"/>
      <c r="AB59" s="19"/>
      <c r="AE59" s="98"/>
      <c r="AF59" s="98"/>
      <c r="AG59" s="98"/>
      <c r="AH59" s="98"/>
      <c r="AI59" s="98"/>
      <c r="AJ59" s="98"/>
      <c r="AK59" s="98"/>
      <c r="AL59" s="98"/>
      <c r="AM59" s="98"/>
      <c r="AN59" s="98"/>
      <c r="AO59" s="98"/>
      <c r="AP59" s="98"/>
      <c r="AQ59" s="98"/>
    </row>
    <row r="60" spans="1:43" ht="15.75" thickBot="1" x14ac:dyDescent="0.3">
      <c r="A60" s="158"/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159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</row>
    <row r="61" spans="1:43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166"/>
      <c r="AE61" s="98"/>
      <c r="AF61" s="98"/>
      <c r="AG61" s="98"/>
      <c r="AH61" s="98"/>
      <c r="AI61" s="98"/>
      <c r="AJ61" s="98"/>
      <c r="AK61" s="98"/>
      <c r="AL61" s="98"/>
      <c r="AM61" s="98"/>
      <c r="AN61" s="98"/>
      <c r="AO61" s="98"/>
      <c r="AP61" s="98"/>
      <c r="AQ61" s="98"/>
    </row>
    <row r="62" spans="1:43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166"/>
      <c r="AD62" s="21"/>
      <c r="AE62" s="98"/>
      <c r="AF62" s="98"/>
      <c r="AG62" s="98"/>
      <c r="AH62" s="98"/>
      <c r="AI62" s="98"/>
      <c r="AJ62" s="98"/>
      <c r="AK62" s="98"/>
      <c r="AL62" s="98"/>
      <c r="AM62" s="98"/>
      <c r="AN62" s="98"/>
      <c r="AO62" s="98"/>
      <c r="AP62" s="98"/>
      <c r="AQ62" s="98"/>
    </row>
    <row r="63" spans="1:43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166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</row>
    <row r="64" spans="1:43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317">
        <f>2650000+1500000</f>
        <v>4150000</v>
      </c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166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</row>
    <row r="65" spans="1:43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317">
        <v>2166534</v>
      </c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166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</row>
    <row r="66" spans="1:43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317">
        <v>1172189</v>
      </c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166"/>
      <c r="AE66" s="98"/>
      <c r="AF66" s="98"/>
      <c r="AG66" s="98"/>
      <c r="AH66" s="98"/>
      <c r="AI66" s="98"/>
      <c r="AJ66" s="98"/>
      <c r="AK66" s="98"/>
      <c r="AL66" s="98"/>
      <c r="AM66" s="98"/>
      <c r="AN66" s="98"/>
      <c r="AO66" s="98"/>
      <c r="AP66" s="98"/>
      <c r="AQ66" s="98"/>
    </row>
    <row r="67" spans="1:43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317">
        <v>65000</v>
      </c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166"/>
      <c r="AE67" s="98"/>
      <c r="AF67" s="98"/>
      <c r="AG67" s="98"/>
      <c r="AH67" s="98"/>
      <c r="AI67" s="98"/>
      <c r="AJ67" s="98"/>
      <c r="AK67" s="98"/>
      <c r="AL67" s="98"/>
      <c r="AM67" s="98"/>
      <c r="AN67" s="98"/>
      <c r="AO67" s="98"/>
      <c r="AP67" s="98"/>
      <c r="AQ67" s="98"/>
    </row>
    <row r="68" spans="1:43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317">
        <f>+N64-(N65+N66+N67)</f>
        <v>746277</v>
      </c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166"/>
      <c r="AE68" s="98"/>
      <c r="AF68" s="98"/>
      <c r="AG68" s="98"/>
      <c r="AH68" s="98"/>
      <c r="AI68" s="98"/>
      <c r="AJ68" s="98"/>
      <c r="AK68" s="98"/>
      <c r="AL68" s="98"/>
      <c r="AM68" s="98"/>
      <c r="AN68" s="98"/>
      <c r="AO68" s="98"/>
      <c r="AP68" s="98"/>
      <c r="AQ68" s="98"/>
    </row>
    <row r="69" spans="1:43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166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</row>
    <row r="70" spans="1:43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166"/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/>
      <c r="AP70" s="98"/>
      <c r="AQ70" s="98"/>
    </row>
    <row r="71" spans="1:43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166"/>
      <c r="AE71" s="98"/>
      <c r="AF71" s="98"/>
      <c r="AG71" s="98"/>
      <c r="AH71" s="98"/>
      <c r="AI71" s="98"/>
      <c r="AJ71" s="98"/>
      <c r="AK71" s="98"/>
      <c r="AL71" s="98"/>
      <c r="AM71" s="98"/>
      <c r="AN71" s="98"/>
      <c r="AO71" s="98"/>
      <c r="AP71" s="98"/>
      <c r="AQ71" s="98"/>
    </row>
    <row r="72" spans="1:43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166"/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/>
      <c r="AP72" s="98"/>
      <c r="AQ72" s="98"/>
    </row>
    <row r="73" spans="1:43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166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</row>
    <row r="74" spans="1:43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166"/>
      <c r="AE74" s="98"/>
      <c r="AF74" s="98"/>
      <c r="AG74" s="98"/>
      <c r="AH74" s="98"/>
      <c r="AI74" s="98"/>
      <c r="AJ74" s="98"/>
      <c r="AK74" s="98"/>
      <c r="AL74" s="98"/>
      <c r="AM74" s="98"/>
      <c r="AN74" s="98"/>
      <c r="AO74" s="98"/>
      <c r="AP74" s="98"/>
      <c r="AQ74" s="98"/>
    </row>
    <row r="75" spans="1:43" x14ac:dyDescent="0.2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166"/>
      <c r="AE75" s="98"/>
      <c r="AF75" s="98"/>
      <c r="AG75" s="98"/>
      <c r="AH75" s="98"/>
      <c r="AI75" s="98"/>
      <c r="AJ75" s="98"/>
      <c r="AK75" s="98"/>
      <c r="AL75" s="98"/>
      <c r="AM75" s="98"/>
      <c r="AN75" s="98"/>
      <c r="AO75" s="98"/>
      <c r="AP75" s="98"/>
      <c r="AQ75" s="98"/>
    </row>
    <row r="76" spans="1:43" x14ac:dyDescent="0.2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166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</row>
    <row r="77" spans="1:43" x14ac:dyDescent="0.2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166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</row>
    <row r="78" spans="1:43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166"/>
      <c r="AC78" s="107"/>
      <c r="AD78" s="21"/>
      <c r="AE78" s="98"/>
      <c r="AF78" s="98"/>
      <c r="AG78" s="98"/>
      <c r="AH78" s="98"/>
      <c r="AI78" s="98"/>
      <c r="AJ78" s="98"/>
      <c r="AK78" s="98"/>
      <c r="AL78" s="98"/>
      <c r="AM78" s="98"/>
      <c r="AN78" s="98"/>
      <c r="AO78" s="98"/>
      <c r="AP78" s="98"/>
      <c r="AQ78" s="98"/>
    </row>
    <row r="79" spans="1:43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166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</row>
    <row r="80" spans="1:43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166"/>
      <c r="AE80" s="98"/>
      <c r="AF80" s="98"/>
      <c r="AG80" s="98"/>
      <c r="AH80" s="98"/>
      <c r="AI80" s="98"/>
      <c r="AJ80" s="98"/>
      <c r="AK80" s="98"/>
      <c r="AL80" s="98"/>
      <c r="AM80" s="98"/>
      <c r="AN80" s="98"/>
      <c r="AO80" s="98"/>
      <c r="AP80" s="98"/>
      <c r="AQ80" s="98"/>
    </row>
    <row r="81" spans="1:43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166"/>
      <c r="AE81" s="98"/>
      <c r="AF81" s="98"/>
      <c r="AG81" s="98"/>
      <c r="AH81" s="98"/>
      <c r="AI81" s="98"/>
      <c r="AJ81" s="98"/>
      <c r="AK81" s="98"/>
      <c r="AL81" s="98"/>
      <c r="AM81" s="98"/>
      <c r="AN81" s="98"/>
      <c r="AO81" s="98"/>
      <c r="AP81" s="98"/>
      <c r="AQ81" s="98"/>
    </row>
    <row r="82" spans="1:43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166"/>
      <c r="AE82" s="98"/>
      <c r="AF82" s="98"/>
      <c r="AG82" s="98"/>
      <c r="AH82" s="98"/>
      <c r="AI82" s="98"/>
      <c r="AJ82" s="98"/>
      <c r="AK82" s="98"/>
      <c r="AL82" s="98"/>
      <c r="AM82" s="98"/>
      <c r="AN82" s="98"/>
      <c r="AO82" s="98"/>
      <c r="AP82" s="98"/>
      <c r="AQ82" s="98"/>
    </row>
    <row r="83" spans="1:43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166"/>
      <c r="AE83" s="98"/>
      <c r="AF83" s="98"/>
      <c r="AG83" s="98"/>
      <c r="AH83" s="98"/>
      <c r="AI83" s="98"/>
      <c r="AJ83" s="98"/>
      <c r="AK83" s="98"/>
      <c r="AL83" s="98"/>
      <c r="AM83" s="98"/>
      <c r="AN83" s="98"/>
      <c r="AO83" s="98"/>
      <c r="AP83" s="98"/>
      <c r="AQ83" s="98"/>
    </row>
    <row r="84" spans="1:43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166"/>
      <c r="AE84" s="98"/>
      <c r="AF84" s="98"/>
      <c r="AG84" s="98"/>
      <c r="AH84" s="98"/>
      <c r="AI84" s="98"/>
      <c r="AJ84" s="98"/>
      <c r="AK84" s="98"/>
      <c r="AL84" s="98"/>
      <c r="AM84" s="98"/>
      <c r="AN84" s="98"/>
      <c r="AO84" s="98"/>
      <c r="AP84" s="98"/>
      <c r="AQ84" s="98"/>
    </row>
    <row r="85" spans="1:43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166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</row>
    <row r="86" spans="1:43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166"/>
      <c r="AE86" s="98"/>
      <c r="AF86" s="98"/>
      <c r="AG86" s="98"/>
      <c r="AH86" s="98"/>
      <c r="AI86" s="98"/>
      <c r="AJ86" s="98"/>
      <c r="AK86" s="98"/>
      <c r="AL86" s="98"/>
      <c r="AM86" s="98"/>
      <c r="AN86" s="98"/>
      <c r="AO86" s="98"/>
      <c r="AP86" s="98"/>
      <c r="AQ86" s="98"/>
    </row>
    <row r="87" spans="1:43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166"/>
    </row>
    <row r="88" spans="1:43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166"/>
    </row>
    <row r="89" spans="1:43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166"/>
    </row>
    <row r="90" spans="1:43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166"/>
    </row>
    <row r="91" spans="1:43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166"/>
    </row>
    <row r="92" spans="1:43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166"/>
    </row>
    <row r="93" spans="1:43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166"/>
    </row>
    <row r="94" spans="1:43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166"/>
    </row>
    <row r="95" spans="1:43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166"/>
    </row>
    <row r="96" spans="1:43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166"/>
    </row>
    <row r="97" spans="1:28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166"/>
    </row>
    <row r="98" spans="1:28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166"/>
    </row>
    <row r="99" spans="1:28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166"/>
    </row>
    <row r="100" spans="1:28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166"/>
    </row>
    <row r="101" spans="1:28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166"/>
    </row>
    <row r="102" spans="1:28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166"/>
    </row>
    <row r="103" spans="1:28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166"/>
    </row>
    <row r="104" spans="1:28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166"/>
    </row>
    <row r="105" spans="1:28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166"/>
    </row>
    <row r="106" spans="1:28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166"/>
    </row>
    <row r="107" spans="1:28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166"/>
    </row>
    <row r="108" spans="1:28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166"/>
    </row>
    <row r="109" spans="1:28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166"/>
    </row>
    <row r="110" spans="1:28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166"/>
    </row>
    <row r="111" spans="1:28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166"/>
    </row>
    <row r="112" spans="1:28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166"/>
    </row>
    <row r="113" spans="1:28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166"/>
    </row>
    <row r="114" spans="1:28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166"/>
    </row>
    <row r="115" spans="1:28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166"/>
    </row>
    <row r="116" spans="1:28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166"/>
    </row>
    <row r="117" spans="1:28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166"/>
    </row>
    <row r="118" spans="1:28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166"/>
    </row>
    <row r="119" spans="1:28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166"/>
    </row>
    <row r="120" spans="1:28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166"/>
    </row>
    <row r="121" spans="1:28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166"/>
    </row>
    <row r="122" spans="1:28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166"/>
    </row>
    <row r="123" spans="1:28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166"/>
    </row>
    <row r="124" spans="1:28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166"/>
    </row>
    <row r="125" spans="1:28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166"/>
    </row>
    <row r="126" spans="1:28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166"/>
    </row>
    <row r="127" spans="1:28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166"/>
    </row>
    <row r="128" spans="1:28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166"/>
    </row>
    <row r="129" spans="1:28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166"/>
    </row>
    <row r="130" spans="1:28" ht="15.75" thickBot="1" x14ac:dyDescent="0.3">
      <c r="A130" s="69"/>
      <c r="B130" s="69"/>
      <c r="C130" s="69"/>
      <c r="D130" s="69"/>
      <c r="E130" s="69"/>
      <c r="F130" s="69"/>
      <c r="G130" s="69"/>
      <c r="H130" s="69"/>
      <c r="I130" s="69"/>
      <c r="J130" s="69"/>
      <c r="K130" s="69"/>
      <c r="L130" s="69"/>
      <c r="M130" s="69"/>
      <c r="N130" s="69"/>
      <c r="O130" s="69"/>
      <c r="P130" s="69"/>
      <c r="Q130" s="69"/>
      <c r="R130" s="69"/>
      <c r="S130" s="69"/>
      <c r="T130" s="69"/>
      <c r="U130" s="69"/>
      <c r="V130" s="69"/>
      <c r="W130" s="69"/>
      <c r="X130" s="69"/>
      <c r="Y130" s="69"/>
      <c r="Z130" s="69"/>
      <c r="AA130" s="69"/>
      <c r="AB130" s="165"/>
    </row>
  </sheetData>
  <mergeCells count="93">
    <mergeCell ref="K2:L2"/>
    <mergeCell ref="A39:AB39"/>
    <mergeCell ref="S41:Z41"/>
    <mergeCell ref="J41:Q41"/>
    <mergeCell ref="B41:H41"/>
    <mergeCell ref="H10:J10"/>
    <mergeCell ref="H11:J11"/>
    <mergeCell ref="H17:L17"/>
    <mergeCell ref="H20:I20"/>
    <mergeCell ref="H21:I21"/>
    <mergeCell ref="V19:W19"/>
    <mergeCell ref="B18:E18"/>
    <mergeCell ref="H22:I22"/>
    <mergeCell ref="H27:I27"/>
    <mergeCell ref="H23:I23"/>
    <mergeCell ref="H24:I24"/>
    <mergeCell ref="B2:E6"/>
    <mergeCell ref="O2:S2"/>
    <mergeCell ref="H18:I18"/>
    <mergeCell ref="O3:S3"/>
    <mergeCell ref="H19:I19"/>
    <mergeCell ref="O4:P4"/>
    <mergeCell ref="O5:P5"/>
    <mergeCell ref="O6:P6"/>
    <mergeCell ref="O7:S7"/>
    <mergeCell ref="O12:P12"/>
    <mergeCell ref="O13:P13"/>
    <mergeCell ref="O8:P8"/>
    <mergeCell ref="O9:P9"/>
    <mergeCell ref="O10:P10"/>
    <mergeCell ref="H13:J13"/>
    <mergeCell ref="H8:J8"/>
    <mergeCell ref="H36:I36"/>
    <mergeCell ref="O21:P21"/>
    <mergeCell ref="H29:I29"/>
    <mergeCell ref="O14:P14"/>
    <mergeCell ref="H30:I30"/>
    <mergeCell ref="H14:J14"/>
    <mergeCell ref="O24:P24"/>
    <mergeCell ref="O25:P25"/>
    <mergeCell ref="H25:I25"/>
    <mergeCell ref="H37:I37"/>
    <mergeCell ref="O22:P22"/>
    <mergeCell ref="H9:J9"/>
    <mergeCell ref="H33:I33"/>
    <mergeCell ref="O18:P18"/>
    <mergeCell ref="H34:I34"/>
    <mergeCell ref="H35:I35"/>
    <mergeCell ref="O15:S15"/>
    <mergeCell ref="O16:P16"/>
    <mergeCell ref="H32:L32"/>
    <mergeCell ref="O17:P17"/>
    <mergeCell ref="H26:I26"/>
    <mergeCell ref="O11:S11"/>
    <mergeCell ref="H28:I28"/>
    <mergeCell ref="H15:J15"/>
    <mergeCell ref="O20:P20"/>
    <mergeCell ref="K3:L3"/>
    <mergeCell ref="K4:L4"/>
    <mergeCell ref="K5:L5"/>
    <mergeCell ref="K6:L6"/>
    <mergeCell ref="H12:J12"/>
    <mergeCell ref="H2:J2"/>
    <mergeCell ref="H3:J3"/>
    <mergeCell ref="H4:J4"/>
    <mergeCell ref="H5:J5"/>
    <mergeCell ref="H6:J6"/>
    <mergeCell ref="V12:W12"/>
    <mergeCell ref="V13:W13"/>
    <mergeCell ref="V14:W14"/>
    <mergeCell ref="V8:W8"/>
    <mergeCell ref="V9:W9"/>
    <mergeCell ref="V2:Y2"/>
    <mergeCell ref="V10:Y10"/>
    <mergeCell ref="V11:W11"/>
    <mergeCell ref="V3:Y3"/>
    <mergeCell ref="V4:W4"/>
    <mergeCell ref="V5:W5"/>
    <mergeCell ref="V6:W6"/>
    <mergeCell ref="V7:W7"/>
    <mergeCell ref="V18:W18"/>
    <mergeCell ref="V20:W20"/>
    <mergeCell ref="V15:W15"/>
    <mergeCell ref="V16:W16"/>
    <mergeCell ref="V17:W17"/>
    <mergeCell ref="V28:W28"/>
    <mergeCell ref="V21:W21"/>
    <mergeCell ref="V27:W27"/>
    <mergeCell ref="V22:W22"/>
    <mergeCell ref="V23:W23"/>
    <mergeCell ref="V24:W24"/>
    <mergeCell ref="V26:W26"/>
    <mergeCell ref="V25:W2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AE429-F515-4176-89CE-29395EA89BD0}">
  <dimension ref="A1"/>
  <sheetViews>
    <sheetView workbookViewId="0">
      <selection activeCell="E38" sqref="E38"/>
    </sheetView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FD4D3-3280-49D4-908A-7B0BC3E791B4}">
  <dimension ref="A1"/>
  <sheetViews>
    <sheetView workbookViewId="0">
      <selection activeCell="H32" sqref="H32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BB4A-BEE7-48F9-B6D5-70A36A774556}">
  <dimension ref="A1:AB95"/>
  <sheetViews>
    <sheetView topLeftCell="G1" zoomScale="85" zoomScaleNormal="85" workbookViewId="0">
      <selection activeCell="N30" sqref="N30"/>
    </sheetView>
  </sheetViews>
  <sheetFormatPr baseColWidth="10" defaultRowHeight="15" x14ac:dyDescent="0.25"/>
  <cols>
    <col min="1" max="1" width="13.140625" bestFit="1" customWidth="1"/>
    <col min="2" max="2" width="6" bestFit="1" customWidth="1"/>
    <col min="3" max="3" width="13.140625" bestFit="1" customWidth="1"/>
    <col min="4" max="4" width="73.140625" customWidth="1"/>
    <col min="5" max="5" width="17.5703125" customWidth="1"/>
    <col min="6" max="6" width="13" bestFit="1" customWidth="1"/>
    <col min="7" max="7" width="4.7109375" style="185" bestFit="1" customWidth="1"/>
    <col min="8" max="8" width="13.140625" bestFit="1" customWidth="1"/>
    <col min="11" max="11" width="32.28515625" bestFit="1" customWidth="1"/>
    <col min="12" max="12" width="15.28515625" bestFit="1" customWidth="1"/>
    <col min="19" max="21" width="11.42578125" customWidth="1"/>
    <col min="22" max="22" width="14.140625" bestFit="1" customWidth="1"/>
    <col min="23" max="24" width="11.42578125" customWidth="1"/>
  </cols>
  <sheetData>
    <row r="1" spans="2:28" ht="15.75" thickBot="1" x14ac:dyDescent="0.3"/>
    <row r="2" spans="2:28" ht="15.75" thickBot="1" x14ac:dyDescent="0.3">
      <c r="B2" s="314" t="s">
        <v>327</v>
      </c>
      <c r="C2" s="315"/>
      <c r="D2" s="315"/>
      <c r="E2" s="315"/>
      <c r="F2" s="316"/>
      <c r="K2" s="313" t="s">
        <v>331</v>
      </c>
      <c r="L2" s="209">
        <v>0</v>
      </c>
      <c r="M2" s="209">
        <v>1</v>
      </c>
      <c r="N2" s="209">
        <v>2</v>
      </c>
      <c r="O2" s="209">
        <v>3</v>
      </c>
      <c r="P2" s="209">
        <v>4</v>
      </c>
      <c r="Q2" s="209">
        <v>5</v>
      </c>
      <c r="R2" s="209">
        <v>6</v>
      </c>
      <c r="S2" s="209">
        <v>7</v>
      </c>
      <c r="T2" s="209">
        <v>8</v>
      </c>
      <c r="U2" s="209">
        <v>9</v>
      </c>
      <c r="V2" s="209">
        <v>10</v>
      </c>
      <c r="W2" s="209">
        <v>11</v>
      </c>
      <c r="X2" s="209">
        <v>12</v>
      </c>
      <c r="Y2" s="209">
        <v>13</v>
      </c>
      <c r="Z2" s="209">
        <v>14</v>
      </c>
      <c r="AA2" s="209">
        <v>15</v>
      </c>
    </row>
    <row r="3" spans="2:28" x14ac:dyDescent="0.25">
      <c r="B3" s="314" t="s">
        <v>296</v>
      </c>
      <c r="C3" s="315"/>
      <c r="D3" s="315"/>
      <c r="E3" s="315"/>
      <c r="F3" s="316"/>
      <c r="K3" s="313"/>
      <c r="L3" s="209">
        <v>2019</v>
      </c>
      <c r="M3" s="209">
        <v>2020</v>
      </c>
      <c r="N3" s="209">
        <v>2021</v>
      </c>
      <c r="O3" s="209">
        <v>2022</v>
      </c>
      <c r="P3" s="209">
        <v>2023</v>
      </c>
      <c r="Q3" s="209">
        <v>2024</v>
      </c>
      <c r="R3" s="209">
        <v>2025</v>
      </c>
      <c r="S3" s="209">
        <v>2026</v>
      </c>
      <c r="T3" s="209">
        <v>2027</v>
      </c>
      <c r="U3" s="209">
        <v>2028</v>
      </c>
      <c r="V3" s="209">
        <v>2029</v>
      </c>
      <c r="W3" s="209">
        <v>2030</v>
      </c>
      <c r="X3" s="209">
        <v>2031</v>
      </c>
      <c r="Y3" s="209">
        <v>2032</v>
      </c>
      <c r="Z3" s="209">
        <v>2033</v>
      </c>
      <c r="AA3" s="209">
        <v>2034</v>
      </c>
    </row>
    <row r="4" spans="2:28" x14ac:dyDescent="0.25">
      <c r="B4" s="191" t="s">
        <v>278</v>
      </c>
      <c r="C4" s="192" t="s">
        <v>279</v>
      </c>
      <c r="D4" s="192" t="s">
        <v>280</v>
      </c>
      <c r="E4" s="192" t="s">
        <v>270</v>
      </c>
      <c r="F4" s="193" t="s">
        <v>118</v>
      </c>
      <c r="K4" s="209" t="s">
        <v>332</v>
      </c>
      <c r="L4" s="210">
        <v>56389919.6184</v>
      </c>
      <c r="M4" s="210">
        <v>0</v>
      </c>
      <c r="N4" s="210">
        <v>0</v>
      </c>
      <c r="O4" s="210">
        <v>0</v>
      </c>
      <c r="P4" s="210">
        <v>0</v>
      </c>
      <c r="Q4" s="210">
        <v>0</v>
      </c>
      <c r="R4" s="210">
        <v>0</v>
      </c>
      <c r="S4" s="210">
        <v>0</v>
      </c>
      <c r="T4" s="210">
        <v>0</v>
      </c>
      <c r="U4" s="210">
        <v>0</v>
      </c>
      <c r="V4" s="210">
        <v>0</v>
      </c>
      <c r="W4" s="210">
        <v>0</v>
      </c>
      <c r="X4" s="210">
        <v>0</v>
      </c>
      <c r="Y4" s="210">
        <v>0</v>
      </c>
      <c r="Z4" s="210">
        <v>0</v>
      </c>
      <c r="AA4" s="210">
        <v>0</v>
      </c>
    </row>
    <row r="5" spans="2:28" x14ac:dyDescent="0.25">
      <c r="B5" s="191">
        <v>1</v>
      </c>
      <c r="C5" s="192">
        <v>1</v>
      </c>
      <c r="D5" s="192" t="s">
        <v>295</v>
      </c>
      <c r="E5" s="194">
        <v>6500000</v>
      </c>
      <c r="F5" s="195">
        <f>+E5*C5</f>
        <v>6500000</v>
      </c>
      <c r="K5" s="209" t="s">
        <v>333</v>
      </c>
      <c r="L5" s="210">
        <v>20723295</v>
      </c>
      <c r="M5" s="210">
        <v>0</v>
      </c>
      <c r="N5" s="210">
        <v>0</v>
      </c>
      <c r="O5" s="210">
        <v>0</v>
      </c>
      <c r="P5" s="210">
        <v>0</v>
      </c>
      <c r="Q5" s="210">
        <v>0</v>
      </c>
      <c r="R5" s="210">
        <v>0</v>
      </c>
      <c r="S5" s="210">
        <v>0</v>
      </c>
      <c r="T5" s="210">
        <v>0</v>
      </c>
      <c r="U5" s="210">
        <v>0</v>
      </c>
      <c r="V5" s="210">
        <v>0</v>
      </c>
      <c r="W5" s="210">
        <v>0</v>
      </c>
      <c r="X5" s="210">
        <v>0</v>
      </c>
      <c r="Y5" s="210">
        <v>0</v>
      </c>
      <c r="Z5" s="210">
        <v>0</v>
      </c>
      <c r="AA5" s="210">
        <v>0</v>
      </c>
    </row>
    <row r="6" spans="2:28" x14ac:dyDescent="0.25">
      <c r="B6" s="191">
        <v>2</v>
      </c>
      <c r="C6" s="192">
        <v>1</v>
      </c>
      <c r="D6" s="192" t="s">
        <v>320</v>
      </c>
      <c r="E6" s="194">
        <v>190000</v>
      </c>
      <c r="F6" s="195">
        <f>+E6*C6</f>
        <v>190000</v>
      </c>
      <c r="K6" s="209" t="s">
        <v>334</v>
      </c>
      <c r="L6" s="210">
        <f>+L4+L5</f>
        <v>77113214.618400007</v>
      </c>
      <c r="M6" s="210">
        <v>0</v>
      </c>
      <c r="N6" s="210">
        <v>0</v>
      </c>
      <c r="O6" s="210">
        <v>0</v>
      </c>
      <c r="P6" s="210">
        <v>0</v>
      </c>
      <c r="Q6" s="210">
        <v>0</v>
      </c>
      <c r="R6" s="210">
        <v>0</v>
      </c>
      <c r="S6" s="210">
        <v>0</v>
      </c>
      <c r="T6" s="210">
        <v>0</v>
      </c>
      <c r="U6" s="210">
        <v>0</v>
      </c>
      <c r="V6" s="210">
        <v>0</v>
      </c>
      <c r="W6" s="210">
        <v>0</v>
      </c>
      <c r="X6" s="210">
        <v>0</v>
      </c>
      <c r="Y6" s="210">
        <v>0</v>
      </c>
      <c r="Z6" s="210">
        <v>0</v>
      </c>
      <c r="AA6" s="210">
        <v>0</v>
      </c>
    </row>
    <row r="7" spans="2:28" ht="15.75" thickBot="1" x14ac:dyDescent="0.3">
      <c r="B7" s="307" t="s">
        <v>321</v>
      </c>
      <c r="C7" s="308"/>
      <c r="D7" s="308"/>
      <c r="E7" s="308"/>
      <c r="F7" s="201">
        <f>+SUM(F5:F6)</f>
        <v>6690000</v>
      </c>
      <c r="K7" s="209" t="s">
        <v>335</v>
      </c>
      <c r="L7" s="210">
        <v>0</v>
      </c>
      <c r="M7" s="210">
        <v>0</v>
      </c>
      <c r="N7" s="210">
        <v>0</v>
      </c>
      <c r="O7" s="210">
        <v>0</v>
      </c>
      <c r="P7" s="210">
        <v>0</v>
      </c>
      <c r="Q7" s="210">
        <v>0</v>
      </c>
      <c r="R7" s="210">
        <v>0</v>
      </c>
      <c r="S7" s="210">
        <v>0</v>
      </c>
      <c r="T7" s="210">
        <v>0</v>
      </c>
      <c r="U7" s="210">
        <v>0</v>
      </c>
      <c r="V7" s="210">
        <v>0</v>
      </c>
      <c r="W7" s="210">
        <v>0</v>
      </c>
      <c r="X7" s="210">
        <v>0</v>
      </c>
      <c r="Y7" s="210">
        <v>0</v>
      </c>
      <c r="Z7" s="210">
        <v>0</v>
      </c>
      <c r="AA7" s="210">
        <v>0</v>
      </c>
    </row>
    <row r="8" spans="2:28" x14ac:dyDescent="0.25">
      <c r="B8" s="309" t="s">
        <v>297</v>
      </c>
      <c r="C8" s="310"/>
      <c r="D8" s="310"/>
      <c r="E8" s="310"/>
      <c r="F8" s="311"/>
      <c r="K8" s="209" t="s">
        <v>336</v>
      </c>
      <c r="L8" s="210">
        <v>0</v>
      </c>
      <c r="M8" s="210">
        <v>3759327.97456</v>
      </c>
      <c r="N8" s="210">
        <v>3759327.97456</v>
      </c>
      <c r="O8" s="210">
        <v>3759327.97456</v>
      </c>
      <c r="P8" s="210">
        <v>3759327.97456</v>
      </c>
      <c r="Q8" s="210">
        <v>3759327.97456</v>
      </c>
      <c r="R8" s="210">
        <v>3759327.97456</v>
      </c>
      <c r="S8" s="210">
        <v>3759327.97456</v>
      </c>
      <c r="T8" s="210">
        <v>3759327.97456</v>
      </c>
      <c r="U8" s="210">
        <v>3759327.97456</v>
      </c>
      <c r="V8" s="210">
        <v>3759327.97456</v>
      </c>
      <c r="W8" s="210">
        <v>3759327.97456</v>
      </c>
      <c r="X8" s="210">
        <v>3759327.97456</v>
      </c>
      <c r="Y8" s="210">
        <v>3759327.97456</v>
      </c>
      <c r="Z8" s="210">
        <v>3759327.97456</v>
      </c>
      <c r="AA8" s="210">
        <v>3759327.97456</v>
      </c>
    </row>
    <row r="9" spans="2:28" x14ac:dyDescent="0.25">
      <c r="B9" s="191" t="s">
        <v>278</v>
      </c>
      <c r="C9" s="192" t="s">
        <v>279</v>
      </c>
      <c r="D9" s="192" t="s">
        <v>280</v>
      </c>
      <c r="E9" s="192" t="s">
        <v>281</v>
      </c>
      <c r="F9" s="193" t="s">
        <v>118</v>
      </c>
      <c r="K9" s="209" t="s">
        <v>337</v>
      </c>
      <c r="L9" s="210">
        <v>0</v>
      </c>
      <c r="M9" s="210">
        <v>36902857</v>
      </c>
      <c r="N9" s="210">
        <v>36902857</v>
      </c>
      <c r="O9" s="210">
        <v>36902857</v>
      </c>
      <c r="P9" s="210">
        <v>36902857</v>
      </c>
      <c r="Q9" s="210">
        <v>36902857</v>
      </c>
      <c r="R9" s="210">
        <v>36902857</v>
      </c>
      <c r="S9" s="210">
        <v>36902857</v>
      </c>
      <c r="T9" s="210">
        <v>36902857</v>
      </c>
      <c r="U9" s="210">
        <v>36902857</v>
      </c>
      <c r="V9" s="210">
        <v>36902857</v>
      </c>
      <c r="W9" s="210">
        <v>36902857</v>
      </c>
      <c r="X9" s="210">
        <v>36902857</v>
      </c>
      <c r="Y9" s="210">
        <v>36902857</v>
      </c>
      <c r="Z9" s="210">
        <v>36902857</v>
      </c>
      <c r="AA9" s="210">
        <v>36902857</v>
      </c>
    </row>
    <row r="10" spans="2:28" x14ac:dyDescent="0.25">
      <c r="B10" s="191">
        <v>1</v>
      </c>
      <c r="C10" s="192">
        <v>3</v>
      </c>
      <c r="D10" s="192" t="s">
        <v>288</v>
      </c>
      <c r="E10" s="194">
        <v>4000000</v>
      </c>
      <c r="F10" s="195">
        <f t="shared" ref="F10:F23" si="0">+C10*E10</f>
        <v>12000000</v>
      </c>
      <c r="K10" s="209" t="s">
        <v>342</v>
      </c>
      <c r="L10" s="210">
        <v>0</v>
      </c>
      <c r="M10" s="210">
        <v>88674676</v>
      </c>
      <c r="N10" s="210">
        <v>88674676</v>
      </c>
      <c r="O10" s="210">
        <v>88674676</v>
      </c>
      <c r="P10" s="210">
        <v>88674676</v>
      </c>
      <c r="Q10" s="210">
        <v>88674676</v>
      </c>
      <c r="R10" s="210">
        <v>88674676</v>
      </c>
      <c r="S10" s="210">
        <v>88674676</v>
      </c>
      <c r="T10" s="210">
        <v>88674676</v>
      </c>
      <c r="U10" s="210">
        <v>88674676</v>
      </c>
      <c r="V10" s="210">
        <v>88674676</v>
      </c>
      <c r="W10" s="210">
        <v>88674676</v>
      </c>
      <c r="X10" s="210">
        <v>88674676</v>
      </c>
      <c r="Y10" s="210">
        <v>88674676</v>
      </c>
      <c r="Z10" s="210">
        <v>88674676</v>
      </c>
      <c r="AA10" s="210">
        <v>88674676</v>
      </c>
    </row>
    <row r="11" spans="2:28" x14ac:dyDescent="0.25">
      <c r="B11" s="191">
        <v>2</v>
      </c>
      <c r="C11" s="192">
        <v>1</v>
      </c>
      <c r="D11" s="192" t="s">
        <v>289</v>
      </c>
      <c r="E11" s="194">
        <v>3000000</v>
      </c>
      <c r="F11" s="195">
        <f t="shared" si="0"/>
        <v>3000000</v>
      </c>
      <c r="K11" s="209" t="s">
        <v>338</v>
      </c>
      <c r="L11" s="210">
        <f>-(SUM(L4:L10))</f>
        <v>-154226429.23680001</v>
      </c>
      <c r="M11" s="210">
        <f>+M10-M9-M8</f>
        <v>48012491.02544</v>
      </c>
      <c r="N11" s="210">
        <f t="shared" ref="N11:AA11" si="1">+N10-N9-N8</f>
        <v>48012491.02544</v>
      </c>
      <c r="O11" s="210">
        <f t="shared" si="1"/>
        <v>48012491.02544</v>
      </c>
      <c r="P11" s="210">
        <f t="shared" si="1"/>
        <v>48012491.02544</v>
      </c>
      <c r="Q11" s="210">
        <f t="shared" si="1"/>
        <v>48012491.02544</v>
      </c>
      <c r="R11" s="210">
        <f t="shared" si="1"/>
        <v>48012491.02544</v>
      </c>
      <c r="S11" s="210">
        <f t="shared" si="1"/>
        <v>48012491.02544</v>
      </c>
      <c r="T11" s="210">
        <f t="shared" si="1"/>
        <v>48012491.02544</v>
      </c>
      <c r="U11" s="210">
        <f t="shared" si="1"/>
        <v>48012491.02544</v>
      </c>
      <c r="V11" s="210">
        <f t="shared" si="1"/>
        <v>48012491.02544</v>
      </c>
      <c r="W11" s="210">
        <f t="shared" si="1"/>
        <v>48012491.02544</v>
      </c>
      <c r="X11" s="210">
        <f t="shared" si="1"/>
        <v>48012491.02544</v>
      </c>
      <c r="Y11" s="210">
        <f t="shared" si="1"/>
        <v>48012491.02544</v>
      </c>
      <c r="Z11" s="210">
        <f t="shared" si="1"/>
        <v>48012491.02544</v>
      </c>
      <c r="AA11" s="210">
        <f t="shared" si="1"/>
        <v>48012491.02544</v>
      </c>
      <c r="AB11" s="207"/>
    </row>
    <row r="12" spans="2:28" x14ac:dyDescent="0.25">
      <c r="B12" s="191">
        <v>3</v>
      </c>
      <c r="C12" s="192">
        <v>1</v>
      </c>
      <c r="D12" s="192" t="s">
        <v>291</v>
      </c>
      <c r="E12" s="194">
        <v>500000</v>
      </c>
      <c r="F12" s="195">
        <f t="shared" si="0"/>
        <v>500000</v>
      </c>
    </row>
    <row r="13" spans="2:28" x14ac:dyDescent="0.25">
      <c r="B13" s="191">
        <v>4</v>
      </c>
      <c r="C13" s="192">
        <v>1</v>
      </c>
      <c r="D13" s="192" t="s">
        <v>292</v>
      </c>
      <c r="E13" s="194">
        <v>100000</v>
      </c>
      <c r="F13" s="195">
        <f t="shared" si="0"/>
        <v>100000</v>
      </c>
      <c r="K13" s="211" t="s">
        <v>341</v>
      </c>
      <c r="L13" s="212">
        <v>12</v>
      </c>
      <c r="M13" t="s">
        <v>5</v>
      </c>
    </row>
    <row r="14" spans="2:28" x14ac:dyDescent="0.25">
      <c r="B14" s="191">
        <v>5</v>
      </c>
      <c r="C14" s="192">
        <v>2600</v>
      </c>
      <c r="D14" s="192" t="s">
        <v>293</v>
      </c>
      <c r="E14" s="194">
        <v>2600</v>
      </c>
      <c r="F14" s="195">
        <f t="shared" si="0"/>
        <v>6760000</v>
      </c>
      <c r="K14" s="211" t="s">
        <v>340</v>
      </c>
      <c r="L14" s="214">
        <f>+NPV(L15,L10,M11:AA11)</f>
        <v>118125942.48452936</v>
      </c>
    </row>
    <row r="15" spans="2:28" x14ac:dyDescent="0.25">
      <c r="B15" s="191">
        <v>6</v>
      </c>
      <c r="C15" s="192">
        <v>13</v>
      </c>
      <c r="D15" s="192" t="s">
        <v>294</v>
      </c>
      <c r="E15" s="194">
        <v>80000</v>
      </c>
      <c r="F15" s="195">
        <f t="shared" si="0"/>
        <v>1040000</v>
      </c>
      <c r="K15" s="211" t="s">
        <v>339</v>
      </c>
      <c r="L15" s="213">
        <f>IRR(L11:AA11)</f>
        <v>0.30561014788939</v>
      </c>
      <c r="S15" s="188"/>
      <c r="T15" s="188"/>
      <c r="U15" s="188"/>
      <c r="V15" s="188"/>
      <c r="W15" s="188"/>
      <c r="X15" s="188"/>
    </row>
    <row r="16" spans="2:28" x14ac:dyDescent="0.25">
      <c r="B16" s="191">
        <v>7</v>
      </c>
      <c r="C16" s="192">
        <v>4</v>
      </c>
      <c r="D16" s="192" t="s">
        <v>282</v>
      </c>
      <c r="E16" s="194">
        <v>61880</v>
      </c>
      <c r="F16" s="195">
        <f t="shared" si="0"/>
        <v>247520</v>
      </c>
    </row>
    <row r="17" spans="2:24" x14ac:dyDescent="0.25">
      <c r="B17" s="191">
        <v>8</v>
      </c>
      <c r="C17" s="192">
        <v>9</v>
      </c>
      <c r="D17" s="192" t="s">
        <v>283</v>
      </c>
      <c r="E17" s="194">
        <v>32487</v>
      </c>
      <c r="F17" s="195">
        <f t="shared" si="0"/>
        <v>292383</v>
      </c>
    </row>
    <row r="18" spans="2:24" x14ac:dyDescent="0.25">
      <c r="B18" s="191">
        <v>9</v>
      </c>
      <c r="C18" s="192">
        <v>3</v>
      </c>
      <c r="D18" s="192" t="s">
        <v>284</v>
      </c>
      <c r="E18" s="194">
        <v>368900</v>
      </c>
      <c r="F18" s="195">
        <f t="shared" si="0"/>
        <v>1106700</v>
      </c>
    </row>
    <row r="19" spans="2:24" x14ac:dyDescent="0.25">
      <c r="B19" s="191">
        <v>10</v>
      </c>
      <c r="C19" s="192">
        <v>6</v>
      </c>
      <c r="D19" s="192" t="s">
        <v>285</v>
      </c>
      <c r="E19" s="194">
        <v>23205</v>
      </c>
      <c r="F19" s="195">
        <f t="shared" si="0"/>
        <v>139230</v>
      </c>
    </row>
    <row r="20" spans="2:24" x14ac:dyDescent="0.25">
      <c r="B20" s="191">
        <v>11</v>
      </c>
      <c r="C20" s="192">
        <v>6</v>
      </c>
      <c r="D20" s="192" t="s">
        <v>286</v>
      </c>
      <c r="E20" s="194">
        <v>29750</v>
      </c>
      <c r="F20" s="195">
        <f t="shared" si="0"/>
        <v>178500</v>
      </c>
    </row>
    <row r="21" spans="2:24" x14ac:dyDescent="0.25">
      <c r="B21" s="191">
        <v>12</v>
      </c>
      <c r="C21" s="192">
        <v>6</v>
      </c>
      <c r="D21" s="192" t="s">
        <v>287</v>
      </c>
      <c r="E21" s="194">
        <v>2618</v>
      </c>
      <c r="F21" s="195">
        <f t="shared" si="0"/>
        <v>15708</v>
      </c>
    </row>
    <row r="22" spans="2:24" x14ac:dyDescent="0.25">
      <c r="B22" s="191">
        <v>13</v>
      </c>
      <c r="C22" s="192">
        <v>1</v>
      </c>
      <c r="D22" s="192" t="s">
        <v>315</v>
      </c>
      <c r="E22" s="194">
        <v>400000</v>
      </c>
      <c r="F22" s="195">
        <f t="shared" si="0"/>
        <v>400000</v>
      </c>
      <c r="S22" t="s">
        <v>341</v>
      </c>
      <c r="T22" s="215">
        <v>0.12</v>
      </c>
      <c r="U22" t="s">
        <v>340</v>
      </c>
      <c r="V22" s="187">
        <v>118125942.48452936</v>
      </c>
      <c r="W22" t="s">
        <v>339</v>
      </c>
      <c r="X22" s="215">
        <v>0.30561014788939</v>
      </c>
    </row>
    <row r="23" spans="2:24" x14ac:dyDescent="0.25">
      <c r="B23" s="191">
        <v>14</v>
      </c>
      <c r="C23" s="192">
        <v>1</v>
      </c>
      <c r="D23" s="192" t="s">
        <v>316</v>
      </c>
      <c r="E23" s="194">
        <v>600000</v>
      </c>
      <c r="F23" s="195">
        <f t="shared" si="0"/>
        <v>600000</v>
      </c>
    </row>
    <row r="24" spans="2:24" ht="15.75" thickBot="1" x14ac:dyDescent="0.3">
      <c r="B24" s="307" t="s">
        <v>290</v>
      </c>
      <c r="C24" s="308"/>
      <c r="D24" s="308"/>
      <c r="E24" s="308"/>
      <c r="F24" s="202">
        <f>+SUM(F10:F23)</f>
        <v>26380041</v>
      </c>
    </row>
    <row r="25" spans="2:24" x14ac:dyDescent="0.25">
      <c r="B25" s="309" t="s">
        <v>301</v>
      </c>
      <c r="C25" s="310"/>
      <c r="D25" s="310"/>
      <c r="E25" s="310"/>
      <c r="F25" s="311"/>
      <c r="O25">
        <v>28.5</v>
      </c>
      <c r="S25" s="306"/>
      <c r="T25" s="306"/>
    </row>
    <row r="26" spans="2:24" x14ac:dyDescent="0.25">
      <c r="B26" s="191" t="s">
        <v>278</v>
      </c>
      <c r="C26" s="192" t="s">
        <v>279</v>
      </c>
      <c r="D26" s="192" t="s">
        <v>280</v>
      </c>
      <c r="E26" s="192" t="s">
        <v>281</v>
      </c>
      <c r="F26" s="193" t="s">
        <v>118</v>
      </c>
    </row>
    <row r="27" spans="2:24" x14ac:dyDescent="0.25">
      <c r="B27" s="191">
        <v>1</v>
      </c>
      <c r="C27" s="192">
        <v>596</v>
      </c>
      <c r="D27" s="192" t="s">
        <v>302</v>
      </c>
      <c r="E27" s="194">
        <v>2200</v>
      </c>
      <c r="F27" s="195">
        <f t="shared" ref="F27:F41" si="2">+E27*C27</f>
        <v>1311200</v>
      </c>
      <c r="T27" s="186"/>
    </row>
    <row r="28" spans="2:24" x14ac:dyDescent="0.25">
      <c r="B28" s="191">
        <v>2</v>
      </c>
      <c r="C28" s="192">
        <v>5</v>
      </c>
      <c r="D28" s="192" t="s">
        <v>303</v>
      </c>
      <c r="E28" s="194">
        <v>21800</v>
      </c>
      <c r="F28" s="195">
        <f t="shared" si="2"/>
        <v>109000</v>
      </c>
      <c r="T28" s="186"/>
    </row>
    <row r="29" spans="2:24" x14ac:dyDescent="0.25">
      <c r="B29" s="191">
        <v>3</v>
      </c>
      <c r="C29" s="192">
        <v>2</v>
      </c>
      <c r="D29" s="192" t="s">
        <v>304</v>
      </c>
      <c r="E29" s="194">
        <v>60000</v>
      </c>
      <c r="F29" s="195">
        <f t="shared" si="2"/>
        <v>120000</v>
      </c>
      <c r="K29" s="208">
        <v>3702857</v>
      </c>
      <c r="T29" s="186"/>
    </row>
    <row r="30" spans="2:24" x14ac:dyDescent="0.25">
      <c r="B30" s="191">
        <v>4</v>
      </c>
      <c r="C30" s="192">
        <v>1</v>
      </c>
      <c r="D30" s="192" t="s">
        <v>305</v>
      </c>
      <c r="E30" s="194">
        <v>770100</v>
      </c>
      <c r="F30" s="195">
        <f t="shared" si="2"/>
        <v>770100</v>
      </c>
      <c r="K30" s="208">
        <v>30800000</v>
      </c>
      <c r="T30" s="186"/>
    </row>
    <row r="31" spans="2:24" x14ac:dyDescent="0.25">
      <c r="B31" s="191">
        <v>5</v>
      </c>
      <c r="C31" s="192">
        <v>24</v>
      </c>
      <c r="D31" s="192" t="s">
        <v>306</v>
      </c>
      <c r="E31" s="194">
        <v>47850</v>
      </c>
      <c r="F31" s="195">
        <f t="shared" si="2"/>
        <v>1148400</v>
      </c>
      <c r="I31">
        <f>+C14/200</f>
        <v>13</v>
      </c>
      <c r="K31" s="207">
        <v>2400000</v>
      </c>
      <c r="T31" s="186"/>
    </row>
    <row r="32" spans="2:24" x14ac:dyDescent="0.25">
      <c r="B32" s="191">
        <v>6</v>
      </c>
      <c r="C32" s="192">
        <v>10</v>
      </c>
      <c r="D32" s="192" t="s">
        <v>307</v>
      </c>
      <c r="E32" s="194">
        <v>35000</v>
      </c>
      <c r="F32" s="195">
        <f t="shared" si="2"/>
        <v>350000</v>
      </c>
      <c r="K32" s="207">
        <f>+SUM(K29:K31)</f>
        <v>36902857</v>
      </c>
      <c r="T32" s="186"/>
    </row>
    <row r="33" spans="2:20" x14ac:dyDescent="0.25">
      <c r="B33" s="191">
        <v>7</v>
      </c>
      <c r="C33" s="192">
        <v>44</v>
      </c>
      <c r="D33" s="192" t="s">
        <v>308</v>
      </c>
      <c r="E33" s="194">
        <v>11900</v>
      </c>
      <c r="F33" s="195">
        <f t="shared" si="2"/>
        <v>523600</v>
      </c>
      <c r="T33" s="186"/>
    </row>
    <row r="34" spans="2:20" x14ac:dyDescent="0.25">
      <c r="B34" s="191">
        <v>8</v>
      </c>
      <c r="C34" s="192">
        <v>1</v>
      </c>
      <c r="D34" s="192" t="s">
        <v>309</v>
      </c>
      <c r="E34" s="194">
        <v>909900</v>
      </c>
      <c r="F34" s="195">
        <f t="shared" si="2"/>
        <v>909900</v>
      </c>
      <c r="T34" s="186"/>
    </row>
    <row r="35" spans="2:20" x14ac:dyDescent="0.25">
      <c r="B35" s="191">
        <v>9</v>
      </c>
      <c r="C35" s="192">
        <v>8</v>
      </c>
      <c r="D35" s="192" t="s">
        <v>312</v>
      </c>
      <c r="E35" s="194">
        <v>92000</v>
      </c>
      <c r="F35" s="195">
        <f t="shared" si="2"/>
        <v>736000</v>
      </c>
      <c r="T35" s="186"/>
    </row>
    <row r="36" spans="2:20" x14ac:dyDescent="0.25">
      <c r="B36" s="191">
        <v>10</v>
      </c>
      <c r="C36" s="192">
        <v>27</v>
      </c>
      <c r="D36" s="192" t="s">
        <v>310</v>
      </c>
      <c r="E36" s="194">
        <v>23850</v>
      </c>
      <c r="F36" s="195">
        <f t="shared" si="2"/>
        <v>643950</v>
      </c>
      <c r="T36" s="186"/>
    </row>
    <row r="37" spans="2:20" x14ac:dyDescent="0.25">
      <c r="B37" s="191">
        <v>11</v>
      </c>
      <c r="C37" s="192">
        <v>32</v>
      </c>
      <c r="D37" s="192" t="s">
        <v>311</v>
      </c>
      <c r="E37" s="190">
        <v>31950</v>
      </c>
      <c r="F37" s="195">
        <f t="shared" si="2"/>
        <v>1022400</v>
      </c>
      <c r="T37" s="186"/>
    </row>
    <row r="38" spans="2:20" x14ac:dyDescent="0.25">
      <c r="B38" s="191">
        <v>12</v>
      </c>
      <c r="C38" s="192">
        <v>15</v>
      </c>
      <c r="D38" s="192" t="s">
        <v>313</v>
      </c>
      <c r="E38" s="190">
        <v>95000</v>
      </c>
      <c r="F38" s="195">
        <f t="shared" si="2"/>
        <v>1425000</v>
      </c>
      <c r="M38">
        <f>195-333</f>
        <v>-138</v>
      </c>
    </row>
    <row r="39" spans="2:20" x14ac:dyDescent="0.25">
      <c r="B39" s="191">
        <v>13</v>
      </c>
      <c r="C39" s="192">
        <v>4</v>
      </c>
      <c r="D39" s="192" t="s">
        <v>317</v>
      </c>
      <c r="E39" s="190">
        <v>208000</v>
      </c>
      <c r="F39" s="195">
        <f t="shared" si="2"/>
        <v>832000</v>
      </c>
      <c r="G39" s="203"/>
    </row>
    <row r="40" spans="2:20" x14ac:dyDescent="0.25">
      <c r="B40" s="191">
        <v>14</v>
      </c>
      <c r="C40" s="192">
        <v>5</v>
      </c>
      <c r="D40" s="192" t="s">
        <v>318</v>
      </c>
      <c r="E40" s="190">
        <v>21000</v>
      </c>
      <c r="F40" s="195">
        <f t="shared" si="2"/>
        <v>105000</v>
      </c>
    </row>
    <row r="41" spans="2:20" x14ac:dyDescent="0.25">
      <c r="B41" s="191">
        <v>15</v>
      </c>
      <c r="C41" s="192">
        <v>10</v>
      </c>
      <c r="D41" s="192" t="s">
        <v>322</v>
      </c>
      <c r="E41" s="190">
        <v>15000</v>
      </c>
      <c r="F41" s="195">
        <f t="shared" si="2"/>
        <v>150000</v>
      </c>
    </row>
    <row r="42" spans="2:20" x14ac:dyDescent="0.25">
      <c r="B42" s="312" t="s">
        <v>319</v>
      </c>
      <c r="C42" s="313"/>
      <c r="D42" s="313"/>
      <c r="E42" s="313"/>
      <c r="F42" s="196">
        <f>+SUM(F27:F41)</f>
        <v>10156550</v>
      </c>
      <c r="H42" s="188"/>
    </row>
    <row r="43" spans="2:20" ht="15.75" thickBot="1" x14ac:dyDescent="0.3">
      <c r="B43" s="307" t="s">
        <v>328</v>
      </c>
      <c r="C43" s="308"/>
      <c r="D43" s="308"/>
      <c r="E43" s="308"/>
      <c r="F43" s="201">
        <f>+SUM(F7,F24,F42)</f>
        <v>43226591</v>
      </c>
      <c r="H43" s="188"/>
    </row>
    <row r="44" spans="2:20" x14ac:dyDescent="0.25">
      <c r="B44" s="309" t="s">
        <v>300</v>
      </c>
      <c r="C44" s="310"/>
      <c r="D44" s="310"/>
      <c r="E44" s="310"/>
      <c r="F44" s="311"/>
    </row>
    <row r="45" spans="2:20" x14ac:dyDescent="0.25">
      <c r="B45" s="191" t="s">
        <v>272</v>
      </c>
      <c r="C45" s="192" t="s">
        <v>269</v>
      </c>
      <c r="D45" s="192" t="s">
        <v>273</v>
      </c>
      <c r="E45" s="192" t="s">
        <v>270</v>
      </c>
      <c r="F45" s="193" t="s">
        <v>271</v>
      </c>
    </row>
    <row r="46" spans="2:20" x14ac:dyDescent="0.25">
      <c r="B46" s="191">
        <v>1</v>
      </c>
      <c r="C46" s="192">
        <v>1</v>
      </c>
      <c r="D46" s="192" t="s">
        <v>274</v>
      </c>
      <c r="E46" s="197">
        <v>2829696</v>
      </c>
      <c r="F46" s="198">
        <f>+E46*C46</f>
        <v>2829696</v>
      </c>
    </row>
    <row r="47" spans="2:20" x14ac:dyDescent="0.25">
      <c r="B47" s="191">
        <v>2</v>
      </c>
      <c r="C47" s="192">
        <v>1</v>
      </c>
      <c r="D47" s="192" t="s">
        <v>299</v>
      </c>
      <c r="E47" s="197">
        <v>1886400</v>
      </c>
      <c r="F47" s="198">
        <f>+E47*C47</f>
        <v>1886400</v>
      </c>
    </row>
    <row r="48" spans="2:20" x14ac:dyDescent="0.25">
      <c r="B48" s="191">
        <v>3</v>
      </c>
      <c r="C48" s="192">
        <v>1</v>
      </c>
      <c r="D48" s="192" t="s">
        <v>314</v>
      </c>
      <c r="E48" s="197">
        <f>828116*1.62</f>
        <v>1341547.9200000002</v>
      </c>
      <c r="F48" s="198">
        <f>+E48*C48</f>
        <v>1341547.9200000002</v>
      </c>
    </row>
    <row r="49" spans="1:22" ht="15.75" thickBot="1" x14ac:dyDescent="0.3">
      <c r="B49" s="307" t="s">
        <v>298</v>
      </c>
      <c r="C49" s="308"/>
      <c r="D49" s="308"/>
      <c r="E49" s="308"/>
      <c r="F49" s="200">
        <f>+SUM(F46:F48)</f>
        <v>6057643.9199999999</v>
      </c>
    </row>
    <row r="50" spans="1:22" x14ac:dyDescent="0.25">
      <c r="B50" s="312" t="s">
        <v>323</v>
      </c>
      <c r="C50" s="313"/>
      <c r="D50" s="313"/>
      <c r="E50" s="313"/>
      <c r="F50" s="199">
        <f>+SUM(F7+F24+F42+F49)</f>
        <v>49284234.920000002</v>
      </c>
    </row>
    <row r="51" spans="1:22" x14ac:dyDescent="0.25">
      <c r="B51" s="312" t="s">
        <v>324</v>
      </c>
      <c r="C51" s="313"/>
      <c r="D51" s="313"/>
      <c r="E51" s="313"/>
      <c r="F51" s="199">
        <v>6000000</v>
      </c>
    </row>
    <row r="52" spans="1:22" x14ac:dyDescent="0.25">
      <c r="B52" s="312" t="s">
        <v>325</v>
      </c>
      <c r="C52" s="313"/>
      <c r="D52" s="313"/>
      <c r="E52" s="313"/>
      <c r="F52" s="199">
        <f>2%*(F50+F51)</f>
        <v>1105684.6984000001</v>
      </c>
    </row>
    <row r="53" spans="1:22" ht="15.75" thickBot="1" x14ac:dyDescent="0.3">
      <c r="B53" s="307" t="s">
        <v>326</v>
      </c>
      <c r="C53" s="308"/>
      <c r="D53" s="308"/>
      <c r="E53" s="308"/>
      <c r="F53" s="200">
        <f>+SUM(F50:F52)</f>
        <v>56389919.6184</v>
      </c>
    </row>
    <row r="56" spans="1:22" x14ac:dyDescent="0.25">
      <c r="B56" s="204" t="s">
        <v>329</v>
      </c>
      <c r="C56" s="205" t="s">
        <v>330</v>
      </c>
    </row>
    <row r="57" spans="1:22" x14ac:dyDescent="0.25">
      <c r="A57" s="189">
        <f>+F53</f>
        <v>56389919.6184</v>
      </c>
      <c r="B57" s="204">
        <v>0</v>
      </c>
      <c r="C57" s="206">
        <f>+A57</f>
        <v>56389919.6184</v>
      </c>
    </row>
    <row r="58" spans="1:22" x14ac:dyDescent="0.25">
      <c r="A58" s="187">
        <f>+A57/15</f>
        <v>3759327.97456</v>
      </c>
      <c r="B58" s="204">
        <v>1</v>
      </c>
      <c r="C58" s="206">
        <f t="shared" ref="C58:C72" si="3">+C57-$A$58</f>
        <v>52630591.64384</v>
      </c>
      <c r="R58" s="188"/>
      <c r="S58" s="188"/>
      <c r="T58" s="188"/>
      <c r="U58" s="188"/>
      <c r="V58" s="188"/>
    </row>
    <row r="59" spans="1:22" x14ac:dyDescent="0.25">
      <c r="A59" s="187"/>
      <c r="B59" s="204">
        <v>2</v>
      </c>
      <c r="C59" s="206">
        <f t="shared" si="3"/>
        <v>48871263.66928</v>
      </c>
      <c r="R59" s="188"/>
      <c r="S59" s="188"/>
      <c r="T59" s="188"/>
      <c r="U59" s="188"/>
      <c r="V59" s="188"/>
    </row>
    <row r="60" spans="1:22" x14ac:dyDescent="0.25">
      <c r="B60" s="204">
        <v>3</v>
      </c>
      <c r="C60" s="206">
        <f t="shared" si="3"/>
        <v>45111935.69472</v>
      </c>
      <c r="R60" s="188"/>
      <c r="S60" s="188"/>
      <c r="T60" s="188"/>
      <c r="U60" s="188"/>
      <c r="V60" s="188"/>
    </row>
    <row r="61" spans="1:22" x14ac:dyDescent="0.25">
      <c r="B61" s="204">
        <v>4</v>
      </c>
      <c r="C61" s="206">
        <f t="shared" si="3"/>
        <v>41352607.72016</v>
      </c>
      <c r="D61" s="185"/>
      <c r="E61" s="185"/>
      <c r="R61" s="188"/>
      <c r="S61" s="188"/>
      <c r="T61" s="188"/>
      <c r="U61" s="188"/>
      <c r="V61" s="188"/>
    </row>
    <row r="62" spans="1:22" x14ac:dyDescent="0.25">
      <c r="B62" s="204">
        <v>5</v>
      </c>
      <c r="C62" s="206">
        <f t="shared" si="3"/>
        <v>37593279.7456</v>
      </c>
      <c r="R62" s="188"/>
      <c r="S62" s="188"/>
      <c r="T62" s="188"/>
      <c r="U62" s="188"/>
      <c r="V62" s="188"/>
    </row>
    <row r="63" spans="1:22" x14ac:dyDescent="0.25">
      <c r="B63" s="204">
        <v>6</v>
      </c>
      <c r="C63" s="206">
        <f t="shared" si="3"/>
        <v>33833951.77104</v>
      </c>
      <c r="R63" s="188"/>
      <c r="S63" s="188"/>
      <c r="T63" s="188"/>
      <c r="U63" s="188"/>
      <c r="V63" s="188"/>
    </row>
    <row r="64" spans="1:22" x14ac:dyDescent="0.25">
      <c r="B64" s="204">
        <v>7</v>
      </c>
      <c r="C64" s="206">
        <f t="shared" si="3"/>
        <v>30074623.79648</v>
      </c>
      <c r="R64" s="188"/>
      <c r="S64" s="188"/>
      <c r="T64" s="188"/>
      <c r="U64" s="188"/>
      <c r="V64" s="188"/>
    </row>
    <row r="65" spans="2:22" x14ac:dyDescent="0.25">
      <c r="B65" s="204">
        <v>8</v>
      </c>
      <c r="C65" s="206">
        <f t="shared" si="3"/>
        <v>26315295.82192</v>
      </c>
      <c r="R65" s="188"/>
      <c r="S65" s="188"/>
      <c r="T65" s="188"/>
      <c r="U65" s="188"/>
      <c r="V65" s="188"/>
    </row>
    <row r="66" spans="2:22" x14ac:dyDescent="0.25">
      <c r="B66" s="204">
        <v>9</v>
      </c>
      <c r="C66" s="206">
        <f t="shared" si="3"/>
        <v>22555967.84736</v>
      </c>
      <c r="R66" s="188"/>
      <c r="S66" s="188"/>
      <c r="T66" s="188"/>
      <c r="U66" s="188"/>
      <c r="V66" s="188"/>
    </row>
    <row r="67" spans="2:22" x14ac:dyDescent="0.25">
      <c r="B67" s="204">
        <v>10</v>
      </c>
      <c r="C67" s="206">
        <f t="shared" si="3"/>
        <v>18796639.8728</v>
      </c>
      <c r="R67" s="188"/>
      <c r="S67" s="188"/>
      <c r="T67" s="188"/>
      <c r="U67" s="188"/>
      <c r="V67" s="188"/>
    </row>
    <row r="68" spans="2:22" x14ac:dyDescent="0.25">
      <c r="B68" s="204">
        <v>11</v>
      </c>
      <c r="C68" s="206">
        <f t="shared" si="3"/>
        <v>15037311.89824</v>
      </c>
      <c r="R68" s="188"/>
      <c r="S68" s="188"/>
      <c r="T68" s="188"/>
      <c r="U68" s="188"/>
      <c r="V68" s="188"/>
    </row>
    <row r="69" spans="2:22" x14ac:dyDescent="0.25">
      <c r="B69" s="204">
        <v>12</v>
      </c>
      <c r="C69" s="206">
        <f t="shared" si="3"/>
        <v>11277983.92368</v>
      </c>
      <c r="R69" s="188"/>
      <c r="S69" s="188"/>
      <c r="T69" s="188"/>
      <c r="U69" s="188"/>
      <c r="V69" s="188"/>
    </row>
    <row r="70" spans="2:22" x14ac:dyDescent="0.25">
      <c r="B70" s="204">
        <v>13</v>
      </c>
      <c r="C70" s="206">
        <f t="shared" si="3"/>
        <v>7518655.94912</v>
      </c>
      <c r="R70" s="188"/>
      <c r="S70" s="188"/>
      <c r="T70" s="188"/>
      <c r="U70" s="188"/>
      <c r="V70" s="188"/>
    </row>
    <row r="71" spans="2:22" x14ac:dyDescent="0.25">
      <c r="B71" s="204">
        <v>14</v>
      </c>
      <c r="C71" s="206">
        <f t="shared" si="3"/>
        <v>3759327.97456</v>
      </c>
      <c r="R71" s="188"/>
      <c r="S71" s="188"/>
      <c r="T71" s="188"/>
      <c r="U71" s="188"/>
      <c r="V71" s="188"/>
    </row>
    <row r="72" spans="2:22" x14ac:dyDescent="0.25">
      <c r="B72" s="204">
        <v>15</v>
      </c>
      <c r="C72" s="206">
        <f t="shared" si="3"/>
        <v>0</v>
      </c>
      <c r="R72" s="188"/>
      <c r="S72" s="188"/>
      <c r="T72" s="188"/>
      <c r="U72" s="188"/>
      <c r="V72" s="188"/>
    </row>
    <row r="73" spans="2:22" x14ac:dyDescent="0.25">
      <c r="R73" s="188"/>
      <c r="S73" s="188"/>
      <c r="T73" s="188"/>
      <c r="U73" s="188"/>
      <c r="V73" s="188"/>
    </row>
    <row r="74" spans="2:22" x14ac:dyDescent="0.25">
      <c r="B74" s="306"/>
      <c r="C74" s="306"/>
      <c r="D74" s="306"/>
      <c r="E74" s="306"/>
    </row>
    <row r="75" spans="2:22" x14ac:dyDescent="0.25">
      <c r="K75" s="188"/>
      <c r="L75" s="188"/>
      <c r="M75" s="188"/>
      <c r="N75" s="188"/>
      <c r="O75" s="188"/>
      <c r="P75" s="188"/>
      <c r="Q75" s="188"/>
    </row>
    <row r="76" spans="2:22" x14ac:dyDescent="0.25">
      <c r="K76" s="188"/>
      <c r="L76" s="188"/>
      <c r="M76" s="188"/>
      <c r="N76" s="188"/>
      <c r="O76" s="188"/>
      <c r="P76" s="188"/>
      <c r="Q76" s="188"/>
    </row>
    <row r="77" spans="2:22" x14ac:dyDescent="0.25">
      <c r="K77" s="188"/>
      <c r="L77" s="188"/>
      <c r="M77" s="188"/>
      <c r="N77" s="188"/>
      <c r="O77" s="188"/>
      <c r="P77" s="188"/>
      <c r="Q77" s="188"/>
    </row>
    <row r="78" spans="2:22" x14ac:dyDescent="0.25">
      <c r="K78" s="188"/>
      <c r="L78" s="188"/>
      <c r="M78" s="188"/>
      <c r="N78" s="188"/>
      <c r="O78" s="188"/>
      <c r="P78" s="188"/>
      <c r="Q78" s="188"/>
    </row>
    <row r="79" spans="2:22" x14ac:dyDescent="0.25">
      <c r="K79" s="188"/>
      <c r="L79" s="188"/>
      <c r="M79" s="188"/>
      <c r="N79" s="188"/>
      <c r="O79" s="188"/>
      <c r="P79" s="188"/>
      <c r="Q79" s="188"/>
    </row>
    <row r="80" spans="2:22" x14ac:dyDescent="0.25">
      <c r="K80" s="188"/>
      <c r="L80" s="188"/>
      <c r="M80" s="188"/>
      <c r="N80" s="188"/>
      <c r="O80" s="188"/>
      <c r="P80" s="188"/>
      <c r="Q80" s="188"/>
    </row>
    <row r="81" spans="4:17" x14ac:dyDescent="0.25">
      <c r="K81" s="188"/>
      <c r="L81" s="188"/>
      <c r="M81" s="188"/>
      <c r="N81" s="188"/>
      <c r="O81" s="188"/>
      <c r="P81" s="188"/>
      <c r="Q81" s="188"/>
    </row>
    <row r="82" spans="4:17" x14ac:dyDescent="0.25">
      <c r="K82" s="188"/>
      <c r="L82" s="188"/>
      <c r="M82" s="188"/>
      <c r="N82" s="188"/>
      <c r="O82" s="188"/>
      <c r="P82" s="188"/>
      <c r="Q82" s="188"/>
    </row>
    <row r="83" spans="4:17" x14ac:dyDescent="0.25">
      <c r="K83" s="188"/>
      <c r="L83" s="188"/>
      <c r="M83" s="188"/>
      <c r="N83" s="188"/>
      <c r="O83" s="188"/>
      <c r="P83" s="188"/>
      <c r="Q83" s="188"/>
    </row>
    <row r="86" spans="4:17" x14ac:dyDescent="0.25">
      <c r="D86" t="s">
        <v>276</v>
      </c>
      <c r="E86" t="s">
        <v>277</v>
      </c>
    </row>
    <row r="87" spans="4:17" x14ac:dyDescent="0.25">
      <c r="D87">
        <f>60/1000</f>
        <v>0.06</v>
      </c>
    </row>
    <row r="88" spans="4:17" x14ac:dyDescent="0.25">
      <c r="D88">
        <f>120/1000</f>
        <v>0.12</v>
      </c>
    </row>
    <row r="89" spans="4:17" x14ac:dyDescent="0.25">
      <c r="D89">
        <f>240/1000</f>
        <v>0.24</v>
      </c>
    </row>
    <row r="90" spans="4:17" x14ac:dyDescent="0.25">
      <c r="D90">
        <f>+D87*D88*D89</f>
        <v>1.7279999999999999E-3</v>
      </c>
      <c r="H90" t="s">
        <v>103</v>
      </c>
    </row>
    <row r="91" spans="4:17" x14ac:dyDescent="0.25">
      <c r="D91" t="s">
        <v>275</v>
      </c>
    </row>
    <row r="93" spans="4:17" x14ac:dyDescent="0.25">
      <c r="D93">
        <v>4.4499170559319996</v>
      </c>
    </row>
    <row r="95" spans="4:17" x14ac:dyDescent="0.25">
      <c r="D95">
        <f>+D93/D90</f>
        <v>2575.1834814421295</v>
      </c>
    </row>
  </sheetData>
  <mergeCells count="17">
    <mergeCell ref="K2:K3"/>
    <mergeCell ref="S25:T25"/>
    <mergeCell ref="B24:E24"/>
    <mergeCell ref="B8:F8"/>
    <mergeCell ref="B7:E7"/>
    <mergeCell ref="B2:F2"/>
    <mergeCell ref="B3:F3"/>
    <mergeCell ref="B43:E43"/>
    <mergeCell ref="B74:E74"/>
    <mergeCell ref="B25:F25"/>
    <mergeCell ref="B44:F44"/>
    <mergeCell ref="B49:E49"/>
    <mergeCell ref="B42:E42"/>
    <mergeCell ref="B50:E50"/>
    <mergeCell ref="B51:E51"/>
    <mergeCell ref="B52:E52"/>
    <mergeCell ref="B53:E53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D_Inicial</vt:lpstr>
      <vt:lpstr>Diseño_EVA</vt:lpstr>
      <vt:lpstr>Diseño_EME</vt:lpstr>
      <vt:lpstr>Diseño Economico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2019-05-27T15:20:57Z</dcterms:modified>
</cp:coreProperties>
</file>