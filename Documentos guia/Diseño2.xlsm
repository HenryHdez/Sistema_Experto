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1082D9BF-1A00-4335-9812-A895B04531F0}" xr6:coauthVersionLast="41" xr6:coauthVersionMax="41" xr10:uidLastSave="{00000000-0000-0000-0000-000000000000}"/>
  <bookViews>
    <workbookView xWindow="-120" yWindow="-120" windowWidth="24240" windowHeight="13140" activeTab="1" xr2:uid="{00000000-000D-0000-FFFF-FFFF00000000}"/>
  </bookViews>
  <sheets>
    <sheet name="D_Inicial" sheetId="2" r:id="rId1"/>
    <sheet name="D_Energetico_A" sheetId="4" r:id="rId2"/>
    <sheet name="Hoja1" sheetId="6" r:id="rId3"/>
    <sheet name="Diseño Economico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9" i="2" l="1"/>
  <c r="P49" i="2" s="1"/>
  <c r="O49" i="2" s="1"/>
  <c r="N49" i="2" s="1"/>
  <c r="M49" i="2" s="1"/>
  <c r="L49" i="2" s="1"/>
  <c r="K49" i="2" s="1"/>
  <c r="J49" i="2" s="1"/>
  <c r="I49" i="2" s="1"/>
  <c r="H49" i="2" s="1"/>
  <c r="R49" i="2"/>
  <c r="S49" i="2"/>
  <c r="P46" i="2"/>
  <c r="Q47" i="2"/>
  <c r="R47" i="2"/>
  <c r="Q46" i="2" s="1"/>
  <c r="R46" i="2"/>
  <c r="H47" i="2"/>
  <c r="S47" i="2"/>
  <c r="S46" i="2"/>
  <c r="S55" i="2"/>
  <c r="O54" i="2"/>
  <c r="P54" i="2"/>
  <c r="O56" i="2"/>
  <c r="P56" i="2"/>
  <c r="I30" i="4"/>
  <c r="I29" i="4"/>
  <c r="P47" i="2" l="1"/>
  <c r="Q54" i="2"/>
  <c r="Q56" i="2" s="1"/>
  <c r="Q48" i="2"/>
  <c r="Q55" i="2"/>
  <c r="N15" i="2"/>
  <c r="N12" i="2"/>
  <c r="N11" i="2"/>
  <c r="N10" i="2"/>
  <c r="N9" i="2"/>
  <c r="N8" i="2"/>
  <c r="P55" i="2" l="1"/>
  <c r="O46" i="2"/>
  <c r="P48" i="2"/>
  <c r="R54" i="2"/>
  <c r="R56" i="2" s="1"/>
  <c r="R48" i="2"/>
  <c r="Q50" i="2"/>
  <c r="Q51" i="2"/>
  <c r="D10" i="6"/>
  <c r="O47" i="2" l="1"/>
  <c r="O57" i="2"/>
  <c r="P50" i="2"/>
  <c r="P51" i="2"/>
  <c r="R50" i="2"/>
  <c r="R51" i="2"/>
  <c r="R55" i="2"/>
  <c r="I13" i="6"/>
  <c r="J14" i="6" s="1"/>
  <c r="J16" i="6" s="1"/>
  <c r="O48" i="2" l="1"/>
  <c r="N46" i="2"/>
  <c r="S48" i="2"/>
  <c r="S54" i="2"/>
  <c r="S56" i="2" s="1"/>
  <c r="F161" i="4"/>
  <c r="G161" i="4"/>
  <c r="H161" i="4"/>
  <c r="I161" i="4"/>
  <c r="J161" i="4"/>
  <c r="K161" i="4"/>
  <c r="F172" i="4"/>
  <c r="G172" i="4"/>
  <c r="H172" i="4"/>
  <c r="I172" i="4"/>
  <c r="J172" i="4"/>
  <c r="K172" i="4"/>
  <c r="F171" i="4"/>
  <c r="G171" i="4"/>
  <c r="H171" i="4"/>
  <c r="I171" i="4"/>
  <c r="J171" i="4"/>
  <c r="K171" i="4"/>
  <c r="F170" i="4"/>
  <c r="G170" i="4"/>
  <c r="H170" i="4"/>
  <c r="I170" i="4"/>
  <c r="J170" i="4"/>
  <c r="K170" i="4"/>
  <c r="E170" i="4"/>
  <c r="F133" i="4"/>
  <c r="G133" i="4"/>
  <c r="H133" i="4"/>
  <c r="I133" i="4"/>
  <c r="I140" i="4" s="1"/>
  <c r="I148" i="4" s="1"/>
  <c r="J133" i="4"/>
  <c r="J140" i="4" s="1"/>
  <c r="J148" i="4" s="1"/>
  <c r="K133" i="4"/>
  <c r="F134" i="4"/>
  <c r="G134" i="4"/>
  <c r="G140" i="4" s="1"/>
  <c r="G148" i="4" s="1"/>
  <c r="H134" i="4"/>
  <c r="I134" i="4"/>
  <c r="J134" i="4"/>
  <c r="K134" i="4"/>
  <c r="F140" i="4"/>
  <c r="F148" i="4" s="1"/>
  <c r="F149" i="4"/>
  <c r="G149" i="4"/>
  <c r="H149" i="4"/>
  <c r="I149" i="4"/>
  <c r="J149" i="4"/>
  <c r="K149" i="4"/>
  <c r="E134" i="4"/>
  <c r="E133" i="4"/>
  <c r="K189" i="4"/>
  <c r="K195" i="4"/>
  <c r="K196" i="4"/>
  <c r="K179" i="4"/>
  <c r="F74" i="4"/>
  <c r="G74" i="4"/>
  <c r="G181" i="4" s="1"/>
  <c r="H74" i="4"/>
  <c r="H181" i="4" s="1"/>
  <c r="I74" i="4"/>
  <c r="I181" i="4" s="1"/>
  <c r="J74" i="4"/>
  <c r="J181" i="4" s="1"/>
  <c r="K74" i="4"/>
  <c r="K181" i="4" s="1"/>
  <c r="E74" i="4"/>
  <c r="E86" i="4"/>
  <c r="F86" i="4"/>
  <c r="E29" i="4"/>
  <c r="F30" i="4"/>
  <c r="F73" i="4"/>
  <c r="G73" i="4"/>
  <c r="H73" i="4"/>
  <c r="I73" i="4"/>
  <c r="F47" i="4"/>
  <c r="F59" i="4"/>
  <c r="F66" i="4"/>
  <c r="K126" i="4"/>
  <c r="P57" i="2" l="1"/>
  <c r="P52" i="2"/>
  <c r="P53" i="2" s="1"/>
  <c r="P58" i="2"/>
  <c r="O50" i="2"/>
  <c r="O58" i="2" s="1"/>
  <c r="O51" i="2"/>
  <c r="O52" i="2" s="1"/>
  <c r="O53" i="2" s="1"/>
  <c r="S50" i="2"/>
  <c r="S51" i="2"/>
  <c r="H140" i="4"/>
  <c r="H148" i="4" s="1"/>
  <c r="F87" i="4"/>
  <c r="E87" i="4"/>
  <c r="K140" i="4"/>
  <c r="K148" i="4" s="1"/>
  <c r="F181" i="4"/>
  <c r="E181" i="4"/>
  <c r="K188" i="4"/>
  <c r="M85" i="2"/>
  <c r="Q84" i="2" s="1"/>
  <c r="Q85" i="2" s="1"/>
  <c r="Q83" i="2"/>
  <c r="M82" i="2"/>
  <c r="M93" i="2" s="1"/>
  <c r="Q57" i="2" l="1"/>
  <c r="Q58" i="2" s="1"/>
  <c r="Q52" i="2"/>
  <c r="Q53" i="2" s="1"/>
  <c r="Q86" i="2"/>
  <c r="M89" i="2" s="1"/>
  <c r="M87" i="2"/>
  <c r="M91" i="2" s="1"/>
  <c r="AA25" i="4"/>
  <c r="G66" i="4"/>
  <c r="H66" i="4"/>
  <c r="I66" i="4"/>
  <c r="J66" i="4"/>
  <c r="K66" i="4"/>
  <c r="E66" i="4"/>
  <c r="K69" i="4"/>
  <c r="J69" i="4"/>
  <c r="I69" i="4"/>
  <c r="H69" i="4"/>
  <c r="E69" i="4"/>
  <c r="R57" i="2" l="1"/>
  <c r="R52" i="2"/>
  <c r="R53" i="2" s="1"/>
  <c r="R58" i="2"/>
  <c r="I37" i="4"/>
  <c r="I75" i="4"/>
  <c r="J113" i="4"/>
  <c r="K75" i="4"/>
  <c r="J75" i="4"/>
  <c r="S57" i="2" l="1"/>
  <c r="S58" i="2"/>
  <c r="S52" i="2"/>
  <c r="S53" i="2" s="1"/>
  <c r="J179" i="4"/>
  <c r="J126" i="4"/>
  <c r="J188" i="4"/>
  <c r="K86" i="4"/>
  <c r="K59" i="4"/>
  <c r="G47" i="4"/>
  <c r="H47" i="4"/>
  <c r="I47" i="4"/>
  <c r="J47" i="4"/>
  <c r="K47" i="4"/>
  <c r="E47" i="4"/>
  <c r="H29" i="4"/>
  <c r="H30" i="4" s="1"/>
  <c r="G29" i="4" s="1"/>
  <c r="G30" i="4" s="1"/>
  <c r="F29" i="4" s="1"/>
  <c r="E30" i="4"/>
  <c r="J37" i="4"/>
  <c r="J30" i="4"/>
  <c r="J29" i="4"/>
  <c r="K37" i="4"/>
  <c r="K29" i="4"/>
  <c r="K31" i="4" s="1"/>
  <c r="K34" i="4" s="1"/>
  <c r="E31" i="4"/>
  <c r="E37" i="4"/>
  <c r="E39" i="4" s="1"/>
  <c r="U67" i="2"/>
  <c r="I54" i="2"/>
  <c r="H54" i="2"/>
  <c r="M77" i="2"/>
  <c r="M73" i="2"/>
  <c r="M66" i="2"/>
  <c r="X64" i="2"/>
  <c r="D110" i="2"/>
  <c r="D109" i="2"/>
  <c r="D102" i="2"/>
  <c r="F31" i="4" l="1"/>
  <c r="K33" i="4"/>
  <c r="K87" i="4"/>
  <c r="H31" i="4"/>
  <c r="G31" i="4"/>
  <c r="G34" i="4" s="1"/>
  <c r="J31" i="4"/>
  <c r="E34" i="4"/>
  <c r="E33" i="4"/>
  <c r="I31" i="4"/>
  <c r="M74" i="2"/>
  <c r="D113" i="2"/>
  <c r="D114" i="2" s="1"/>
  <c r="D116" i="2"/>
  <c r="F33" i="4" l="1"/>
  <c r="F34" i="4"/>
  <c r="G33" i="4"/>
  <c r="H34" i="4"/>
  <c r="H33" i="4"/>
  <c r="I33" i="4"/>
  <c r="I34" i="4"/>
  <c r="J33" i="4"/>
  <c r="J34" i="4"/>
  <c r="D115" i="2"/>
  <c r="D117" i="2"/>
  <c r="D118" i="2" s="1"/>
  <c r="U69" i="2" l="1"/>
  <c r="AA66" i="2" s="1"/>
  <c r="AA68" i="2"/>
  <c r="D72" i="2"/>
  <c r="D71" i="2"/>
  <c r="D77" i="2" s="1"/>
  <c r="D66" i="2"/>
  <c r="D73" i="2" s="1"/>
  <c r="AA69" i="2" l="1"/>
  <c r="AA70" i="2" s="1"/>
  <c r="AA71" i="2" s="1"/>
  <c r="X71" i="2"/>
  <c r="X65" i="2"/>
  <c r="AA65" i="2"/>
  <c r="AA67" i="2" s="1"/>
  <c r="X66" i="2"/>
  <c r="X67" i="2" s="1"/>
  <c r="X70" i="2" s="1"/>
  <c r="AA72" i="2" l="1"/>
  <c r="U74" i="2" s="1"/>
  <c r="X74" i="2"/>
  <c r="X75" i="2" s="1"/>
  <c r="U72" i="2" s="1"/>
  <c r="U77" i="2" s="1"/>
  <c r="X72" i="2"/>
  <c r="X73" i="2" s="1"/>
  <c r="X68" i="2"/>
  <c r="X69" i="2" s="1"/>
  <c r="U73" i="2" l="1"/>
  <c r="U75" i="2" s="1"/>
  <c r="AM52" i="2"/>
  <c r="AM53" i="2" s="1"/>
  <c r="AM55" i="2" s="1"/>
  <c r="G10" i="2" l="1"/>
  <c r="N47" i="2" l="1"/>
  <c r="I179" i="4"/>
  <c r="I126" i="4"/>
  <c r="I188" i="4"/>
  <c r="J86" i="4"/>
  <c r="J73" i="4"/>
  <c r="J59" i="4"/>
  <c r="D85" i="2"/>
  <c r="H84" i="2" s="1"/>
  <c r="H85" i="2" s="1"/>
  <c r="H83" i="2"/>
  <c r="D82" i="2"/>
  <c r="D93" i="2" s="1"/>
  <c r="N48" i="2" l="1"/>
  <c r="M46" i="2"/>
  <c r="N50" i="2"/>
  <c r="N51" i="2"/>
  <c r="J87" i="4"/>
  <c r="H86" i="2"/>
  <c r="D89" i="2" s="1"/>
  <c r="D87" i="2"/>
  <c r="V85" i="2"/>
  <c r="Z84" i="2" s="1"/>
  <c r="Z85" i="2" s="1"/>
  <c r="Z83" i="2"/>
  <c r="V82" i="2"/>
  <c r="V93" i="2" s="1"/>
  <c r="D91" i="2" l="1"/>
  <c r="Z86" i="2"/>
  <c r="V89" i="2" s="1"/>
  <c r="V87" i="2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M11" i="5"/>
  <c r="K32" i="5"/>
  <c r="L6" i="5"/>
  <c r="L11" i="5" s="1"/>
  <c r="L15" i="5" s="1"/>
  <c r="L14" i="5" s="1"/>
  <c r="M38" i="5"/>
  <c r="V91" i="2" l="1"/>
  <c r="F6" i="5"/>
  <c r="F5" i="5"/>
  <c r="F7" i="5" s="1"/>
  <c r="F41" i="5"/>
  <c r="F40" i="5"/>
  <c r="F39" i="5"/>
  <c r="F23" i="5"/>
  <c r="F22" i="5"/>
  <c r="E48" i="5"/>
  <c r="F48" i="5" s="1"/>
  <c r="F46" i="5"/>
  <c r="F38" i="5"/>
  <c r="F36" i="5"/>
  <c r="F37" i="5"/>
  <c r="F27" i="5"/>
  <c r="F28" i="5"/>
  <c r="F29" i="5"/>
  <c r="F30" i="5"/>
  <c r="F31" i="5"/>
  <c r="F32" i="5"/>
  <c r="F33" i="5"/>
  <c r="F34" i="5"/>
  <c r="F35" i="5"/>
  <c r="F47" i="5"/>
  <c r="I31" i="5"/>
  <c r="F10" i="5"/>
  <c r="F11" i="5"/>
  <c r="F12" i="5"/>
  <c r="F13" i="5"/>
  <c r="F14" i="5"/>
  <c r="F15" i="5"/>
  <c r="F16" i="5"/>
  <c r="F17" i="5"/>
  <c r="F18" i="5"/>
  <c r="F19" i="5"/>
  <c r="F20" i="5"/>
  <c r="F21" i="5"/>
  <c r="F24" i="5" l="1"/>
  <c r="F43" i="5" s="1"/>
  <c r="F42" i="5"/>
  <c r="F49" i="5"/>
  <c r="F50" i="5" s="1"/>
  <c r="F52" i="5" l="1"/>
  <c r="F53" i="5" s="1"/>
  <c r="A57" i="5" s="1"/>
  <c r="A58" i="5" l="1"/>
  <c r="C57" i="5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D89" i="5"/>
  <c r="D88" i="5"/>
  <c r="D87" i="5"/>
  <c r="D90" i="5" l="1"/>
  <c r="D95" i="5" s="1"/>
  <c r="X118" i="4"/>
  <c r="X113" i="4"/>
  <c r="C96" i="4"/>
  <c r="I107" i="4" l="1"/>
  <c r="R130" i="4"/>
  <c r="O79" i="4"/>
  <c r="P79" i="4"/>
  <c r="Q79" i="4"/>
  <c r="N79" i="4"/>
  <c r="Y65" i="4"/>
  <c r="Y66" i="4" s="1"/>
  <c r="X81" i="4"/>
  <c r="Y67" i="4" l="1"/>
  <c r="N105" i="2" l="1"/>
  <c r="R104" i="2" s="1"/>
  <c r="R105" i="2" s="1"/>
  <c r="R103" i="2"/>
  <c r="N102" i="2"/>
  <c r="N113" i="2" s="1"/>
  <c r="R106" i="2" l="1"/>
  <c r="N109" i="2" s="1"/>
  <c r="N107" i="2"/>
  <c r="N111" i="2" s="1"/>
  <c r="AA16" i="2"/>
  <c r="AA17" i="2" s="1"/>
  <c r="G86" i="4" l="1"/>
  <c r="H86" i="4"/>
  <c r="I86" i="4"/>
  <c r="I87" i="4" s="1"/>
  <c r="E172" i="4" l="1"/>
  <c r="E171" i="4"/>
  <c r="F214" i="4" l="1"/>
  <c r="E214" i="4"/>
  <c r="D214" i="4"/>
  <c r="C214" i="4"/>
  <c r="E213" i="4"/>
  <c r="C213" i="4"/>
  <c r="C212" i="4"/>
  <c r="C211" i="4"/>
  <c r="C210" i="4"/>
  <c r="D200" i="4"/>
  <c r="H188" i="4"/>
  <c r="H179" i="4"/>
  <c r="G179" i="4"/>
  <c r="F179" i="4"/>
  <c r="E179" i="4"/>
  <c r="G188" i="4"/>
  <c r="E149" i="4"/>
  <c r="E140" i="4"/>
  <c r="E148" i="4" s="1"/>
  <c r="H126" i="4"/>
  <c r="G126" i="4"/>
  <c r="F126" i="4"/>
  <c r="E126" i="4"/>
  <c r="G110" i="4"/>
  <c r="P109" i="4"/>
  <c r="C106" i="4"/>
  <c r="S104" i="4"/>
  <c r="L98" i="4"/>
  <c r="Q95" i="4"/>
  <c r="S95" i="4" s="1"/>
  <c r="S99" i="4" s="1"/>
  <c r="C95" i="4"/>
  <c r="I59" i="4"/>
  <c r="H59" i="4"/>
  <c r="G59" i="4"/>
  <c r="E59" i="4"/>
  <c r="K73" i="4"/>
  <c r="E73" i="4"/>
  <c r="E161" i="4"/>
  <c r="D21" i="4"/>
  <c r="Q20" i="4"/>
  <c r="Q18" i="4"/>
  <c r="Q17" i="4"/>
  <c r="Q16" i="4"/>
  <c r="D13" i="4"/>
  <c r="C98" i="4" s="1"/>
  <c r="Q6" i="4"/>
  <c r="Q5" i="4"/>
  <c r="Q4" i="4"/>
  <c r="K109" i="4"/>
  <c r="I128" i="4" l="1"/>
  <c r="G128" i="4"/>
  <c r="K128" i="4"/>
  <c r="H128" i="4"/>
  <c r="F128" i="4"/>
  <c r="J128" i="4"/>
  <c r="E128" i="4"/>
  <c r="R110" i="4"/>
  <c r="R111" i="4" s="1"/>
  <c r="S100" i="4"/>
  <c r="S103" i="4"/>
  <c r="D22" i="4"/>
  <c r="E188" i="4"/>
  <c r="C208" i="4" s="1"/>
  <c r="F188" i="4"/>
  <c r="C209" i="4" s="1"/>
  <c r="F38" i="4" l="1"/>
  <c r="H38" i="4"/>
  <c r="I38" i="4"/>
  <c r="F37" i="4"/>
  <c r="F39" i="4" s="1"/>
  <c r="K38" i="4"/>
  <c r="K39" i="4"/>
  <c r="E38" i="4"/>
  <c r="G38" i="4"/>
  <c r="I39" i="4"/>
  <c r="H37" i="4"/>
  <c r="H39" i="4" s="1"/>
  <c r="G37" i="4"/>
  <c r="G39" i="4" s="1"/>
  <c r="J39" i="4"/>
  <c r="Q10" i="4"/>
  <c r="Q9" i="4"/>
  <c r="Q8" i="4"/>
  <c r="Q13" i="4" l="1"/>
  <c r="Q14" i="4"/>
  <c r="Q12" i="4"/>
  <c r="AD6" i="2" l="1"/>
  <c r="AF6" i="2"/>
  <c r="AF7" i="2"/>
  <c r="AF10" i="2" s="1"/>
  <c r="AA21" i="2"/>
  <c r="U5" i="2"/>
  <c r="U6" i="2"/>
  <c r="G24" i="2"/>
  <c r="U17" i="2"/>
  <c r="U18" i="2"/>
  <c r="U20" i="2"/>
  <c r="G36" i="2"/>
  <c r="G37" i="2" s="1"/>
  <c r="U16" i="2" l="1"/>
  <c r="H48" i="2"/>
  <c r="H51" i="2" s="1"/>
  <c r="N56" i="2"/>
  <c r="N55" i="2"/>
  <c r="M54" i="2"/>
  <c r="M56" i="2" s="1"/>
  <c r="U4" i="2"/>
  <c r="H56" i="2"/>
  <c r="U10" i="2"/>
  <c r="U9" i="2"/>
  <c r="U8" i="2"/>
  <c r="I56" i="2"/>
  <c r="H50" i="2" l="1"/>
  <c r="U14" i="2"/>
  <c r="U13" i="2"/>
  <c r="U12" i="2"/>
  <c r="AA15" i="2" l="1"/>
  <c r="AA18" i="2" s="1"/>
  <c r="AA20" i="2" s="1"/>
  <c r="AA25" i="2" s="1"/>
  <c r="N13" i="2"/>
  <c r="N14" i="2" s="1"/>
  <c r="G19" i="2" s="1"/>
  <c r="D3" i="4" s="1"/>
  <c r="C93" i="4" s="1"/>
  <c r="AA6" i="2"/>
  <c r="AA7" i="2" s="1"/>
  <c r="AA9" i="2" s="1"/>
  <c r="Z6" i="4" l="1"/>
  <c r="F7" i="4"/>
  <c r="AA26" i="2"/>
  <c r="AC26" i="2" s="1"/>
  <c r="N23" i="2"/>
  <c r="AA28" i="2" l="1"/>
  <c r="AA31" i="2" s="1"/>
  <c r="AB31" i="2" s="1"/>
  <c r="N26" i="2"/>
  <c r="N27" i="2" s="1"/>
  <c r="N35" i="2" s="1"/>
  <c r="N21" i="2"/>
  <c r="P21" i="2" l="1"/>
  <c r="P22" i="2" s="1"/>
  <c r="P23" i="2" s="1"/>
  <c r="N19" i="2"/>
  <c r="N20" i="2" s="1"/>
  <c r="N25" i="2"/>
  <c r="N33" i="2" s="1"/>
  <c r="N36" i="2" s="1"/>
  <c r="N24" i="2"/>
  <c r="N22" i="2"/>
  <c r="N34" i="2"/>
  <c r="N18" i="2"/>
  <c r="N29" i="2" s="1"/>
  <c r="N37" i="2" l="1"/>
  <c r="G35" i="2"/>
  <c r="N30" i="2" s="1"/>
  <c r="I20" i="2" s="1"/>
  <c r="G20" i="2" s="1"/>
  <c r="AB32" i="2" s="1"/>
  <c r="N28" i="2" l="1"/>
  <c r="U21" i="2"/>
  <c r="U22" i="2" s="1"/>
  <c r="H57" i="2" l="1"/>
  <c r="H58" i="2" s="1"/>
  <c r="H52" i="2"/>
  <c r="H53" i="2" l="1"/>
  <c r="D75" i="2"/>
  <c r="H87" i="4" l="1"/>
  <c r="G87" i="4"/>
  <c r="G97" i="4"/>
  <c r="C104" i="4"/>
  <c r="D199" i="4"/>
  <c r="K13" i="4"/>
  <c r="Q21" i="4"/>
  <c r="K8" i="4"/>
  <c r="M181" i="4" l="1"/>
  <c r="Q102" i="4"/>
  <c r="G112" i="4"/>
  <c r="Q22" i="4"/>
  <c r="AI4" i="4" s="1"/>
  <c r="K11" i="4"/>
  <c r="K6" i="4"/>
  <c r="G96" i="4"/>
  <c r="G94" i="4"/>
  <c r="G95" i="4"/>
  <c r="G105" i="4" s="1"/>
  <c r="J78" i="4" l="1"/>
  <c r="J32" i="4"/>
  <c r="I32" i="4" s="1"/>
  <c r="G98" i="4"/>
  <c r="G99" i="4" s="1"/>
  <c r="G103" i="4"/>
  <c r="G104" i="4" s="1"/>
  <c r="K4" i="4"/>
  <c r="K9" i="4"/>
  <c r="K22" i="4" s="1"/>
  <c r="K7" i="4"/>
  <c r="K32" i="4" s="1"/>
  <c r="K10" i="4"/>
  <c r="K12" i="4"/>
  <c r="K20" i="4" s="1"/>
  <c r="AG6" i="4"/>
  <c r="AL6" i="4"/>
  <c r="AH6" i="4"/>
  <c r="Q94" i="4"/>
  <c r="S94" i="4" s="1"/>
  <c r="AI6" i="4"/>
  <c r="AJ6" i="4"/>
  <c r="AJ16" i="4"/>
  <c r="S102" i="4"/>
  <c r="S105" i="4" s="1"/>
  <c r="J76" i="4"/>
  <c r="J90" i="4" l="1"/>
  <c r="I78" i="4"/>
  <c r="K78" i="4"/>
  <c r="K35" i="4"/>
  <c r="K36" i="4" s="1"/>
  <c r="K40" i="4"/>
  <c r="K41" i="4" s="1"/>
  <c r="H32" i="4"/>
  <c r="G32" i="4" s="1"/>
  <c r="F32" i="4" s="1"/>
  <c r="E32" i="4" s="1"/>
  <c r="K19" i="4"/>
  <c r="AJ7" i="4"/>
  <c r="AJ8" i="4" s="1"/>
  <c r="AG7" i="4"/>
  <c r="AG8" i="4" s="1"/>
  <c r="AL7" i="4"/>
  <c r="AH7" i="4"/>
  <c r="AH8" i="4" s="1"/>
  <c r="K18" i="4"/>
  <c r="K21" i="4" s="1"/>
  <c r="G107" i="4"/>
  <c r="G100" i="4"/>
  <c r="AI7" i="4"/>
  <c r="D20" i="4"/>
  <c r="K5" i="4"/>
  <c r="K3" i="4"/>
  <c r="K14" i="4" s="1"/>
  <c r="K94" i="4"/>
  <c r="K93" i="4"/>
  <c r="K76" i="4"/>
  <c r="K90" i="4" l="1"/>
  <c r="F40" i="4"/>
  <c r="F41" i="4" s="1"/>
  <c r="F35" i="4"/>
  <c r="F36" i="4" s="1"/>
  <c r="H35" i="4"/>
  <c r="H36" i="4" s="1"/>
  <c r="H40" i="4"/>
  <c r="H41" i="4" s="1"/>
  <c r="G40" i="4"/>
  <c r="G35" i="4"/>
  <c r="G36" i="4" s="1"/>
  <c r="G41" i="4"/>
  <c r="I35" i="4"/>
  <c r="I36" i="4" s="1"/>
  <c r="I40" i="4"/>
  <c r="I41" i="4" s="1"/>
  <c r="K15" i="4"/>
  <c r="F4" i="4" s="1"/>
  <c r="F6" i="4" s="1"/>
  <c r="F8" i="4" s="1"/>
  <c r="F9" i="4" s="1"/>
  <c r="D6" i="4"/>
  <c r="AI10" i="4"/>
  <c r="AL10" i="4"/>
  <c r="G101" i="4"/>
  <c r="G106" i="4" s="1"/>
  <c r="G108" i="4"/>
  <c r="AH10" i="4"/>
  <c r="AH11" i="4" s="1"/>
  <c r="AH9" i="4"/>
  <c r="AG9" i="4"/>
  <c r="AG10" i="4"/>
  <c r="AG11" i="4" s="1"/>
  <c r="AI8" i="4"/>
  <c r="AL8" i="4"/>
  <c r="AL11" i="4" s="1"/>
  <c r="AJ9" i="4"/>
  <c r="AJ10" i="4"/>
  <c r="AJ11" i="4" s="1"/>
  <c r="K96" i="4"/>
  <c r="K110" i="4"/>
  <c r="E40" i="4" l="1"/>
  <c r="E35" i="4"/>
  <c r="E36" i="4" s="1"/>
  <c r="E41" i="4"/>
  <c r="Z11" i="4"/>
  <c r="G21" i="2"/>
  <c r="D113" i="4"/>
  <c r="J35" i="4"/>
  <c r="J36" i="4" s="1"/>
  <c r="J40" i="4"/>
  <c r="J41" i="4" s="1"/>
  <c r="D202" i="4"/>
  <c r="AI11" i="4"/>
  <c r="AK11" i="4"/>
  <c r="AK5" i="4" s="1"/>
  <c r="Q96" i="4" s="1"/>
  <c r="K97" i="4"/>
  <c r="K95" i="4"/>
  <c r="G109" i="4"/>
  <c r="G111" i="4"/>
  <c r="AL9" i="4"/>
  <c r="AI9" i="4"/>
  <c r="M41" i="4" l="1"/>
  <c r="F122" i="4"/>
  <c r="N127" i="4" s="1"/>
  <c r="G122" i="4"/>
  <c r="O127" i="4" s="1"/>
  <c r="H122" i="4"/>
  <c r="P127" i="4" s="1"/>
  <c r="I122" i="4"/>
  <c r="J122" i="4"/>
  <c r="K122" i="4"/>
  <c r="E122" i="4"/>
  <c r="M127" i="4" s="1"/>
  <c r="P131" i="4"/>
  <c r="N131" i="4"/>
  <c r="O131" i="4"/>
  <c r="Q131" i="4"/>
  <c r="R131" i="4"/>
  <c r="K98" i="4"/>
  <c r="K99" i="4" s="1"/>
  <c r="AK8" i="4"/>
  <c r="Q98" i="4" s="1"/>
  <c r="Q104" i="4" s="1"/>
  <c r="Q100" i="4"/>
  <c r="AK9" i="4"/>
  <c r="AK7" i="4"/>
  <c r="AK10" i="4"/>
  <c r="Q99" i="4" s="1"/>
  <c r="Q103" i="4" s="1"/>
  <c r="AK6" i="4"/>
  <c r="Q97" i="4" s="1"/>
  <c r="K102" i="4"/>
  <c r="K101" i="4"/>
  <c r="K104" i="4"/>
  <c r="K103" i="4"/>
  <c r="K105" i="4"/>
  <c r="K100" i="4"/>
  <c r="F198" i="4" l="1"/>
  <c r="Q105" i="4"/>
  <c r="P107" i="4" s="1"/>
  <c r="P111" i="4" s="1"/>
  <c r="E116" i="4" s="1"/>
  <c r="E117" i="4" s="1"/>
  <c r="K106" i="4"/>
  <c r="E118" i="4"/>
  <c r="Q33" i="4" l="1"/>
  <c r="E119" i="4"/>
  <c r="E191" i="4" l="1"/>
  <c r="H208" i="4" s="1"/>
  <c r="E120" i="4"/>
  <c r="E121" i="4" s="1"/>
  <c r="E194" i="4"/>
  <c r="K208" i="4" s="1"/>
  <c r="F116" i="4"/>
  <c r="F117" i="4" s="1"/>
  <c r="F118" i="4"/>
  <c r="F194" i="4" l="1"/>
  <c r="K209" i="4" s="1"/>
  <c r="E127" i="4"/>
  <c r="E130" i="4"/>
  <c r="E129" i="4"/>
  <c r="F119" i="4"/>
  <c r="G116" i="4" l="1"/>
  <c r="F120" i="4"/>
  <c r="F127" i="4" s="1"/>
  <c r="F191" i="4"/>
  <c r="H209" i="4" s="1"/>
  <c r="E135" i="4"/>
  <c r="E132" i="4"/>
  <c r="E162" i="4"/>
  <c r="E156" i="4"/>
  <c r="E131" i="4"/>
  <c r="F129" i="4"/>
  <c r="F130" i="4"/>
  <c r="G118" i="4"/>
  <c r="F135" i="4" l="1"/>
  <c r="F131" i="4"/>
  <c r="F132" i="4"/>
  <c r="F162" i="4"/>
  <c r="J195" i="4"/>
  <c r="E158" i="4"/>
  <c r="E165" i="4" s="1"/>
  <c r="E157" i="4"/>
  <c r="E164" i="4" s="1"/>
  <c r="G117" i="4"/>
  <c r="H116" i="4" s="1"/>
  <c r="H117" i="4" s="1"/>
  <c r="I116" i="4" s="1"/>
  <c r="F121" i="4"/>
  <c r="E141" i="4"/>
  <c r="E139" i="4"/>
  <c r="E138" i="4"/>
  <c r="F156" i="4"/>
  <c r="H118" i="4"/>
  <c r="G119" i="4"/>
  <c r="I118" i="4"/>
  <c r="F138" i="4" l="1"/>
  <c r="F139" i="4"/>
  <c r="F141" i="4"/>
  <c r="I195" i="4"/>
  <c r="I117" i="4"/>
  <c r="G191" i="4"/>
  <c r="H210" i="4" s="1"/>
  <c r="G120" i="4"/>
  <c r="G194" i="4"/>
  <c r="K210" i="4" s="1"/>
  <c r="H194" i="4"/>
  <c r="K211" i="4" s="1"/>
  <c r="F157" i="4"/>
  <c r="F164" i="4" s="1"/>
  <c r="F158" i="4"/>
  <c r="F165" i="4" s="1"/>
  <c r="E143" i="4"/>
  <c r="E142" i="4"/>
  <c r="H119" i="4"/>
  <c r="I119" i="4"/>
  <c r="G121" i="4" l="1"/>
  <c r="G127" i="4"/>
  <c r="F142" i="4"/>
  <c r="F143" i="4"/>
  <c r="I191" i="4"/>
  <c r="G213" i="4" s="1"/>
  <c r="J116" i="4"/>
  <c r="I194" i="4"/>
  <c r="J213" i="4" s="1"/>
  <c r="M213" i="4" s="1"/>
  <c r="K213" i="4"/>
  <c r="J214" i="4"/>
  <c r="M214" i="4" s="1"/>
  <c r="F212" i="4"/>
  <c r="I120" i="4"/>
  <c r="I127" i="4" s="1"/>
  <c r="P115" i="4"/>
  <c r="P118" i="4" s="1"/>
  <c r="H191" i="4"/>
  <c r="H211" i="4" s="1"/>
  <c r="H120" i="4"/>
  <c r="H127" i="4" s="1"/>
  <c r="E144" i="4"/>
  <c r="H130" i="4"/>
  <c r="J118" i="4"/>
  <c r="I130" i="4"/>
  <c r="I129" i="4"/>
  <c r="H129" i="4"/>
  <c r="G130" i="4"/>
  <c r="G129" i="4"/>
  <c r="I135" i="4" l="1"/>
  <c r="H135" i="4"/>
  <c r="G135" i="4"/>
  <c r="I132" i="4"/>
  <c r="I131" i="4"/>
  <c r="I162" i="4"/>
  <c r="F144" i="4"/>
  <c r="H132" i="4"/>
  <c r="H131" i="4"/>
  <c r="H162" i="4"/>
  <c r="G131" i="4"/>
  <c r="G138" i="4" s="1"/>
  <c r="G162" i="4"/>
  <c r="G132" i="4"/>
  <c r="H212" i="4"/>
  <c r="I214" i="4"/>
  <c r="L214" i="4" s="1"/>
  <c r="K212" i="4"/>
  <c r="J117" i="4"/>
  <c r="K116" i="4" s="1"/>
  <c r="I121" i="4"/>
  <c r="G156" i="4"/>
  <c r="H121" i="4"/>
  <c r="H156" i="4"/>
  <c r="H157" i="4" s="1"/>
  <c r="H164" i="4" s="1"/>
  <c r="J119" i="4"/>
  <c r="P117" i="4"/>
  <c r="K118" i="4"/>
  <c r="G139" i="4" l="1"/>
  <c r="H141" i="4"/>
  <c r="H138" i="4"/>
  <c r="H139" i="4"/>
  <c r="I139" i="4"/>
  <c r="I138" i="4"/>
  <c r="G141" i="4"/>
  <c r="I141" i="4"/>
  <c r="K117" i="4"/>
  <c r="K194" i="4" s="1"/>
  <c r="J191" i="4"/>
  <c r="J120" i="4"/>
  <c r="J194" i="4"/>
  <c r="I156" i="4"/>
  <c r="H158" i="4"/>
  <c r="H165" i="4" s="1"/>
  <c r="G158" i="4"/>
  <c r="G165" i="4" s="1"/>
  <c r="G157" i="4"/>
  <c r="G164" i="4" s="1"/>
  <c r="K119" i="4"/>
  <c r="K191" i="4" l="1"/>
  <c r="J121" i="4"/>
  <c r="J127" i="4"/>
  <c r="G143" i="4"/>
  <c r="G142" i="4"/>
  <c r="I143" i="4"/>
  <c r="I142" i="4"/>
  <c r="H142" i="4"/>
  <c r="H143" i="4"/>
  <c r="K120" i="4"/>
  <c r="K127" i="4" s="1"/>
  <c r="I157" i="4"/>
  <c r="I164" i="4" s="1"/>
  <c r="I158" i="4"/>
  <c r="I165" i="4" s="1"/>
  <c r="Q114" i="4"/>
  <c r="P121" i="4"/>
  <c r="P119" i="4" s="1"/>
  <c r="J130" i="4"/>
  <c r="K130" i="4"/>
  <c r="K129" i="4"/>
  <c r="J129" i="4"/>
  <c r="G144" i="4" l="1"/>
  <c r="I144" i="4"/>
  <c r="K135" i="4"/>
  <c r="J135" i="4"/>
  <c r="H144" i="4"/>
  <c r="K131" i="4"/>
  <c r="K132" i="4"/>
  <c r="K156" i="4"/>
  <c r="K162" i="4"/>
  <c r="J131" i="4"/>
  <c r="J132" i="4"/>
  <c r="J162" i="4"/>
  <c r="K121" i="4"/>
  <c r="J156" i="4"/>
  <c r="J141" i="4" l="1"/>
  <c r="K158" i="4"/>
  <c r="K165" i="4" s="1"/>
  <c r="K157" i="4"/>
  <c r="K164" i="4" s="1"/>
  <c r="K139" i="4"/>
  <c r="K138" i="4"/>
  <c r="J138" i="4"/>
  <c r="J139" i="4"/>
  <c r="K141" i="4"/>
  <c r="J158" i="4"/>
  <c r="J165" i="4" s="1"/>
  <c r="J157" i="4"/>
  <c r="J164" i="4" s="1"/>
  <c r="J143" i="4" l="1"/>
  <c r="K143" i="4"/>
  <c r="K142" i="4"/>
  <c r="J142" i="4"/>
  <c r="J77" i="4"/>
  <c r="J144" i="4" l="1"/>
  <c r="K144" i="4"/>
  <c r="K77" i="4"/>
  <c r="D212" i="4"/>
  <c r="I189" i="4"/>
  <c r="J84" i="4"/>
  <c r="J80" i="4"/>
  <c r="D213" i="4" s="1"/>
  <c r="J82" i="4"/>
  <c r="J85" i="4"/>
  <c r="J83" i="4"/>
  <c r="J88" i="4"/>
  <c r="K79" i="4"/>
  <c r="K80" i="4" l="1"/>
  <c r="K84" i="4"/>
  <c r="J189" i="4"/>
  <c r="I196" i="4"/>
  <c r="D211" i="4"/>
  <c r="H189" i="4"/>
  <c r="I84" i="4"/>
  <c r="K82" i="4"/>
  <c r="K83" i="4"/>
  <c r="K85" i="4"/>
  <c r="J89" i="4"/>
  <c r="K88" i="4"/>
  <c r="J136" i="4" l="1"/>
  <c r="J137" i="4" s="1"/>
  <c r="J163" i="4"/>
  <c r="J196" i="4"/>
  <c r="K214" i="4"/>
  <c r="E212" i="4"/>
  <c r="F213" i="4"/>
  <c r="K89" i="4"/>
  <c r="K136" i="4" l="1"/>
  <c r="J177" i="4"/>
  <c r="J175" i="4"/>
  <c r="J176" i="4"/>
  <c r="J145" i="4"/>
  <c r="J147" i="4" s="1"/>
  <c r="J150" i="4" s="1"/>
  <c r="J146" i="4"/>
  <c r="J178" i="4" l="1"/>
  <c r="J193" i="4" s="1"/>
  <c r="K137" i="4"/>
  <c r="K163" i="4"/>
  <c r="J152" i="4"/>
  <c r="J192" i="4" s="1"/>
  <c r="J151" i="4"/>
  <c r="K177" i="4" l="1"/>
  <c r="K176" i="4"/>
  <c r="K175" i="4"/>
  <c r="K145" i="4"/>
  <c r="K147" i="4" s="1"/>
  <c r="K150" i="4" s="1"/>
  <c r="K146" i="4"/>
  <c r="J180" i="4"/>
  <c r="J190" i="4" s="1"/>
  <c r="K178" i="4" l="1"/>
  <c r="K193" i="4" s="1"/>
  <c r="K152" i="4"/>
  <c r="K192" i="4" s="1"/>
  <c r="K151" i="4"/>
  <c r="J182" i="4"/>
  <c r="I76" i="4"/>
  <c r="K180" i="4" l="1"/>
  <c r="K182" i="4" s="1"/>
  <c r="I90" i="4"/>
  <c r="I77" i="4"/>
  <c r="H78" i="4"/>
  <c r="H75" i="4"/>
  <c r="H76" i="4"/>
  <c r="K190" i="4" l="1"/>
  <c r="H90" i="4"/>
  <c r="H195" i="4"/>
  <c r="F211" i="4" s="1"/>
  <c r="G78" i="4"/>
  <c r="H77" i="4"/>
  <c r="I83" i="4"/>
  <c r="I82" i="4"/>
  <c r="I80" i="4"/>
  <c r="I85" i="4"/>
  <c r="G75" i="4"/>
  <c r="I88" i="4"/>
  <c r="H79" i="4"/>
  <c r="G76" i="4"/>
  <c r="G90" i="4" l="1"/>
  <c r="F75" i="4"/>
  <c r="G77" i="4"/>
  <c r="H196" i="4"/>
  <c r="E211" i="4" s="1"/>
  <c r="H80" i="4"/>
  <c r="H84" i="4"/>
  <c r="D210" i="4"/>
  <c r="G189" i="4"/>
  <c r="F195" i="4"/>
  <c r="F209" i="4" s="1"/>
  <c r="F78" i="4"/>
  <c r="H82" i="4"/>
  <c r="H83" i="4"/>
  <c r="H85" i="4"/>
  <c r="G195" i="4"/>
  <c r="F210" i="4" s="1"/>
  <c r="I89" i="4"/>
  <c r="H88" i="4"/>
  <c r="H89" i="4"/>
  <c r="G79" i="4"/>
  <c r="F76" i="4" s="1"/>
  <c r="I136" i="4" l="1"/>
  <c r="I137" i="4"/>
  <c r="I163" i="4"/>
  <c r="H136" i="4"/>
  <c r="F90" i="4"/>
  <c r="E75" i="4"/>
  <c r="G196" i="4"/>
  <c r="E210" i="4" s="1"/>
  <c r="F189" i="4"/>
  <c r="G84" i="4"/>
  <c r="G80" i="4"/>
  <c r="D209" i="4"/>
  <c r="E78" i="4"/>
  <c r="F77" i="4"/>
  <c r="G85" i="4"/>
  <c r="G82" i="4"/>
  <c r="G83" i="4"/>
  <c r="F79" i="4"/>
  <c r="G88" i="4"/>
  <c r="G89" i="4" s="1"/>
  <c r="E76" i="4"/>
  <c r="I177" i="4" l="1"/>
  <c r="I175" i="4"/>
  <c r="I176" i="4"/>
  <c r="I146" i="4"/>
  <c r="I145" i="4"/>
  <c r="I147" i="4" s="1"/>
  <c r="I150" i="4" s="1"/>
  <c r="H137" i="4"/>
  <c r="H163" i="4"/>
  <c r="G136" i="4"/>
  <c r="F196" i="4"/>
  <c r="E209" i="4" s="1"/>
  <c r="F84" i="4"/>
  <c r="F80" i="4"/>
  <c r="E77" i="4"/>
  <c r="F83" i="4"/>
  <c r="F85" i="4"/>
  <c r="F82" i="4"/>
  <c r="E90" i="4"/>
  <c r="E195" i="4"/>
  <c r="F208" i="4" s="1"/>
  <c r="F88" i="4"/>
  <c r="E79" i="4"/>
  <c r="I178" i="4" l="1"/>
  <c r="I193" i="4" s="1"/>
  <c r="I151" i="4"/>
  <c r="I152" i="4"/>
  <c r="I192" i="4" s="1"/>
  <c r="H175" i="4"/>
  <c r="H177" i="4"/>
  <c r="H176" i="4"/>
  <c r="H145" i="4"/>
  <c r="H147" i="4" s="1"/>
  <c r="H150" i="4" s="1"/>
  <c r="H146" i="4"/>
  <c r="G137" i="4"/>
  <c r="G163" i="4"/>
  <c r="E84" i="4"/>
  <c r="E80" i="4"/>
  <c r="D208" i="4"/>
  <c r="E189" i="4"/>
  <c r="E82" i="4"/>
  <c r="E85" i="4"/>
  <c r="E83" i="4"/>
  <c r="E88" i="4"/>
  <c r="F89" i="4"/>
  <c r="F136" i="4" l="1"/>
  <c r="H178" i="4"/>
  <c r="H193" i="4" s="1"/>
  <c r="J211" i="4" s="1"/>
  <c r="M211" i="4" s="1"/>
  <c r="I212" i="4"/>
  <c r="L212" i="4" s="1"/>
  <c r="H213" i="4"/>
  <c r="G214" i="4"/>
  <c r="I180" i="4"/>
  <c r="J212" i="4"/>
  <c r="M212" i="4" s="1"/>
  <c r="I213" i="4"/>
  <c r="L213" i="4" s="1"/>
  <c r="H214" i="4"/>
  <c r="H151" i="4"/>
  <c r="H152" i="4"/>
  <c r="G177" i="4"/>
  <c r="G175" i="4"/>
  <c r="G176" i="4"/>
  <c r="G145" i="4"/>
  <c r="G147" i="4" s="1"/>
  <c r="G150" i="4" s="1"/>
  <c r="G146" i="4"/>
  <c r="F137" i="4"/>
  <c r="F163" i="4"/>
  <c r="E196" i="4"/>
  <c r="E208" i="4" s="1"/>
  <c r="E89" i="4"/>
  <c r="E136" i="4" l="1"/>
  <c r="G178" i="4"/>
  <c r="G193" i="4" s="1"/>
  <c r="J210" i="4" s="1"/>
  <c r="M210" i="4" s="1"/>
  <c r="I182" i="4"/>
  <c r="I190" i="4"/>
  <c r="G212" i="4" s="1"/>
  <c r="H192" i="4"/>
  <c r="I211" i="4" s="1"/>
  <c r="L211" i="4" s="1"/>
  <c r="H180" i="4"/>
  <c r="G152" i="4"/>
  <c r="G151" i="4"/>
  <c r="F177" i="4"/>
  <c r="F176" i="4"/>
  <c r="F175" i="4"/>
  <c r="F146" i="4"/>
  <c r="F145" i="4"/>
  <c r="F147" i="4" s="1"/>
  <c r="F150" i="4" s="1"/>
  <c r="E163" i="4"/>
  <c r="E137" i="4"/>
  <c r="H190" i="4" l="1"/>
  <c r="G211" i="4" s="1"/>
  <c r="H182" i="4"/>
  <c r="F178" i="4"/>
  <c r="F193" i="4" s="1"/>
  <c r="J209" i="4" s="1"/>
  <c r="M209" i="4" s="1"/>
  <c r="G192" i="4"/>
  <c r="I210" i="4" s="1"/>
  <c r="L210" i="4" s="1"/>
  <c r="G180" i="4"/>
  <c r="F151" i="4"/>
  <c r="F152" i="4"/>
  <c r="F192" i="4" s="1"/>
  <c r="I209" i="4" s="1"/>
  <c r="L209" i="4" s="1"/>
  <c r="E146" i="4"/>
  <c r="E145" i="4"/>
  <c r="E147" i="4" s="1"/>
  <c r="E150" i="4" s="1"/>
  <c r="E175" i="4"/>
  <c r="E177" i="4"/>
  <c r="E176" i="4"/>
  <c r="F180" i="4" l="1"/>
  <c r="G190" i="4"/>
  <c r="G210" i="4" s="1"/>
  <c r="G182" i="4"/>
  <c r="E178" i="4"/>
  <c r="E193" i="4" s="1"/>
  <c r="J208" i="4" s="1"/>
  <c r="M208" i="4" s="1"/>
  <c r="E151" i="4"/>
  <c r="E152" i="4"/>
  <c r="E192" i="4" s="1"/>
  <c r="I208" i="4" s="1"/>
  <c r="L208" i="4" s="1"/>
  <c r="F182" i="4"/>
  <c r="F190" i="4"/>
  <c r="G209" i="4" s="1"/>
  <c r="E180" i="4" l="1"/>
  <c r="M180" i="4" s="1"/>
  <c r="E190" i="4" l="1"/>
  <c r="G208" i="4" s="1"/>
  <c r="E182" i="4"/>
  <c r="M182" i="4" s="1"/>
  <c r="E202" i="4"/>
  <c r="P122" i="4"/>
  <c r="D201" i="4"/>
  <c r="M47" i="2"/>
  <c r="L46" i="2"/>
  <c r="L47" i="2"/>
  <c r="K46" i="2"/>
  <c r="K47" i="2"/>
  <c r="J46" i="2"/>
  <c r="J47" i="2"/>
  <c r="I46" i="2"/>
  <c r="I47" i="2"/>
  <c r="J48" i="2"/>
  <c r="J50" i="2"/>
  <c r="J55" i="2"/>
  <c r="J54" i="2"/>
  <c r="J57" i="2"/>
  <c r="J58" i="2" s="1"/>
  <c r="J56" i="2"/>
  <c r="J51" i="2"/>
  <c r="J52" i="2"/>
  <c r="J53" i="2" s="1"/>
  <c r="I48" i="2"/>
  <c r="I51" i="2"/>
  <c r="I52" i="2"/>
  <c r="I53" i="2" s="1"/>
  <c r="N57" i="2"/>
  <c r="N58" i="2"/>
  <c r="N52" i="2"/>
  <c r="N53" i="2"/>
  <c r="M48" i="2"/>
  <c r="M51" i="2"/>
  <c r="M52" i="2"/>
  <c r="M53" i="2"/>
  <c r="M50" i="2"/>
  <c r="M55" i="2"/>
  <c r="M57" i="2"/>
  <c r="M58" i="2"/>
  <c r="K48" i="2"/>
  <c r="K51" i="2"/>
  <c r="K52" i="2"/>
  <c r="K53" i="2"/>
  <c r="K50" i="2"/>
  <c r="K55" i="2"/>
  <c r="K54" i="2"/>
  <c r="K57" i="2"/>
  <c r="K58" i="2" s="1"/>
  <c r="K56" i="2"/>
  <c r="L48" i="2"/>
  <c r="L50" i="2"/>
  <c r="L55" i="2"/>
  <c r="L54" i="2"/>
  <c r="L57" i="2"/>
  <c r="L58" i="2" s="1"/>
  <c r="L56" i="2"/>
  <c r="L51" i="2"/>
  <c r="L52" i="2"/>
  <c r="L53" i="2"/>
  <c r="I50" i="2"/>
  <c r="I55" i="2"/>
  <c r="I57" i="2"/>
  <c r="I58" i="2"/>
  <c r="M75" i="2" l="1"/>
</calcChain>
</file>

<file path=xl/sharedStrings.xml><?xml version="1.0" encoding="utf-8"?>
<sst xmlns="http://schemas.openxmlformats.org/spreadsheetml/2006/main" count="1612" uniqueCount="755">
  <si>
    <t>Datos de Entrada</t>
  </si>
  <si>
    <t>Masas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</si>
  <si>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</si>
  <si>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</si>
  <si>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</si>
  <si>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</si>
  <si>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</si>
  <si>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</si>
  <si>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</si>
  <si>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</si>
  <si>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</si>
  <si>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</si>
  <si>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</si>
  <si>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</si>
  <si>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</si>
  <si>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</si>
  <si>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</si>
  <si>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</si>
  <si>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</si>
  <si>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</si>
  <si>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</si>
  <si>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</si>
  <si>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</si>
  <si>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</si>
  <si>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</si>
  <si>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</si>
  <si>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</si>
  <si>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</si>
  <si>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</si>
  <si>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</si>
  <si>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</si>
  <si>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</si>
  <si>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</si>
  <si>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</si>
  <si>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</si>
  <si>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</si>
  <si>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</si>
  <si>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</si>
  <si>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</si>
  <si>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</si>
  <si>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</si>
  <si>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</si>
  <si>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</si>
  <si>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</si>
  <si>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</si>
  <si>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</si>
  <si>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</si>
  <si>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</si>
  <si>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</si>
  <si>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</si>
  <si>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</si>
  <si>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</si>
  <si>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</si>
  <si>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</si>
  <si>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</si>
  <si>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</si>
  <si>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</si>
  <si>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</si>
  <si>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</si>
  <si>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</si>
  <si>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</si>
  <si>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</si>
  <si>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</si>
  <si>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</si>
  <si>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</si>
  <si>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</si>
  <si>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</si>
  <si>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</si>
  <si>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</si>
  <si>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</si>
  <si>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</si>
  <si>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</si>
  <si>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</si>
  <si>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</si>
  <si>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</si>
  <si>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</si>
  <si>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</si>
  <si>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</si>
  <si>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Paila N°</t>
  </si>
  <si>
    <t>Npa</t>
  </si>
  <si>
    <t>Orden del flujo</t>
  </si>
  <si>
    <t>Orf</t>
  </si>
  <si>
    <t>Tipo de Paila</t>
  </si>
  <si>
    <t>TpPA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</si>
  <si>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</si>
  <si>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</si>
  <si>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</si>
  <si>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</si>
  <si>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</si>
  <si>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</si>
  <si>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</si>
  <si>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</si>
  <si>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</si>
  <si>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</si>
  <si>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</si>
  <si>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</si>
  <si>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</si>
  <si>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</si>
  <si>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</si>
  <si>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</si>
  <si>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</si>
  <si>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</si>
  <si>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</si>
  <si>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</si>
  <si>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</si>
  <si>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</si>
  <si>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</si>
  <si>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</si>
  <si>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</si>
  <si>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</si>
  <si>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</si>
  <si>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</si>
  <si>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</si>
  <si>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</si>
  <si>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</si>
  <si>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</si>
  <si>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</si>
  <si>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</si>
  <si>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</si>
  <si>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</si>
  <si>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</si>
  <si>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</si>
  <si>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</si>
  <si>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</si>
  <si>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</si>
  <si>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</si>
  <si>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</si>
  <si>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</si>
  <si>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</si>
  <si>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</si>
  <si>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</si>
  <si>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</si>
  <si>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</si>
  <si>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</si>
  <si>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</si>
  <si>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</si>
  <si>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</si>
  <si>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</si>
  <si>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</si>
  <si>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</si>
  <si>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</si>
  <si>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</si>
  <si>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</si>
  <si>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</si>
  <si>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</si>
  <si>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</si>
  <si>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</si>
  <si>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</si>
  <si>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</si>
  <si>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</si>
  <si>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</si>
  <si>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</si>
  <si>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</si>
  <si>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</si>
  <si>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</si>
  <si>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</si>
  <si>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</si>
  <si>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</si>
  <si>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</si>
  <si>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</si>
  <si>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</si>
  <si>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</si>
  <si>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</si>
  <si>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</si>
  <si>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</si>
  <si>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</si>
  <si>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</si>
  <si>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</si>
  <si>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</si>
  <si>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</si>
  <si>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</si>
  <si>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</si>
  <si>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</si>
  <si>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</si>
  <si>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</si>
  <si>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</si>
  <si>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</si>
  <si>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</si>
  <si>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</si>
  <si>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</si>
  <si>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</si>
  <si>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</si>
  <si>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</si>
  <si>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</si>
  <si>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</si>
  <si>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</si>
  <si>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</si>
  <si>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</si>
  <si>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</si>
  <si>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</si>
  <si>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</si>
  <si>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</si>
  <si>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</si>
  <si>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</si>
  <si>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</si>
  <si>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</si>
  <si>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</si>
  <si>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</si>
  <si>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</si>
  <si>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</si>
  <si>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</si>
  <si>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</si>
  <si>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</si>
  <si>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</si>
  <si>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</si>
  <si>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</si>
  <si>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</si>
  <si>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</si>
  <si>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</si>
  <si>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</si>
  <si>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</si>
  <si>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</si>
  <si>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</si>
  <si>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</si>
  <si>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</si>
  <si>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</si>
  <si>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</si>
  <si>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</si>
  <si>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</si>
  <si>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</si>
  <si>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</si>
  <si>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</si>
  <si>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</si>
  <si>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</si>
  <si>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</si>
  <si>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</si>
  <si>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</si>
  <si>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</si>
  <si>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</si>
  <si>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</si>
  <si>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</si>
  <si>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</si>
  <si>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</si>
  <si>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</si>
  <si>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</si>
  <si>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</si>
  <si>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</si>
  <si>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</si>
  <si>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</si>
  <si>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</si>
  <si>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</si>
  <si>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</si>
  <si>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</si>
  <si>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</si>
  <si>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</si>
  <si>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</si>
  <si>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</si>
  <si>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</si>
  <si>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</si>
  <si>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</si>
  <si>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</si>
  <si>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</si>
  <si>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</si>
  <si>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</si>
  <si>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</si>
  <si>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</si>
  <si>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</si>
  <si>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</si>
  <si>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</si>
  <si>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</si>
  <si>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</si>
  <si>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</si>
  <si>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</si>
  <si>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</si>
  <si>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</si>
  <si>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</si>
  <si>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</si>
  <si>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</si>
  <si>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</si>
  <si>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</si>
  <si>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</si>
  <si>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</si>
  <si>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</si>
  <si>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</si>
  <si>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</si>
  <si>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</si>
  <si>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</si>
  <si>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</si>
  <si>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</si>
  <si>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</si>
  <si>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</si>
  <si>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</si>
  <si>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</si>
  <si>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</si>
  <si>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</si>
  <si>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</si>
  <si>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</si>
  <si>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</si>
  <si>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</si>
  <si>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</si>
  <si>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</si>
  <si>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</si>
  <si>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</si>
  <si>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</si>
  <si>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</si>
  <si>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</si>
  <si>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</si>
  <si>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</si>
  <si>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</si>
  <si>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</si>
  <si>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</si>
  <si>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</si>
  <si>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</si>
  <si>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</si>
  <si>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</si>
  <si>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</si>
  <si>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</si>
  <si>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</si>
  <si>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</si>
  <si>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</si>
  <si>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</si>
  <si>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</si>
  <si>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</si>
  <si>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</si>
  <si>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</si>
  <si>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</si>
  <si>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</si>
  <si>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</si>
  <si>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</si>
  <si>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</si>
  <si>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</si>
  <si>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</si>
  <si>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</si>
  <si>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</si>
  <si>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</si>
  <si>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</si>
  <si>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</si>
  <si>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</si>
  <si>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</si>
  <si>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</si>
  <si>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</si>
  <si>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</si>
  <si>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</si>
  <si>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</si>
  <si>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</si>
  <si>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</si>
  <si>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</si>
  <si>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</si>
  <si>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</si>
  <si>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</si>
  <si>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</si>
  <si>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</si>
  <si>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</si>
  <si>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</si>
  <si>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</si>
  <si>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</si>
  <si>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</si>
  <si>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</si>
  <si>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Calor por Radiación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</si>
  <si>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</si>
  <si>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</si>
  <si>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</si>
  <si>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</si>
  <si>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</si>
  <si>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</si>
  <si>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</si>
  <si>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</si>
  <si>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</si>
  <si>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</si>
  <si>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</si>
  <si>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</si>
  <si>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</si>
  <si>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</si>
  <si>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</si>
  <si>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</si>
  <si>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</si>
  <si>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</si>
  <si>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</si>
  <si>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</si>
  <si>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</si>
  <si>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</si>
  <si>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</si>
  <si>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</si>
  <si>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</si>
  <si>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</si>
  <si>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</si>
  <si>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</si>
  <si>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</si>
  <si>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</si>
  <si>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</si>
  <si>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</si>
  <si>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</si>
  <si>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</si>
  <si>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</si>
  <si>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</si>
  <si>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</si>
  <si>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</si>
  <si>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</si>
  <si>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</si>
  <si>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</si>
  <si>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</si>
  <si>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</si>
  <si>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</si>
  <si>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</si>
  <si>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</si>
  <si>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</si>
  <si>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</si>
  <si>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</si>
  <si>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</si>
  <si>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</si>
  <si>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</si>
  <si>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</si>
  <si>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</si>
  <si>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</si>
  <si>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</si>
  <si>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</si>
  <si>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</si>
  <si>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</si>
  <si>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</si>
  <si>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</si>
  <si>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</si>
  <si>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</si>
  <si>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</si>
  <si>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</si>
  <si>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</si>
  <si>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</si>
  <si>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</si>
  <si>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</si>
  <si>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</si>
  <si>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</si>
  <si>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</si>
  <si>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</si>
  <si>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</si>
  <si>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</si>
  <si>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</si>
  <si>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</si>
  <si>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</si>
  <si>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</si>
  <si>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</si>
  <si>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</si>
  <si>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</si>
  <si>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</si>
  <si>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</si>
  <si>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</si>
  <si>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</si>
  <si>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</si>
  <si>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</si>
  <si>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</si>
  <si>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</si>
  <si>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</si>
  <si>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</si>
  <si>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</si>
  <si>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</si>
  <si>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</si>
  <si>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</si>
  <si>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</si>
  <si>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</si>
  <si>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</si>
  <si>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m2</t>
  </si>
  <si>
    <t>m3</t>
  </si>
  <si>
    <t>Volumen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</si>
  <si>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</si>
  <si>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</si>
  <si>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</si>
  <si>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</si>
  <si>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</si>
  <si>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</si>
  <si>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</si>
  <si>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</si>
  <si>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t>A2</t>
  </si>
  <si>
    <t>x</t>
  </si>
  <si>
    <t>h fa</t>
  </si>
  <si>
    <t>R</t>
  </si>
  <si>
    <t>A1</t>
  </si>
  <si>
    <t xml:space="preserve">A 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</si>
  <si>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</si>
  <si>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</si>
  <si>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</si>
  <si>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</si>
  <si>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</si>
  <si>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</si>
  <si>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</si>
  <si>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</si>
  <si>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Semiesferica</t>
  </si>
  <si>
    <t>Tip P</t>
  </si>
  <si>
    <t>Orfg</t>
  </si>
  <si>
    <t>Orsde según Flujo de Gas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</si>
  <si>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</si>
  <si>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</si>
  <si>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</si>
  <si>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</si>
  <si>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</si>
  <si>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</si>
  <si>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</si>
  <si>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</si>
  <si>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</si>
  <si>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</si>
  <si>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</si>
  <si>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</si>
  <si>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</si>
  <si>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</si>
  <si>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</si>
  <si>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</si>
  <si>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</si>
  <si>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</si>
  <si>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</si>
  <si>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</si>
  <si>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</si>
  <si>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</si>
  <si>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</si>
  <si>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</si>
  <si>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</si>
  <si>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</si>
  <si>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</si>
  <si>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</si>
  <si>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</si>
  <si>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</si>
  <si>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</si>
  <si>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Transporte</t>
  </si>
  <si>
    <t xml:space="preserve">Cosecha </t>
  </si>
  <si>
    <t>Alimentacion de Caña</t>
  </si>
  <si>
    <t>Alimentacion de Bagazo</t>
  </si>
  <si>
    <t>Producto</t>
  </si>
  <si>
    <t>Calor por Convección</t>
  </si>
  <si>
    <t>Diseño Inicial</t>
  </si>
  <si>
    <t>Geometrias Basdas en Diseño Inicial</t>
  </si>
  <si>
    <t>Observación</t>
  </si>
  <si>
    <t>Energia Total Por Etapa</t>
  </si>
  <si>
    <t>Area Paredes Radiación</t>
  </si>
  <si>
    <t>Area Piso Radiación</t>
  </si>
  <si>
    <t>NA</t>
  </si>
  <si>
    <t>m²</t>
  </si>
  <si>
    <t>Area Paredes Piso y TechoPara Perdidas</t>
  </si>
  <si>
    <t>Area Chimenea</t>
  </si>
  <si>
    <t>Area Total</t>
  </si>
  <si>
    <t>Calor Especifico  jugo</t>
  </si>
  <si>
    <t>F1-2</t>
  </si>
  <si>
    <t>F1-3</t>
  </si>
  <si>
    <t>F1-4</t>
  </si>
  <si>
    <t>F1-5</t>
  </si>
  <si>
    <t>F1-6</t>
  </si>
  <si>
    <t>F1-1</t>
  </si>
  <si>
    <t>F2-1</t>
  </si>
  <si>
    <t>F2-2</t>
  </si>
  <si>
    <t>F2-3</t>
  </si>
  <si>
    <t>F2-4</t>
  </si>
  <si>
    <t>F2-5</t>
  </si>
  <si>
    <t>F2-6</t>
  </si>
  <si>
    <t>F3-1</t>
  </si>
  <si>
    <t>F3-2</t>
  </si>
  <si>
    <t>F4-1</t>
  </si>
  <si>
    <t>F5-1</t>
  </si>
  <si>
    <t>F6-1</t>
  </si>
  <si>
    <t>F3-3</t>
  </si>
  <si>
    <t>F3-4</t>
  </si>
  <si>
    <t>F3-5</t>
  </si>
  <si>
    <t>F3-6</t>
  </si>
  <si>
    <t>F4-2</t>
  </si>
  <si>
    <t>F4-3</t>
  </si>
  <si>
    <t>F4-4</t>
  </si>
  <si>
    <t>F4-5</t>
  </si>
  <si>
    <t>F4-6</t>
  </si>
  <si>
    <t>F5-2</t>
  </si>
  <si>
    <t>F5-3</t>
  </si>
  <si>
    <t>F5-4</t>
  </si>
  <si>
    <t>F5-5</t>
  </si>
  <si>
    <t>F5-6</t>
  </si>
  <si>
    <t>F6-2</t>
  </si>
  <si>
    <t>F6-3</t>
  </si>
  <si>
    <t>F6-4</t>
  </si>
  <si>
    <t>F6-5</t>
  </si>
  <si>
    <t>F6-6</t>
  </si>
  <si>
    <t>Horas al Dia</t>
  </si>
  <si>
    <t>consumo</t>
  </si>
  <si>
    <t>Diesel</t>
  </si>
  <si>
    <t>Potencia</t>
  </si>
  <si>
    <t>Consumo</t>
  </si>
  <si>
    <t>tiempo de Uso</t>
  </si>
  <si>
    <t>Hp</t>
  </si>
  <si>
    <t>L/h</t>
  </si>
  <si>
    <t>Consumo Total</t>
  </si>
  <si>
    <t>Precio Galon Diesel</t>
  </si>
  <si>
    <t>Gastado en la Molienda</t>
  </si>
  <si>
    <t>h/mes</t>
  </si>
  <si>
    <t>L/mes</t>
  </si>
  <si>
    <t>$/gal</t>
  </si>
  <si>
    <t>$/mes</t>
  </si>
  <si>
    <t>Electrico</t>
  </si>
  <si>
    <t>Corriente</t>
  </si>
  <si>
    <t>Precio KWh</t>
  </si>
  <si>
    <t>Consumo Trifasico</t>
  </si>
  <si>
    <t>v</t>
  </si>
  <si>
    <t>Potencia Nomina</t>
  </si>
  <si>
    <t>Eficiencia</t>
  </si>
  <si>
    <t xml:space="preserve">Coseno </t>
  </si>
  <si>
    <t>Tiempo de Uso</t>
  </si>
  <si>
    <t>$/KWh</t>
  </si>
  <si>
    <t>Potencia Activa</t>
  </si>
  <si>
    <t>Potencia Reactiva</t>
  </si>
  <si>
    <t>KVAR</t>
  </si>
  <si>
    <t>KWh</t>
  </si>
  <si>
    <t>Panela</t>
  </si>
  <si>
    <t>Dias de Trabajo</t>
  </si>
  <si>
    <t>Dias</t>
  </si>
  <si>
    <t>Diseño Geometrico Inicial</t>
  </si>
  <si>
    <t>Costo de Cultivo</t>
  </si>
  <si>
    <t>$/Año</t>
  </si>
  <si>
    <t>Precio de Panela</t>
  </si>
  <si>
    <t>$/Kg</t>
  </si>
  <si>
    <t>Costo Operario</t>
  </si>
  <si>
    <t>$</t>
  </si>
  <si>
    <t>Numero de Operarios</t>
  </si>
  <si>
    <t>Otros Insumos</t>
  </si>
  <si>
    <t>Producion Mensual</t>
  </si>
  <si>
    <t>Total Costos</t>
  </si>
  <si>
    <t>U</t>
  </si>
  <si>
    <t>Total Producción</t>
  </si>
  <si>
    <t>Bagazo Almazenado</t>
  </si>
  <si>
    <t>Kg/semana</t>
  </si>
  <si>
    <t>Densidad del Bagazo</t>
  </si>
  <si>
    <t>mp</t>
  </si>
  <si>
    <t>Eff</t>
  </si>
  <si>
    <t>Qsum</t>
  </si>
  <si>
    <t>Calor Necesario</t>
  </si>
  <si>
    <t>kg H2O/kg aire seco</t>
  </si>
  <si>
    <t>Bagazo</t>
  </si>
  <si>
    <t>Cantidad </t>
  </si>
  <si>
    <t>Valor Unitario ($) </t>
  </si>
  <si>
    <t>Valor Total ($) </t>
  </si>
  <si>
    <t>ÍTEM </t>
  </si>
  <si>
    <t>Salario Mensual ($) </t>
  </si>
  <si>
    <t>Ingeniero </t>
  </si>
  <si>
    <t>4,449917055932E+09 mm^3 (Relative Error = 0,020578%)</t>
  </si>
  <si>
    <t xml:space="preserve">Dimensiones </t>
  </si>
  <si>
    <t>Ladrillo</t>
  </si>
  <si>
    <t>Item</t>
  </si>
  <si>
    <t>Cantidad</t>
  </si>
  <si>
    <t>Nombre</t>
  </si>
  <si>
    <t>Valor unitario</t>
  </si>
  <si>
    <t>Tubo sanitario acero inoxidable 3"</t>
  </si>
  <si>
    <t>Codos sanitarios 3" acero inoxidable</t>
  </si>
  <si>
    <t>Válvula de bola 2 1/2" acero inoxidable</t>
  </si>
  <si>
    <t>ferula sanitaria 3" acero inoxidable</t>
  </si>
  <si>
    <t>Abrazadera sanitaria 3" acero inoxidable</t>
  </si>
  <si>
    <t>Empaque de silicona alta temperatura 3"</t>
  </si>
  <si>
    <t>Paila planna aleteada Curva</t>
  </si>
  <si>
    <t>Paila Evaporadora Plana</t>
  </si>
  <si>
    <t>Total Costruccion Hornilla</t>
  </si>
  <si>
    <t>Prelimpiador</t>
  </si>
  <si>
    <t>tanque recibidor</t>
  </si>
  <si>
    <t>Ladrillos Ducto</t>
  </si>
  <si>
    <t>Pegante</t>
  </si>
  <si>
    <t>Molino el Panelero R2-s con motor</t>
  </si>
  <si>
    <t>Molino</t>
  </si>
  <si>
    <t>Ducto</t>
  </si>
  <si>
    <t>Total Costos Operativos de cosntruccion</t>
  </si>
  <si>
    <t>Maestro de obra</t>
  </si>
  <si>
    <t>costos Operarios de Construccion Construccion</t>
  </si>
  <si>
    <t>Costos otras Areas</t>
  </si>
  <si>
    <t>Bloque 40x11,5x23 (0,06 m2 / ladrillo)</t>
  </si>
  <si>
    <t>Cemento (Bulto de 50 kg)</t>
  </si>
  <si>
    <t>Arena (m3)</t>
  </si>
  <si>
    <t>Mano de obra</t>
  </si>
  <si>
    <t xml:space="preserve">Angulo 1 1/2" x 3/16" x 6 metros </t>
  </si>
  <si>
    <t>Platina 1 1/2" x 3/16"</t>
  </si>
  <si>
    <t>Malla galvanizada electrosoldada recubierta en PVC calibre 16, abertura de 1/4". Altura de 1.2 metros o angeo de ancho 1.2 metros</t>
  </si>
  <si>
    <t>Soldadura y accesorios</t>
  </si>
  <si>
    <t>Teja Perfil 7 Gris</t>
  </si>
  <si>
    <t>Teja Ondulada Transparente Policarbonato</t>
  </si>
  <si>
    <t>Tubo rectangular 90 x 50 x 2mm Cal.14 x 6m</t>
  </si>
  <si>
    <t>Cercha Metalica De 3.00 Mt</t>
  </si>
  <si>
    <t>Obrero</t>
  </si>
  <si>
    <t>Seccion de parrilla</t>
  </si>
  <si>
    <t>Entada de hornilla</t>
  </si>
  <si>
    <t>Meson de acero inoxidable</t>
  </si>
  <si>
    <t>Gaberas</t>
  </si>
  <si>
    <t>Total Costruccion otras Areas</t>
  </si>
  <si>
    <t>Arrancador Electromágnetico Directo 32A</t>
  </si>
  <si>
    <t>Total coso Molino</t>
  </si>
  <si>
    <t>Estibas</t>
  </si>
  <si>
    <t>Total Costos de Construcción</t>
  </si>
  <si>
    <t>Costos de transportes</t>
  </si>
  <si>
    <t>Imprevistos</t>
  </si>
  <si>
    <t>Total coste Proyecto de construccion</t>
  </si>
  <si>
    <t>Costos Materiales</t>
  </si>
  <si>
    <t>Costo Total Materiales</t>
  </si>
  <si>
    <t>Año</t>
  </si>
  <si>
    <t>Valor</t>
  </si>
  <si>
    <t>Periodo</t>
  </si>
  <si>
    <t>Inversion</t>
  </si>
  <si>
    <t>Financiacion</t>
  </si>
  <si>
    <t>Total Inversion</t>
  </si>
  <si>
    <t>Valor de Salvamento</t>
  </si>
  <si>
    <t>Depreciacion</t>
  </si>
  <si>
    <t>costos operación mantenimiento</t>
  </si>
  <si>
    <t>Flujo de Caja</t>
  </si>
  <si>
    <t>TIR</t>
  </si>
  <si>
    <t>VPN</t>
  </si>
  <si>
    <t>TIO</t>
  </si>
  <si>
    <t>Ingresos</t>
  </si>
  <si>
    <t>Grandes</t>
  </si>
  <si>
    <t>Pequeñas</t>
  </si>
  <si>
    <t>R 2-S</t>
  </si>
  <si>
    <t>R 4-A</t>
  </si>
  <si>
    <t>R 4-S</t>
  </si>
  <si>
    <t>R-5-S</t>
  </si>
  <si>
    <t>R 8-A</t>
  </si>
  <si>
    <t>R 8-AC</t>
  </si>
  <si>
    <t>R 8-S</t>
  </si>
  <si>
    <t>R 12-AC</t>
  </si>
  <si>
    <t>R 14-AL</t>
  </si>
  <si>
    <t>R 14-S</t>
  </si>
  <si>
    <t>R15-ACR</t>
  </si>
  <si>
    <t>Modelo</t>
  </si>
  <si>
    <t>kg Caña/hora</t>
  </si>
  <si>
    <t>Gaolina</t>
  </si>
  <si>
    <t>Relcion i</t>
  </si>
  <si>
    <t>R-20-AT</t>
  </si>
  <si>
    <t>-</t>
  </si>
  <si>
    <t>Molinos</t>
  </si>
  <si>
    <t>Unidad 100Kg/h</t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</si>
  <si>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</si>
  <si>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</si>
  <si>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t>h Aletas</t>
  </si>
  <si>
    <t>Area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</si>
  <si>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</si>
  <si>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 total</t>
  </si>
  <si>
    <t>% de Llenado</t>
  </si>
  <si>
    <t>Area TTC</t>
  </si>
  <si>
    <t>Semicilindrica Aleteada Evaporadora 2</t>
  </si>
  <si>
    <t>d</t>
  </si>
  <si>
    <t>x1</t>
  </si>
  <si>
    <r>
      <t>h</t>
    </r>
    <r>
      <rPr>
        <sz val="8"/>
        <color theme="1"/>
        <rFont val="Calibri"/>
        <family val="2"/>
        <scheme val="minor"/>
      </rPr>
      <t>c</t>
    </r>
  </si>
  <si>
    <t>ϴ</t>
  </si>
  <si>
    <t>x2</t>
  </si>
  <si>
    <t>s</t>
  </si>
  <si>
    <r>
      <t>A</t>
    </r>
    <r>
      <rPr>
        <sz val="8"/>
        <color theme="0"/>
        <rFont val="Calibri"/>
        <family val="2"/>
        <scheme val="minor"/>
      </rPr>
      <t>sccil</t>
    </r>
  </si>
  <si>
    <r>
      <t>V</t>
    </r>
    <r>
      <rPr>
        <sz val="8"/>
        <color theme="0"/>
        <rFont val="Calibri"/>
        <family val="2"/>
        <scheme val="minor"/>
      </rPr>
      <t>cil</t>
    </r>
  </si>
  <si>
    <r>
      <t>A</t>
    </r>
    <r>
      <rPr>
        <sz val="8"/>
        <color theme="0"/>
        <rFont val="Calibri"/>
        <family val="2"/>
        <scheme val="minor"/>
      </rPr>
      <t>cil</t>
    </r>
  </si>
  <si>
    <t>Ax</t>
  </si>
  <si>
    <t>h Al</t>
  </si>
  <si>
    <r>
      <t>R</t>
    </r>
    <r>
      <rPr>
        <sz val="8"/>
        <color theme="0"/>
        <rFont val="Calibri"/>
        <family val="2"/>
        <scheme val="minor"/>
      </rPr>
      <t>ca</t>
    </r>
  </si>
  <si>
    <r>
      <t>V</t>
    </r>
    <r>
      <rPr>
        <sz val="8"/>
        <color theme="0"/>
        <rFont val="Calibri"/>
        <family val="2"/>
        <scheme val="minor"/>
      </rPr>
      <t>sc</t>
    </r>
  </si>
  <si>
    <r>
      <t>V</t>
    </r>
    <r>
      <rPr>
        <sz val="8"/>
        <color theme="0"/>
        <rFont val="Calibri"/>
        <family val="2"/>
        <scheme val="minor"/>
      </rPr>
      <t>ca</t>
    </r>
  </si>
  <si>
    <r>
      <t>A</t>
    </r>
    <r>
      <rPr>
        <sz val="8"/>
        <color theme="0"/>
        <rFont val="Calibri"/>
        <family val="2"/>
        <scheme val="minor"/>
      </rPr>
      <t>sc</t>
    </r>
  </si>
  <si>
    <r>
      <t>A</t>
    </r>
    <r>
      <rPr>
        <sz val="8"/>
        <color theme="0"/>
        <rFont val="Calibri"/>
        <family val="2"/>
        <scheme val="minor"/>
      </rPr>
      <t>ca</t>
    </r>
  </si>
  <si>
    <t>Pirtubular Circular Aleteada Concentradora</t>
  </si>
  <si>
    <t>H Aleas</t>
  </si>
  <si>
    <t>Diametro Tubo</t>
  </si>
  <si>
    <t>N Tubos</t>
  </si>
  <si>
    <t>Espesor del fondo</t>
  </si>
  <si>
    <t>Espesor de aletas</t>
  </si>
  <si>
    <t>Altura del ducto</t>
  </si>
  <si>
    <t>Ancho del Ducto</t>
  </si>
  <si>
    <t>Volumen Total</t>
  </si>
  <si>
    <t>Perimetro de Flujo Gas</t>
  </si>
  <si>
    <t>Area Flujo Gas</t>
  </si>
  <si>
    <t>Plana</t>
  </si>
  <si>
    <t>Pirotubular</t>
  </si>
  <si>
    <t>Semicilindrica</t>
  </si>
  <si>
    <t>Plana A</t>
  </si>
  <si>
    <t>Paila Precalentadora Plana</t>
  </si>
  <si>
    <t>- La Paila Concentradora se Diseño para Obtener Puntos cada 30 minutos de 1/2 de la producción estimada por hora</t>
  </si>
  <si>
    <t>Melotera</t>
  </si>
  <si>
    <t>Pirtubular Circular Aleteada Clarificadora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</si>
</sst>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\ #,##0.00;[Red]\-&quot;$&quot;\ #,##0.00"/>
    <numFmt numFmtId="42" formatCode="_-&quot;$&quot;\ * #,##0_-;\-&quot;$&quot;\ * #,##0_-;_-&quot;$&quot;\ * &quot;-&quot;_-;_-@_-"/>
    <numFmt numFmtId="164" formatCode="#,##0.000"/>
    <numFmt numFmtId="165" formatCode="0.000"/>
    <numFmt numFmtId="166" formatCode="0.000E+00"/>
    <numFmt numFmtId="167" formatCode="0.0000"/>
    <numFmt numFmtId="168" formatCode="0.000000"/>
    <numFmt numFmtId="169" formatCode="0.0.E+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i/>
      <sz val="10"/>
      <color theme="1"/>
      <name val="Arial"/>
      <family val="2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970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left" vertical="center"/>
    </xf>
    <xf numFmtId="164" fontId="0" fillId="2" borderId="22" xfId="0" applyNumberFormat="1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8" xfId="0" applyNumberFormat="1" applyFill="1" applyBorder="1" applyAlignment="1">
      <alignment horizontal="left" vertical="center"/>
    </xf>
    <xf numFmtId="164" fontId="0" fillId="2" borderId="19" xfId="0" applyNumberFormat="1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18" xfId="0" applyFill="1" applyBorder="1" applyAlignment="1">
      <alignment horizontal="left" vertical="center"/>
    </xf>
    <xf numFmtId="0" fontId="0" fillId="7" borderId="19" xfId="0" applyFill="1" applyBorder="1" applyAlignment="1">
      <alignment horizontal="center" vertical="center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0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6" fillId="10" borderId="29" xfId="0" applyFont="1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8" fillId="10" borderId="18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65" fontId="0" fillId="10" borderId="19" xfId="0" applyNumberFormat="1" applyFill="1" applyBorder="1" applyAlignment="1">
      <alignment horizontal="center"/>
    </xf>
    <xf numFmtId="165" fontId="0" fillId="10" borderId="20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10" borderId="8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164" fontId="0" fillId="10" borderId="1" xfId="0" applyNumberFormat="1" applyFill="1" applyBorder="1" applyAlignment="1">
      <alignment horizontal="left" vertical="center"/>
    </xf>
    <xf numFmtId="164" fontId="0" fillId="10" borderId="2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left" vertical="center"/>
    </xf>
    <xf numFmtId="0" fontId="0" fillId="10" borderId="9" xfId="0" applyFill="1" applyBorder="1" applyAlignment="1">
      <alignment horizontal="center" vertical="center"/>
    </xf>
    <xf numFmtId="0" fontId="0" fillId="10" borderId="7" xfId="0" applyFill="1" applyBorder="1"/>
    <xf numFmtId="0" fontId="0" fillId="10" borderId="8" xfId="0" applyFill="1" applyBorder="1"/>
    <xf numFmtId="9" fontId="0" fillId="10" borderId="8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8" xfId="0" applyFill="1" applyBorder="1" applyAlignment="1">
      <alignment horizontal="left" vertical="center"/>
    </xf>
    <xf numFmtId="0" fontId="0" fillId="10" borderId="19" xfId="0" applyFill="1" applyBorder="1" applyAlignment="1">
      <alignment horizontal="center" vertical="center"/>
    </xf>
    <xf numFmtId="10" fontId="0" fillId="10" borderId="19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/>
    </xf>
    <xf numFmtId="165" fontId="0" fillId="10" borderId="2" xfId="0" applyNumberFormat="1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 vertical="center"/>
    </xf>
    <xf numFmtId="165" fontId="0" fillId="10" borderId="7" xfId="0" applyNumberForma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0" fontId="0" fillId="6" borderId="33" xfId="0" applyFill="1" applyBorder="1" applyAlignment="1">
      <alignment horizontal="left" vertical="center"/>
    </xf>
    <xf numFmtId="0" fontId="0" fillId="6" borderId="28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2" xfId="0" quotePrefix="1" applyFill="1" applyBorder="1" applyAlignment="1">
      <alignment horizontal="center" vertical="center"/>
    </xf>
    <xf numFmtId="0" fontId="0" fillId="6" borderId="24" xfId="0" applyFill="1" applyBorder="1" applyAlignment="1">
      <alignment horizontal="left" vertical="center"/>
    </xf>
    <xf numFmtId="0" fontId="4" fillId="6" borderId="25" xfId="0" applyFont="1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 vertical="center"/>
    </xf>
    <xf numFmtId="0" fontId="0" fillId="6" borderId="39" xfId="0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8" xfId="0" applyFill="1" applyBorder="1"/>
    <xf numFmtId="0" fontId="0" fillId="10" borderId="19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4" fillId="0" borderId="8" xfId="0" applyFont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19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166" fontId="0" fillId="6" borderId="7" xfId="0" applyNumberFormat="1" applyFill="1" applyBorder="1"/>
    <xf numFmtId="11" fontId="8" fillId="6" borderId="7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164" fontId="8" fillId="6" borderId="19" xfId="0" applyNumberFormat="1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165" fontId="0" fillId="10" borderId="2" xfId="0" applyNumberFormat="1" applyFill="1" applyBorder="1" applyAlignment="1">
      <alignment horizontal="center" shrinkToFit="1"/>
    </xf>
    <xf numFmtId="165" fontId="0" fillId="10" borderId="8" xfId="0" applyNumberFormat="1" applyFill="1" applyBorder="1" applyAlignment="1">
      <alignment horizontal="center" shrinkToFit="1"/>
    </xf>
    <xf numFmtId="165" fontId="0" fillId="10" borderId="19" xfId="0" applyNumberFormat="1" applyFill="1" applyBorder="1" applyAlignment="1">
      <alignment horizontal="center" shrinkToFit="1"/>
    </xf>
    <xf numFmtId="165" fontId="0" fillId="10" borderId="30" xfId="0" applyNumberFormat="1" applyFill="1" applyBorder="1" applyAlignment="1">
      <alignment horizontal="center" shrinkToFit="1"/>
    </xf>
    <xf numFmtId="165" fontId="14" fillId="0" borderId="8" xfId="0" applyNumberFormat="1" applyFont="1" applyFill="1" applyBorder="1" applyAlignment="1">
      <alignment horizontal="center" vertical="center" shrinkToFit="1"/>
    </xf>
    <xf numFmtId="165" fontId="14" fillId="0" borderId="19" xfId="0" applyNumberFormat="1" applyFont="1" applyFill="1" applyBorder="1" applyAlignment="1">
      <alignment horizontal="center" vertical="center" shrinkToFit="1"/>
    </xf>
    <xf numFmtId="11" fontId="0" fillId="4" borderId="0" xfId="0" applyNumberFormat="1" applyFill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left" vertical="center"/>
    </xf>
    <xf numFmtId="165" fontId="8" fillId="6" borderId="18" xfId="0" applyNumberFormat="1" applyFont="1" applyFill="1" applyBorder="1" applyAlignment="1">
      <alignment horizontal="center" vertical="center" shrinkToFit="1"/>
    </xf>
    <xf numFmtId="165" fontId="8" fillId="6" borderId="19" xfId="0" applyNumberFormat="1" applyFont="1" applyFill="1" applyBorder="1" applyAlignment="1">
      <alignment horizontal="center"/>
    </xf>
    <xf numFmtId="165" fontId="8" fillId="6" borderId="20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4" xfId="0" applyNumberFormat="1" applyFont="1" applyFill="1" applyBorder="1" applyAlignment="1">
      <alignment horizontal="left" vertical="center" shrinkToFit="1"/>
    </xf>
    <xf numFmtId="165" fontId="8" fillId="6" borderId="25" xfId="0" applyNumberFormat="1" applyFont="1" applyFill="1" applyBorder="1" applyAlignment="1">
      <alignment horizontal="center" vertical="center"/>
    </xf>
    <xf numFmtId="165" fontId="8" fillId="6" borderId="26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33" xfId="0" applyNumberFormat="1" applyFont="1" applyFill="1" applyBorder="1" applyAlignment="1">
      <alignment horizontal="left" vertical="center"/>
    </xf>
    <xf numFmtId="165" fontId="8" fillId="6" borderId="28" xfId="0" applyNumberFormat="1" applyFont="1" applyFill="1" applyBorder="1" applyAlignment="1">
      <alignment horizontal="center" vertical="center"/>
    </xf>
    <xf numFmtId="165" fontId="8" fillId="6" borderId="34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8" xfId="0" applyNumberFormat="1" applyFont="1" applyFill="1" applyBorder="1" applyAlignment="1">
      <alignment vertical="center" shrinkToFit="1"/>
    </xf>
    <xf numFmtId="165" fontId="8" fillId="6" borderId="19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1" xfId="0" applyNumberFormat="1" applyFont="1" applyFill="1" applyBorder="1" applyAlignment="1">
      <alignment horizontal="center" vertical="center"/>
    </xf>
    <xf numFmtId="165" fontId="8" fillId="9" borderId="29" xfId="0" applyNumberFormat="1" applyFont="1" applyFill="1" applyBorder="1" applyAlignment="1">
      <alignment horizontal="left" vertical="center"/>
    </xf>
    <xf numFmtId="0" fontId="8" fillId="9" borderId="30" xfId="0" applyFont="1" applyFill="1" applyBorder="1"/>
    <xf numFmtId="0" fontId="8" fillId="9" borderId="30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0" fontId="8" fillId="6" borderId="8" xfId="0" applyFont="1" applyFill="1" applyBorder="1"/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7" xfId="0" applyNumberFormat="1" applyFont="1" applyFill="1" applyBorder="1"/>
    <xf numFmtId="165" fontId="8" fillId="6" borderId="18" xfId="0" applyNumberFormat="1" applyFont="1" applyFill="1" applyBorder="1"/>
    <xf numFmtId="165" fontId="8" fillId="6" borderId="19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8" fillId="8" borderId="1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165" fontId="8" fillId="8" borderId="19" xfId="0" applyNumberFormat="1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 shrinkToFit="1"/>
    </xf>
    <xf numFmtId="0" fontId="0" fillId="0" borderId="0" xfId="0" applyBorder="1"/>
    <xf numFmtId="167" fontId="8" fillId="8" borderId="8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center" vertical="center" shrinkToFit="1"/>
    </xf>
    <xf numFmtId="165" fontId="8" fillId="6" borderId="28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34" xfId="0" applyNumberFormat="1" applyFont="1" applyFill="1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9" xfId="0" applyNumberFormat="1" applyFont="1" applyFill="1" applyBorder="1" applyAlignment="1">
      <alignment horizontal="center" vertical="center"/>
    </xf>
    <xf numFmtId="165" fontId="18" fillId="4" borderId="19" xfId="0" applyNumberFormat="1" applyFont="1" applyFill="1" applyBorder="1" applyAlignment="1">
      <alignment horizontal="center" vertical="center"/>
    </xf>
    <xf numFmtId="165" fontId="18" fillId="4" borderId="20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165" fontId="8" fillId="4" borderId="0" xfId="0" applyNumberFormat="1" applyFont="1" applyFill="1" applyBorder="1" applyAlignment="1">
      <alignment horizontal="center"/>
    </xf>
    <xf numFmtId="0" fontId="17" fillId="0" borderId="0" xfId="0" applyFont="1" applyBorder="1"/>
    <xf numFmtId="168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9" fontId="0" fillId="6" borderId="19" xfId="1" applyFont="1" applyFill="1" applyBorder="1" applyAlignment="1">
      <alignment horizontal="center"/>
    </xf>
    <xf numFmtId="9" fontId="0" fillId="6" borderId="20" xfId="1" applyFont="1" applyFill="1" applyBorder="1" applyAlignment="1">
      <alignment horizontal="center"/>
    </xf>
    <xf numFmtId="0" fontId="0" fillId="10" borderId="4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/>
    </xf>
    <xf numFmtId="0" fontId="0" fillId="10" borderId="32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/>
    </xf>
    <xf numFmtId="0" fontId="8" fillId="10" borderId="39" xfId="0" applyFont="1" applyFill="1" applyBorder="1" applyAlignment="1">
      <alignment horizontal="center" vertical="center"/>
    </xf>
    <xf numFmtId="165" fontId="0" fillId="10" borderId="1" xfId="0" applyNumberFormat="1" applyFill="1" applyBorder="1" applyAlignment="1">
      <alignment horizontal="center"/>
    </xf>
    <xf numFmtId="165" fontId="0" fillId="10" borderId="7" xfId="0" applyNumberFormat="1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6" fillId="4" borderId="0" xfId="0" applyFont="1" applyFill="1"/>
    <xf numFmtId="0" fontId="3" fillId="6" borderId="0" xfId="0" applyFont="1" applyFill="1" applyBorder="1" applyAlignment="1">
      <alignment horizontal="center"/>
    </xf>
    <xf numFmtId="164" fontId="0" fillId="6" borderId="44" xfId="0" applyNumberFormat="1" applyFill="1" applyBorder="1" applyAlignment="1">
      <alignment horizontal="center" vertical="center" shrinkToFit="1"/>
    </xf>
    <xf numFmtId="164" fontId="4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4" fillId="6" borderId="0" xfId="0" applyNumberFormat="1" applyFont="1" applyFill="1" applyBorder="1" applyAlignment="1">
      <alignment horizontal="center" vertical="center" shrinkToFit="1"/>
    </xf>
    <xf numFmtId="164" fontId="4" fillId="6" borderId="50" xfId="0" applyNumberFormat="1" applyFont="1" applyFill="1" applyBorder="1" applyAlignment="1">
      <alignment horizontal="center" vertical="center" shrinkToFit="1"/>
    </xf>
    <xf numFmtId="164" fontId="0" fillId="6" borderId="51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left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6" borderId="20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50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 shrinkToFit="1"/>
    </xf>
    <xf numFmtId="0" fontId="0" fillId="6" borderId="51" xfId="0" applyFill="1" applyBorder="1" applyAlignment="1">
      <alignment horizontal="center" vertical="center" shrinkToFit="1"/>
    </xf>
    <xf numFmtId="0" fontId="0" fillId="4" borderId="50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left" vertical="center" shrinkToFit="1"/>
    </xf>
    <xf numFmtId="11" fontId="8" fillId="6" borderId="8" xfId="0" applyNumberFormat="1" applyFont="1" applyFill="1" applyBorder="1" applyAlignment="1">
      <alignment horizontal="center" vertical="center"/>
    </xf>
    <xf numFmtId="165" fontId="8" fillId="4" borderId="27" xfId="0" applyNumberFormat="1" applyFont="1" applyFill="1" applyBorder="1" applyAlignment="1"/>
    <xf numFmtId="0" fontId="0" fillId="4" borderId="5" xfId="0" applyFill="1" applyBorder="1" applyAlignment="1"/>
    <xf numFmtId="0" fontId="0" fillId="6" borderId="15" xfId="0" applyFont="1" applyFill="1" applyBorder="1" applyAlignment="1">
      <alignment shrinkToFit="1"/>
    </xf>
    <xf numFmtId="0" fontId="0" fillId="6" borderId="44" xfId="0" applyFont="1" applyFill="1" applyBorder="1" applyAlignment="1">
      <alignment shrinkToFit="1"/>
    </xf>
    <xf numFmtId="0" fontId="0" fillId="6" borderId="44" xfId="0" applyFont="1" applyFill="1" applyBorder="1" applyAlignment="1">
      <alignment horizontal="center" vertical="center" shrinkToFit="1"/>
    </xf>
    <xf numFmtId="0" fontId="0" fillId="6" borderId="51" xfId="0" applyFon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43" xfId="0" applyFill="1" applyBorder="1"/>
    <xf numFmtId="0" fontId="0" fillId="4" borderId="0" xfId="0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51" xfId="0" applyNumberFormat="1" applyFill="1" applyBorder="1" applyAlignment="1">
      <alignment horizontal="center" vertical="center"/>
    </xf>
    <xf numFmtId="164" fontId="0" fillId="4" borderId="50" xfId="0" applyNumberForma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4" borderId="44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165" fontId="8" fillId="2" borderId="31" xfId="0" applyNumberFormat="1" applyFont="1" applyFill="1" applyBorder="1" applyAlignment="1">
      <alignment horizontal="center" vertical="center"/>
    </xf>
    <xf numFmtId="165" fontId="8" fillId="2" borderId="30" xfId="0" applyNumberFormat="1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/>
    </xf>
    <xf numFmtId="164" fontId="4" fillId="6" borderId="8" xfId="0" applyNumberFormat="1" applyFont="1" applyFill="1" applyBorder="1" applyAlignment="1">
      <alignment horizontal="center" vertical="center" shrinkToFit="1"/>
    </xf>
    <xf numFmtId="165" fontId="8" fillId="6" borderId="8" xfId="0" applyNumberFormat="1" applyFont="1" applyFill="1" applyBorder="1" applyAlignment="1">
      <alignment horizontal="center" vertical="center" shrinkToFit="1"/>
    </xf>
    <xf numFmtId="164" fontId="8" fillId="2" borderId="8" xfId="0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/>
    </xf>
    <xf numFmtId="0" fontId="0" fillId="0" borderId="8" xfId="0" applyBorder="1"/>
    <xf numFmtId="165" fontId="0" fillId="4" borderId="0" xfId="0" applyNumberFormat="1" applyFill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0" fontId="0" fillId="6" borderId="8" xfId="0" applyFill="1" applyBorder="1"/>
    <xf numFmtId="0" fontId="0" fillId="6" borderId="9" xfId="0" applyFill="1" applyBorder="1"/>
    <xf numFmtId="165" fontId="0" fillId="6" borderId="2" xfId="0" applyNumberFormat="1" applyFill="1" applyBorder="1"/>
    <xf numFmtId="0" fontId="0" fillId="4" borderId="37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5" xfId="0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0" xfId="0" applyBorder="1" applyAlignment="1"/>
    <xf numFmtId="0" fontId="8" fillId="6" borderId="5" xfId="0" applyFont="1" applyFill="1" applyBorder="1" applyAlignment="1">
      <alignment horizontal="center" vertical="center"/>
    </xf>
    <xf numFmtId="164" fontId="0" fillId="4" borderId="0" xfId="0" applyNumberFormat="1" applyFill="1" applyBorder="1" applyAlignment="1"/>
    <xf numFmtId="165" fontId="0" fillId="4" borderId="0" xfId="0" applyNumberFormat="1" applyFill="1" applyBorder="1" applyAlignment="1"/>
    <xf numFmtId="0" fontId="0" fillId="6" borderId="1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20" xfId="0" applyFill="1" applyBorder="1" applyAlignment="1">
      <alignment horizontal="center" shrinkToFit="1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31" xfId="0" applyNumberFormat="1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9" xfId="0" applyFon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 shrinkToFit="1"/>
    </xf>
    <xf numFmtId="165" fontId="0" fillId="0" borderId="2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 shrinkToFit="1"/>
    </xf>
    <xf numFmtId="165" fontId="0" fillId="0" borderId="8" xfId="0" applyNumberFormat="1" applyFill="1" applyBorder="1" applyAlignment="1">
      <alignment horizontal="center" vertical="center"/>
    </xf>
    <xf numFmtId="165" fontId="0" fillId="0" borderId="9" xfId="0" applyNumberForma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shrinkToFit="1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0" fillId="4" borderId="5" xfId="0" applyFill="1" applyBorder="1" applyAlignment="1">
      <alignment shrinkToFit="1"/>
    </xf>
    <xf numFmtId="0" fontId="0" fillId="4" borderId="5" xfId="0" applyFill="1" applyBorder="1"/>
    <xf numFmtId="0" fontId="0" fillId="0" borderId="0" xfId="0" applyFill="1" applyBorder="1" applyAlignment="1"/>
    <xf numFmtId="0" fontId="0" fillId="4" borderId="13" xfId="0" applyFill="1" applyBorder="1" applyAlignment="1"/>
    <xf numFmtId="0" fontId="0" fillId="4" borderId="14" xfId="0" applyFill="1" applyBorder="1"/>
    <xf numFmtId="165" fontId="18" fillId="0" borderId="8" xfId="0" applyNumberFormat="1" applyFont="1" applyBorder="1" applyAlignment="1">
      <alignment horizontal="center" vertical="center" shrinkToFit="1"/>
    </xf>
    <xf numFmtId="0" fontId="14" fillId="0" borderId="7" xfId="0" applyFont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wrapText="1"/>
    </xf>
    <xf numFmtId="0" fontId="16" fillId="4" borderId="0" xfId="0" applyFont="1" applyFill="1" applyAlignment="1"/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vertical="center"/>
    </xf>
    <xf numFmtId="0" fontId="0" fillId="4" borderId="27" xfId="0" applyFill="1" applyBorder="1"/>
    <xf numFmtId="0" fontId="0" fillId="4" borderId="44" xfId="0" applyFill="1" applyBorder="1"/>
    <xf numFmtId="0" fontId="0" fillId="4" borderId="46" xfId="0" applyFill="1" applyBorder="1" applyAlignment="1">
      <alignment horizontal="center" vertical="center"/>
    </xf>
    <xf numFmtId="0" fontId="0" fillId="4" borderId="49" xfId="0" applyFill="1" applyBorder="1"/>
    <xf numFmtId="0" fontId="0" fillId="4" borderId="47" xfId="0" applyFill="1" applyBorder="1" applyAlignment="1">
      <alignment horizontal="center" vertical="center"/>
    </xf>
    <xf numFmtId="0" fontId="0" fillId="4" borderId="13" xfId="0" applyFill="1" applyBorder="1"/>
    <xf numFmtId="0" fontId="0" fillId="4" borderId="51" xfId="0" applyFill="1" applyBorder="1"/>
    <xf numFmtId="0" fontId="8" fillId="4" borderId="0" xfId="0" applyFont="1" applyFill="1" applyBorder="1" applyAlignment="1"/>
    <xf numFmtId="0" fontId="8" fillId="6" borderId="38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165" fontId="8" fillId="6" borderId="39" xfId="0" applyNumberFormat="1" applyFont="1" applyFill="1" applyBorder="1" applyAlignment="1">
      <alignment horizontal="center"/>
    </xf>
    <xf numFmtId="165" fontId="8" fillId="6" borderId="1" xfId="0" applyNumberFormat="1" applyFont="1" applyFill="1" applyBorder="1"/>
    <xf numFmtId="0" fontId="0" fillId="7" borderId="32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 shrinkToFit="1"/>
    </xf>
    <xf numFmtId="0" fontId="8" fillId="4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/>
    </xf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165" fontId="8" fillId="8" borderId="9" xfId="0" applyNumberFormat="1" applyFont="1" applyFill="1" applyBorder="1" applyAlignment="1">
      <alignment horizontal="center" vertical="center"/>
    </xf>
    <xf numFmtId="165" fontId="0" fillId="5" borderId="9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7" fontId="8" fillId="8" borderId="9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9" fontId="8" fillId="6" borderId="7" xfId="0" applyNumberFormat="1" applyFont="1" applyFill="1" applyBorder="1" applyAlignment="1">
      <alignment horizontal="center" vertical="center"/>
    </xf>
    <xf numFmtId="169" fontId="8" fillId="6" borderId="8" xfId="0" applyNumberFormat="1" applyFont="1" applyFill="1" applyBorder="1" applyAlignment="1">
      <alignment horizontal="center" vertical="center" shrinkToFit="1"/>
    </xf>
    <xf numFmtId="169" fontId="8" fillId="6" borderId="8" xfId="0" applyNumberFormat="1" applyFont="1" applyFill="1" applyBorder="1" applyAlignment="1">
      <alignment horizontal="center" vertical="center"/>
    </xf>
    <xf numFmtId="169" fontId="8" fillId="6" borderId="9" xfId="0" applyNumberFormat="1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165" fontId="0" fillId="4" borderId="33" xfId="0" applyNumberFormat="1" applyFill="1" applyBorder="1" applyAlignment="1">
      <alignment horizontal="center"/>
    </xf>
    <xf numFmtId="165" fontId="0" fillId="4" borderId="28" xfId="0" applyNumberFormat="1" applyFill="1" applyBorder="1" applyAlignment="1">
      <alignment horizontal="center" shrinkToFit="1"/>
    </xf>
    <xf numFmtId="165" fontId="0" fillId="4" borderId="28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shrinkToFit="1"/>
    </xf>
    <xf numFmtId="165" fontId="0" fillId="4" borderId="8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/>
    </xf>
    <xf numFmtId="165" fontId="0" fillId="4" borderId="19" xfId="0" applyNumberFormat="1" applyFill="1" applyBorder="1" applyAlignment="1">
      <alignment horizontal="center" shrinkToFit="1"/>
    </xf>
    <xf numFmtId="165" fontId="0" fillId="4" borderId="19" xfId="0" applyNumberFormat="1" applyFill="1" applyBorder="1" applyAlignment="1">
      <alignment horizontal="center"/>
    </xf>
    <xf numFmtId="1" fontId="8" fillId="6" borderId="7" xfId="0" applyNumberFormat="1" applyFont="1" applyFill="1" applyBorder="1" applyAlignment="1">
      <alignment horizontal="center" vertical="center" shrinkToFit="1"/>
    </xf>
    <xf numFmtId="165" fontId="8" fillId="4" borderId="41" xfId="0" applyNumberFormat="1" applyFont="1" applyFill="1" applyBorder="1" applyAlignment="1">
      <alignment shrinkToFit="1"/>
    </xf>
    <xf numFmtId="0" fontId="8" fillId="6" borderId="16" xfId="0" applyFont="1" applyFill="1" applyBorder="1" applyAlignment="1">
      <alignment vertical="center"/>
    </xf>
    <xf numFmtId="0" fontId="8" fillId="6" borderId="17" xfId="0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8" fillId="8" borderId="39" xfId="0" applyFont="1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0" fontId="0" fillId="4" borderId="0" xfId="0" applyNumberFormat="1" applyFill="1" applyAlignment="1">
      <alignment horizontal="center"/>
    </xf>
    <xf numFmtId="0" fontId="0" fillId="4" borderId="37" xfId="0" applyFill="1" applyBorder="1" applyAlignment="1"/>
    <xf numFmtId="0" fontId="0" fillId="4" borderId="43" xfId="0" applyFill="1" applyBorder="1" applyAlignment="1"/>
    <xf numFmtId="0" fontId="0" fillId="6" borderId="51" xfId="0" applyFill="1" applyBorder="1" applyAlignment="1">
      <alignment horizontal="center" vertical="center"/>
    </xf>
    <xf numFmtId="11" fontId="8" fillId="6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/>
    <xf numFmtId="0" fontId="0" fillId="4" borderId="1" xfId="0" applyFill="1" applyBorder="1"/>
    <xf numFmtId="0" fontId="0" fillId="0" borderId="2" xfId="0" applyBorder="1"/>
    <xf numFmtId="0" fontId="0" fillId="4" borderId="2" xfId="0" applyFill="1" applyBorder="1" applyAlignment="1"/>
    <xf numFmtId="0" fontId="0" fillId="4" borderId="7" xfId="0" applyFill="1" applyBorder="1"/>
    <xf numFmtId="0" fontId="0" fillId="4" borderId="18" xfId="0" applyFill="1" applyBorder="1"/>
    <xf numFmtId="0" fontId="0" fillId="0" borderId="19" xfId="0" applyBorder="1"/>
    <xf numFmtId="0" fontId="0" fillId="4" borderId="19" xfId="0" applyFill="1" applyBorder="1" applyAlignment="1"/>
    <xf numFmtId="11" fontId="8" fillId="6" borderId="9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shrinkToFit="1"/>
    </xf>
    <xf numFmtId="0" fontId="0" fillId="2" borderId="8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7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164" fontId="8" fillId="2" borderId="9" xfId="0" applyNumberFormat="1" applyFont="1" applyFill="1" applyBorder="1" applyAlignment="1">
      <alignment horizontal="center" vertical="center"/>
    </xf>
    <xf numFmtId="0" fontId="0" fillId="4" borderId="44" xfId="0" applyFill="1" applyBorder="1" applyAlignment="1"/>
    <xf numFmtId="3" fontId="0" fillId="3" borderId="30" xfId="0" applyNumberFormat="1" applyFill="1" applyBorder="1"/>
    <xf numFmtId="0" fontId="0" fillId="3" borderId="31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3" fontId="0" fillId="6" borderId="25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3" fontId="0" fillId="6" borderId="8" xfId="0" applyNumberFormat="1" applyFill="1" applyBorder="1"/>
    <xf numFmtId="3" fontId="0" fillId="6" borderId="8" xfId="0" applyNumberFormat="1" applyFill="1" applyBorder="1" applyAlignment="1"/>
    <xf numFmtId="3" fontId="0" fillId="6" borderId="25" xfId="0" applyNumberFormat="1" applyFill="1" applyBorder="1"/>
    <xf numFmtId="0" fontId="0" fillId="6" borderId="28" xfId="0" applyFill="1" applyBorder="1"/>
    <xf numFmtId="0" fontId="0" fillId="6" borderId="34" xfId="0" applyFill="1" applyBorder="1"/>
    <xf numFmtId="3" fontId="0" fillId="6" borderId="19" xfId="0" applyNumberFormat="1" applyFill="1" applyBorder="1"/>
    <xf numFmtId="0" fontId="0" fillId="6" borderId="20" xfId="0" applyFill="1" applyBorder="1"/>
    <xf numFmtId="0" fontId="0" fillId="6" borderId="28" xfId="0" applyFill="1" applyBorder="1" applyAlignment="1"/>
    <xf numFmtId="0" fontId="0" fillId="6" borderId="34" xfId="0" applyFill="1" applyBorder="1" applyAlignment="1"/>
    <xf numFmtId="3" fontId="0" fillId="4" borderId="0" xfId="0" applyNumberFormat="1" applyFill="1" applyAlignment="1"/>
    <xf numFmtId="0" fontId="8" fillId="4" borderId="0" xfId="0" applyFont="1" applyFill="1" applyBorder="1" applyAlignment="1">
      <alignment vertical="center"/>
    </xf>
    <xf numFmtId="0" fontId="0" fillId="4" borderId="27" xfId="0" applyFill="1" applyBorder="1" applyAlignment="1"/>
    <xf numFmtId="0" fontId="0" fillId="4" borderId="38" xfId="0" applyFill="1" applyBorder="1"/>
    <xf numFmtId="0" fontId="0" fillId="4" borderId="32" xfId="0" applyFill="1" applyBorder="1"/>
    <xf numFmtId="0" fontId="0" fillId="4" borderId="39" xfId="0" applyFill="1" applyBorder="1"/>
    <xf numFmtId="0" fontId="0" fillId="4" borderId="35" xfId="0" applyFill="1" applyBorder="1"/>
    <xf numFmtId="0" fontId="0" fillId="4" borderId="36" xfId="0" applyFill="1" applyBorder="1"/>
    <xf numFmtId="0" fontId="0" fillId="4" borderId="55" xfId="0" applyFill="1" applyBorder="1"/>
    <xf numFmtId="0" fontId="8" fillId="4" borderId="43" xfId="0" applyFont="1" applyFill="1" applyBorder="1" applyAlignment="1">
      <alignment vertical="center"/>
    </xf>
    <xf numFmtId="0" fontId="0" fillId="4" borderId="57" xfId="0" applyFill="1" applyBorder="1" applyAlignment="1"/>
    <xf numFmtId="0" fontId="0" fillId="4" borderId="46" xfId="0" applyFill="1" applyBorder="1" applyAlignment="1"/>
    <xf numFmtId="0" fontId="0" fillId="4" borderId="47" xfId="0" applyFill="1" applyBorder="1" applyAlignment="1"/>
    <xf numFmtId="165" fontId="0" fillId="4" borderId="41" xfId="0" applyNumberFormat="1" applyFill="1" applyBorder="1"/>
    <xf numFmtId="2" fontId="17" fillId="0" borderId="45" xfId="0" applyNumberFormat="1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18" xfId="0" applyFill="1" applyBorder="1" applyAlignment="1">
      <alignment horizontal="center" vertical="center"/>
    </xf>
    <xf numFmtId="1" fontId="8" fillId="6" borderId="18" xfId="0" applyNumberFormat="1" applyFont="1" applyFill="1" applyBorder="1" applyAlignment="1">
      <alignment horizontal="center" vertical="center"/>
    </xf>
    <xf numFmtId="1" fontId="8" fillId="6" borderId="19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vertical="center"/>
    </xf>
    <xf numFmtId="42" fontId="0" fillId="4" borderId="0" xfId="2" applyFont="1" applyFill="1" applyAlignment="1"/>
    <xf numFmtId="0" fontId="0" fillId="0" borderId="0" xfId="0" applyAlignment="1">
      <alignment horizontal="center"/>
    </xf>
    <xf numFmtId="4" fontId="0" fillId="0" borderId="0" xfId="0" applyNumberFormat="1"/>
    <xf numFmtId="42" fontId="0" fillId="0" borderId="0" xfId="2" applyFont="1"/>
    <xf numFmtId="0" fontId="0" fillId="0" borderId="0" xfId="0" applyAlignment="1"/>
    <xf numFmtId="42" fontId="0" fillId="0" borderId="0" xfId="0" applyNumberFormat="1"/>
    <xf numFmtId="3" fontId="0" fillId="0" borderId="0" xfId="2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44" xfId="2" applyNumberFormat="1" applyFon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42" fontId="0" fillId="0" borderId="0" xfId="2" applyFont="1" applyBorder="1" applyAlignment="1">
      <alignment horizontal="center" vertical="center"/>
    </xf>
    <xf numFmtId="42" fontId="0" fillId="0" borderId="44" xfId="2" applyFont="1" applyBorder="1" applyAlignment="1">
      <alignment horizontal="center" vertical="center"/>
    </xf>
    <xf numFmtId="42" fontId="0" fillId="0" borderId="44" xfId="0" applyNumberFormat="1" applyBorder="1" applyAlignment="1">
      <alignment horizontal="center" vertical="center"/>
    </xf>
    <xf numFmtId="42" fontId="0" fillId="0" borderId="51" xfId="0" applyNumberFormat="1" applyBorder="1" applyAlignment="1">
      <alignment horizontal="center" vertical="center"/>
    </xf>
    <xf numFmtId="3" fontId="0" fillId="0" borderId="51" xfId="0" applyNumberFormat="1" applyBorder="1" applyAlignment="1">
      <alignment horizontal="center" vertical="center"/>
    </xf>
    <xf numFmtId="3" fontId="0" fillId="0" borderId="51" xfId="2" applyNumberFormat="1" applyFont="1" applyBorder="1" applyAlignment="1">
      <alignment horizontal="center" vertic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2" fontId="0" fillId="0" borderId="0" xfId="0" applyNumberFormat="1" applyAlignment="1">
      <alignment vertical="center"/>
    </xf>
    <xf numFmtId="3" fontId="0" fillId="0" borderId="0" xfId="0" applyNumberFormat="1"/>
    <xf numFmtId="3" fontId="22" fillId="0" borderId="0" xfId="0" applyNumberFormat="1" applyFont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9" fontId="0" fillId="0" borderId="0" xfId="0" applyNumberFormat="1"/>
    <xf numFmtId="8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0" xfId="0" applyFill="1"/>
    <xf numFmtId="42" fontId="0" fillId="4" borderId="0" xfId="2" applyFont="1" applyFill="1"/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27" xfId="0" applyFill="1" applyBorder="1"/>
    <xf numFmtId="0" fontId="0" fillId="9" borderId="44" xfId="0" applyFill="1" applyBorder="1"/>
    <xf numFmtId="0" fontId="0" fillId="9" borderId="0" xfId="0" quotePrefix="1" applyFill="1" applyBorder="1" applyAlignment="1">
      <alignment horizontal="center"/>
    </xf>
    <xf numFmtId="0" fontId="0" fillId="9" borderId="0" xfId="0" quotePrefix="1" applyFill="1" applyBorder="1"/>
    <xf numFmtId="0" fontId="0" fillId="9" borderId="44" xfId="0" quotePrefix="1" applyFill="1" applyBorder="1"/>
    <xf numFmtId="0" fontId="0" fillId="9" borderId="49" xfId="0" applyFill="1" applyBorder="1"/>
    <xf numFmtId="0" fontId="0" fillId="9" borderId="50" xfId="0" applyFill="1" applyBorder="1"/>
    <xf numFmtId="0" fontId="0" fillId="9" borderId="50" xfId="0" quotePrefix="1" applyFill="1" applyBorder="1" applyAlignment="1">
      <alignment horizontal="center"/>
    </xf>
    <xf numFmtId="0" fontId="0" fillId="9" borderId="51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3" fontId="0" fillId="2" borderId="30" xfId="0" applyNumberFormat="1" applyFill="1" applyBorder="1"/>
    <xf numFmtId="0" fontId="8" fillId="2" borderId="32" xfId="0" applyFont="1" applyFill="1" applyBorder="1" applyAlignment="1">
      <alignment horizontal="center" vertical="center"/>
    </xf>
    <xf numFmtId="164" fontId="8" fillId="6" borderId="32" xfId="0" applyNumberFormat="1" applyFont="1" applyFill="1" applyBorder="1" applyAlignment="1">
      <alignment horizontal="center" vertical="center" shrinkToFit="1"/>
    </xf>
    <xf numFmtId="0" fontId="8" fillId="6" borderId="42" xfId="0" applyFont="1" applyFill="1" applyBorder="1" applyAlignment="1">
      <alignment horizontal="center" vertical="center"/>
    </xf>
    <xf numFmtId="0" fontId="8" fillId="6" borderId="48" xfId="0" applyFont="1" applyFill="1" applyBorder="1" applyAlignment="1">
      <alignment horizontal="center" vertical="center"/>
    </xf>
    <xf numFmtId="164" fontId="8" fillId="6" borderId="25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164" fontId="2" fillId="4" borderId="50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/>
    </xf>
    <xf numFmtId="164" fontId="6" fillId="3" borderId="18" xfId="0" applyNumberFormat="1" applyFont="1" applyFill="1" applyBorder="1" applyAlignment="1">
      <alignment horizontal="center" vertical="center"/>
    </xf>
    <xf numFmtId="164" fontId="0" fillId="3" borderId="19" xfId="0" applyNumberFormat="1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164" fontId="0" fillId="4" borderId="40" xfId="0" applyNumberFormat="1" applyFon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2" fillId="4" borderId="14" xfId="0" applyNumberFormat="1" applyFont="1" applyFill="1" applyBorder="1" applyAlignment="1">
      <alignment horizontal="center" vertical="center"/>
    </xf>
    <xf numFmtId="164" fontId="2" fillId="4" borderId="15" xfId="0" applyNumberFormat="1" applyFont="1" applyFill="1" applyBorder="1" applyAlignment="1">
      <alignment horizontal="center" vertical="center"/>
    </xf>
    <xf numFmtId="164" fontId="0" fillId="4" borderId="32" xfId="0" applyNumberFormat="1" applyFont="1" applyFill="1" applyBorder="1" applyAlignment="1">
      <alignment horizontal="center" vertical="center"/>
    </xf>
    <xf numFmtId="164" fontId="2" fillId="4" borderId="27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4" borderId="44" xfId="0" applyNumberFormat="1" applyFont="1" applyFill="1" applyBorder="1" applyAlignment="1">
      <alignment horizontal="center" vertical="center"/>
    </xf>
    <xf numFmtId="164" fontId="0" fillId="5" borderId="32" xfId="0" applyNumberFormat="1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164" fontId="0" fillId="3" borderId="39" xfId="0" applyNumberFormat="1" applyFont="1" applyFill="1" applyBorder="1" applyAlignment="1">
      <alignment horizontal="center" vertical="center"/>
    </xf>
    <xf numFmtId="164" fontId="2" fillId="4" borderId="49" xfId="0" applyNumberFormat="1" applyFont="1" applyFill="1" applyBorder="1" applyAlignment="1">
      <alignment horizontal="center" vertical="center"/>
    </xf>
    <xf numFmtId="164" fontId="2" fillId="4" borderId="51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1" fontId="0" fillId="2" borderId="8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5" fontId="0" fillId="3" borderId="19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16" fillId="4" borderId="0" xfId="0" applyFont="1" applyFill="1" applyBorder="1" applyAlignment="1">
      <alignment vertical="center"/>
    </xf>
    <xf numFmtId="0" fontId="16" fillId="4" borderId="50" xfId="0" applyFont="1" applyFill="1" applyBorder="1" applyAlignment="1">
      <alignment vertical="center"/>
    </xf>
    <xf numFmtId="0" fontId="0" fillId="4" borderId="50" xfId="0" applyFont="1" applyFill="1" applyBorder="1" applyAlignment="1">
      <alignment vertical="center"/>
    </xf>
    <xf numFmtId="0" fontId="16" fillId="4" borderId="44" xfId="0" applyFont="1" applyFill="1" applyBorder="1" applyAlignment="1">
      <alignment vertical="center"/>
    </xf>
    <xf numFmtId="0" fontId="16" fillId="4" borderId="51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/>
    </xf>
    <xf numFmtId="164" fontId="0" fillId="4" borderId="0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27" xfId="0" applyBorder="1"/>
    <xf numFmtId="164" fontId="8" fillId="6" borderId="9" xfId="0" applyNumberFormat="1" applyFont="1" applyFill="1" applyBorder="1" applyAlignment="1">
      <alignment horizontal="center" vertical="center" shrinkToFit="1"/>
    </xf>
    <xf numFmtId="0" fontId="8" fillId="6" borderId="20" xfId="0" applyFont="1" applyFill="1" applyBorder="1" applyAlignment="1">
      <alignment horizontal="center" vertical="center"/>
    </xf>
    <xf numFmtId="164" fontId="4" fillId="6" borderId="25" xfId="0" applyNumberFormat="1" applyFont="1" applyFill="1" applyBorder="1" applyAlignment="1">
      <alignment horizontal="center" vertical="center" shrinkToFit="1"/>
    </xf>
    <xf numFmtId="165" fontId="8" fillId="6" borderId="25" xfId="0" applyNumberFormat="1" applyFont="1" applyFill="1" applyBorder="1" applyAlignment="1">
      <alignment horizontal="center"/>
    </xf>
    <xf numFmtId="165" fontId="8" fillId="6" borderId="26" xfId="0" applyNumberFormat="1" applyFont="1" applyFill="1" applyBorder="1" applyAlignment="1">
      <alignment horizontal="center"/>
    </xf>
    <xf numFmtId="0" fontId="0" fillId="0" borderId="28" xfId="0" applyBorder="1"/>
    <xf numFmtId="0" fontId="8" fillId="0" borderId="28" xfId="0" applyFont="1" applyBorder="1"/>
    <xf numFmtId="0" fontId="8" fillId="0" borderId="28" xfId="0" applyFont="1" applyBorder="1" applyAlignment="1">
      <alignment horizontal="center" shrinkToFit="1"/>
    </xf>
    <xf numFmtId="0" fontId="8" fillId="0" borderId="34" xfId="0" applyFont="1" applyBorder="1" applyAlignment="1">
      <alignment horizontal="center" shrinkToFit="1"/>
    </xf>
    <xf numFmtId="0" fontId="8" fillId="0" borderId="30" xfId="0" applyFont="1" applyFill="1" applyBorder="1" applyAlignment="1">
      <alignment horizontal="center"/>
    </xf>
    <xf numFmtId="0" fontId="8" fillId="0" borderId="30" xfId="0" applyFont="1" applyBorder="1"/>
    <xf numFmtId="0" fontId="8" fillId="0" borderId="30" xfId="0" applyFont="1" applyFill="1" applyBorder="1"/>
    <xf numFmtId="0" fontId="0" fillId="4" borderId="0" xfId="0" quotePrefix="1" applyFill="1"/>
    <xf numFmtId="164" fontId="0" fillId="3" borderId="9" xfId="0" applyNumberForma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4" xfId="0" quotePrefix="1" applyFill="1" applyBorder="1" applyAlignment="1">
      <alignment horizontal="center"/>
    </xf>
    <xf numFmtId="0" fontId="0" fillId="9" borderId="49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4" borderId="4" xfId="0" applyFill="1" applyBorder="1"/>
    <xf numFmtId="0" fontId="0" fillId="4" borderId="6" xfId="0" applyFill="1" applyBorder="1"/>
    <xf numFmtId="0" fontId="8" fillId="0" borderId="3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33" xfId="0" applyFont="1" applyBorder="1" applyAlignment="1">
      <alignment horizontal="center" shrinkToFit="1"/>
    </xf>
    <xf numFmtId="164" fontId="8" fillId="2" borderId="7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/>
    </xf>
    <xf numFmtId="165" fontId="8" fillId="6" borderId="24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center" vertical="center"/>
    </xf>
    <xf numFmtId="164" fontId="8" fillId="6" borderId="18" xfId="0" applyNumberFormat="1" applyFont="1" applyFill="1" applyBorder="1" applyAlignment="1">
      <alignment horizontal="center" vertical="center" shrinkToFit="1"/>
    </xf>
    <xf numFmtId="0" fontId="0" fillId="0" borderId="19" xfId="0" applyFill="1" applyBorder="1" applyAlignment="1">
      <alignment horizontal="center" vertical="center"/>
    </xf>
    <xf numFmtId="165" fontId="8" fillId="4" borderId="0" xfId="0" applyNumberFormat="1" applyFont="1" applyFill="1" applyAlignment="1"/>
    <xf numFmtId="165" fontId="0" fillId="4" borderId="34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 shrinkToFit="1"/>
    </xf>
    <xf numFmtId="165" fontId="0" fillId="4" borderId="20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vertical="center"/>
    </xf>
    <xf numFmtId="0" fontId="8" fillId="4" borderId="50" xfId="0" applyFont="1" applyFill="1" applyBorder="1" applyAlignment="1">
      <alignment vertical="center"/>
    </xf>
    <xf numFmtId="165" fontId="0" fillId="8" borderId="9" xfId="0" applyNumberFormat="1" applyFill="1" applyBorder="1" applyAlignment="1">
      <alignment horizontal="center" shrinkToFit="1"/>
    </xf>
    <xf numFmtId="0" fontId="0" fillId="6" borderId="50" xfId="0" applyFill="1" applyBorder="1" applyAlignment="1">
      <alignment horizontal="center" vertical="center" shrinkToFit="1"/>
    </xf>
    <xf numFmtId="165" fontId="8" fillId="6" borderId="3" xfId="0" applyNumberFormat="1" applyFont="1" applyFill="1" applyBorder="1" applyProtection="1">
      <protection hidden="1"/>
    </xf>
    <xf numFmtId="165" fontId="8" fillId="6" borderId="9" xfId="0" applyNumberFormat="1" applyFont="1" applyFill="1" applyBorder="1"/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4" borderId="50" xfId="0" applyFill="1" applyBorder="1" applyAlignment="1">
      <alignment vertical="center"/>
    </xf>
    <xf numFmtId="0" fontId="8" fillId="6" borderId="58" xfId="0" applyFont="1" applyFill="1" applyBorder="1" applyAlignment="1">
      <alignment vertical="center"/>
    </xf>
    <xf numFmtId="0" fontId="8" fillId="6" borderId="61" xfId="0" applyFont="1" applyFill="1" applyBorder="1" applyAlignment="1">
      <alignment vertical="center"/>
    </xf>
    <xf numFmtId="0" fontId="8" fillId="6" borderId="62" xfId="0" applyFont="1" applyFill="1" applyBorder="1" applyAlignment="1">
      <alignment vertical="center"/>
    </xf>
    <xf numFmtId="0" fontId="8" fillId="0" borderId="7" xfId="0" applyFont="1" applyFill="1" applyBorder="1" applyAlignment="1">
      <alignment horizontal="center" vertical="center" shrinkToFit="1"/>
    </xf>
    <xf numFmtId="0" fontId="8" fillId="4" borderId="1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 shrinkToFit="1"/>
    </xf>
    <xf numFmtId="0" fontId="0" fillId="4" borderId="14" xfId="0" applyFill="1" applyBorder="1" applyAlignment="1">
      <alignment shrinkToFit="1"/>
    </xf>
    <xf numFmtId="1" fontId="8" fillId="6" borderId="20" xfId="0" applyNumberFormat="1" applyFon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8" fillId="6" borderId="3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4" borderId="0" xfId="0" applyNumberFormat="1" applyFill="1" applyAlignment="1"/>
    <xf numFmtId="165" fontId="0" fillId="6" borderId="24" xfId="0" applyNumberFormat="1" applyFill="1" applyBorder="1" applyAlignment="1">
      <alignment horizontal="center" vertical="center"/>
    </xf>
    <xf numFmtId="165" fontId="0" fillId="6" borderId="25" xfId="0" applyNumberForma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6" fontId="0" fillId="6" borderId="8" xfId="0" applyNumberFormat="1" applyFill="1" applyBorder="1"/>
    <xf numFmtId="166" fontId="0" fillId="6" borderId="9" xfId="0" applyNumberFormat="1" applyFill="1" applyBorder="1"/>
    <xf numFmtId="0" fontId="8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8" fillId="6" borderId="19" xfId="0" applyFon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8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4" borderId="16" xfId="0" applyNumberFormat="1" applyFill="1" applyBorder="1" applyAlignment="1">
      <alignment horizontal="center" vertical="center"/>
    </xf>
    <xf numFmtId="164" fontId="0" fillId="4" borderId="3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164" fontId="0" fillId="5" borderId="16" xfId="0" applyNumberFormat="1" applyFill="1" applyBorder="1" applyAlignment="1">
      <alignment horizontal="center" vertical="center"/>
    </xf>
    <xf numFmtId="164" fontId="0" fillId="5" borderId="36" xfId="0" applyNumberFormat="1" applyFill="1" applyBorder="1" applyAlignment="1">
      <alignment horizontal="center" vertical="center"/>
    </xf>
    <xf numFmtId="164" fontId="0" fillId="4" borderId="16" xfId="0" applyNumberFormat="1" applyFont="1" applyFill="1" applyBorder="1" applyAlignment="1">
      <alignment horizontal="center" vertical="center"/>
    </xf>
    <xf numFmtId="164" fontId="0" fillId="4" borderId="36" xfId="0" applyNumberFormat="1" applyFont="1" applyFill="1" applyBorder="1" applyAlignment="1">
      <alignment horizontal="center" vertical="center"/>
    </xf>
    <xf numFmtId="164" fontId="6" fillId="3" borderId="59" xfId="0" applyNumberFormat="1" applyFont="1" applyFill="1" applyBorder="1" applyAlignment="1">
      <alignment horizontal="center" vertical="center"/>
    </xf>
    <xf numFmtId="164" fontId="6" fillId="3" borderId="55" xfId="0" applyNumberFormat="1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8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4" fontId="0" fillId="4" borderId="58" xfId="0" applyNumberFormat="1" applyFill="1" applyBorder="1" applyAlignment="1">
      <alignment horizontal="center" vertical="center"/>
    </xf>
    <xf numFmtId="164" fontId="0" fillId="4" borderId="60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0" fillId="6" borderId="7" xfId="0" applyNumberFormat="1" applyFill="1" applyBorder="1" applyAlignment="1">
      <alignment horizontal="center"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6" borderId="33" xfId="0" applyFon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4" fontId="6" fillId="3" borderId="18" xfId="0" applyNumberFormat="1" applyFont="1" applyFill="1" applyBorder="1" applyAlignment="1">
      <alignment horizontal="center" vertical="center"/>
    </xf>
    <xf numFmtId="164" fontId="6" fillId="3" borderId="19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4" borderId="28" xfId="0" applyNumberFormat="1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4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164" fontId="0" fillId="6" borderId="49" xfId="0" applyNumberFormat="1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164" fontId="0" fillId="6" borderId="27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7" xfId="0" applyFill="1" applyBorder="1" applyAlignment="1"/>
    <xf numFmtId="0" fontId="0" fillId="6" borderId="8" xfId="0" applyFill="1" applyBorder="1" applyAlignment="1"/>
    <xf numFmtId="0" fontId="0" fillId="6" borderId="27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27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2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49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6" borderId="27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49" xfId="0" applyFont="1" applyFill="1" applyBorder="1" applyAlignment="1">
      <alignment horizontal="center" vertical="center"/>
    </xf>
    <xf numFmtId="0" fontId="0" fillId="6" borderId="50" xfId="0" applyFont="1" applyFill="1" applyBorder="1" applyAlignment="1">
      <alignment horizontal="center" vertical="center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0" fontId="0" fillId="6" borderId="15" xfId="0" applyFill="1" applyBorder="1" applyAlignment="1">
      <alignment horizontal="center" vertical="center" shrinkToFit="1"/>
    </xf>
    <xf numFmtId="0" fontId="1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11" borderId="13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11" borderId="49" xfId="0" applyFont="1" applyFill="1" applyBorder="1" applyAlignment="1">
      <alignment horizontal="center" vertical="center"/>
    </xf>
    <xf numFmtId="0" fontId="21" fillId="11" borderId="50" xfId="0" applyFont="1" applyFill="1" applyBorder="1" applyAlignment="1">
      <alignment horizontal="center" vertical="center"/>
    </xf>
    <xf numFmtId="0" fontId="21" fillId="11" borderId="51" xfId="0" applyFont="1" applyFill="1" applyBorder="1" applyAlignment="1">
      <alignment horizontal="center" vertical="center"/>
    </xf>
    <xf numFmtId="0" fontId="0" fillId="11" borderId="13" xfId="0" quotePrefix="1" applyFill="1" applyBorder="1" applyAlignment="1">
      <alignment horizontal="center" vertical="center" wrapText="1"/>
    </xf>
    <xf numFmtId="0" fontId="0" fillId="11" borderId="14" xfId="0" quotePrefix="1" applyFill="1" applyBorder="1" applyAlignment="1">
      <alignment horizontal="center" vertical="center" wrapText="1"/>
    </xf>
    <xf numFmtId="0" fontId="0" fillId="11" borderId="15" xfId="0" quotePrefix="1" applyFill="1" applyBorder="1" applyAlignment="1">
      <alignment horizontal="center" vertical="center" wrapText="1"/>
    </xf>
    <xf numFmtId="0" fontId="0" fillId="11" borderId="27" xfId="0" quotePrefix="1" applyFill="1" applyBorder="1" applyAlignment="1">
      <alignment horizontal="center" vertical="center" wrapText="1"/>
    </xf>
    <xf numFmtId="0" fontId="0" fillId="11" borderId="0" xfId="0" quotePrefix="1" applyFill="1" applyBorder="1" applyAlignment="1">
      <alignment horizontal="center" vertical="center" wrapText="1"/>
    </xf>
    <xf numFmtId="0" fontId="0" fillId="11" borderId="44" xfId="0" quotePrefix="1" applyFill="1" applyBorder="1" applyAlignment="1">
      <alignment horizontal="center" vertical="center" wrapText="1"/>
    </xf>
    <xf numFmtId="0" fontId="0" fillId="11" borderId="49" xfId="0" quotePrefix="1" applyFill="1" applyBorder="1" applyAlignment="1">
      <alignment horizontal="center" vertical="center" wrapText="1"/>
    </xf>
    <xf numFmtId="0" fontId="0" fillId="11" borderId="50" xfId="0" quotePrefix="1" applyFill="1" applyBorder="1" applyAlignment="1">
      <alignment horizontal="center" vertical="center" wrapText="1"/>
    </xf>
    <xf numFmtId="0" fontId="0" fillId="11" borderId="51" xfId="0" quotePrefix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65" fontId="8" fillId="6" borderId="4" xfId="0" applyNumberFormat="1" applyFont="1" applyFill="1" applyBorder="1" applyAlignment="1">
      <alignment horizontal="center" vertical="center" shrinkToFit="1"/>
    </xf>
    <xf numFmtId="165" fontId="8" fillId="6" borderId="5" xfId="0" applyNumberFormat="1" applyFont="1" applyFill="1" applyBorder="1" applyAlignment="1">
      <alignment horizontal="center" vertical="center" shrinkToFit="1"/>
    </xf>
    <xf numFmtId="165" fontId="8" fillId="6" borderId="6" xfId="0" applyNumberFormat="1" applyFont="1" applyFill="1" applyBorder="1" applyAlignment="1">
      <alignment horizontal="center" vertical="center" shrinkToFit="1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7" xfId="0" applyBorder="1" applyAlignment="1">
      <alignment horizontal="center" vertical="center"/>
    </xf>
  </cellXfs>
  <cellStyles count="3">
    <cellStyle name="Moneda [0]" xfId="2" builtinId="7"/>
    <cellStyle name="Normal" xfId="0" builtinId="0"/>
    <cellStyle name="Porcentaje" xfId="1" builtinId="5"/>
  </cellStyles>
  <dxfs count="1">
    <dxf>
      <font>
        <color theme="1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de Salvamento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'Diseño Economico'!$B$57:$B$72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'Diseño Economico'!$C$57:$C$72</c:f>
              <c:numCache>
                <c:formatCode>_("$"* #,##0_);_("$"* \(#,##0\);_("$"* "-"_);_(@_)</c:formatCode>
                <c:ptCount val="16"/>
                <c:pt idx="0">
                  <c:v>56389919.6184</c:v>
                </c:pt>
                <c:pt idx="1">
                  <c:v>52630591.64384</c:v>
                </c:pt>
                <c:pt idx="2">
                  <c:v>48871263.66928</c:v>
                </c:pt>
                <c:pt idx="3">
                  <c:v>45111935.69472</c:v>
                </c:pt>
                <c:pt idx="4">
                  <c:v>41352607.72016</c:v>
                </c:pt>
                <c:pt idx="5">
                  <c:v>37593279.7456</c:v>
                </c:pt>
                <c:pt idx="6">
                  <c:v>33833951.77104</c:v>
                </c:pt>
                <c:pt idx="7">
                  <c:v>30074623.79648</c:v>
                </c:pt>
                <c:pt idx="8">
                  <c:v>26315295.82192</c:v>
                </c:pt>
                <c:pt idx="9">
                  <c:v>22555967.84736</c:v>
                </c:pt>
                <c:pt idx="10">
                  <c:v>18796639.8728</c:v>
                </c:pt>
                <c:pt idx="11">
                  <c:v>15037311.89824</c:v>
                </c:pt>
                <c:pt idx="12">
                  <c:v>11277983.92368</c:v>
                </c:pt>
                <c:pt idx="13">
                  <c:v>7518655.94912</c:v>
                </c:pt>
                <c:pt idx="14">
                  <c:v>3759327.97456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5-4D88-9FC3-6D5D69FA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6991"/>
        <c:axId val="229722447"/>
      </c:scatterChart>
      <c:valAx>
        <c:axId val="2349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722447"/>
        <c:crosses val="autoZero"/>
        <c:crossBetween val="midCat"/>
      </c:valAx>
      <c:valAx>
        <c:axId val="22972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49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65209</xdr:colOff>
      <xdr:row>100</xdr:row>
      <xdr:rowOff>151417</xdr:rowOff>
    </xdr:from>
    <xdr:ext cx="3751906" cy="203809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430" y="19337488"/>
          <a:ext cx="3751906" cy="203809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26725</xdr:colOff>
      <xdr:row>81</xdr:row>
      <xdr:rowOff>34863</xdr:rowOff>
    </xdr:from>
    <xdr:ext cx="3032811" cy="1647473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998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23150</xdr:colOff>
      <xdr:row>80</xdr:row>
      <xdr:rowOff>117880</xdr:rowOff>
    </xdr:from>
    <xdr:ext cx="3016621" cy="1638679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890" y="15518692"/>
          <a:ext cx="3016621" cy="163867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166541</xdr:colOff>
      <xdr:row>63</xdr:row>
      <xdr:rowOff>99855</xdr:rowOff>
    </xdr:from>
    <xdr:to>
      <xdr:col>8</xdr:col>
      <xdr:colOff>550901</xdr:colOff>
      <xdr:row>75</xdr:row>
      <xdr:rowOff>93326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281" y="12284433"/>
          <a:ext cx="2685204" cy="224483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266545</xdr:colOff>
      <xdr:row>63</xdr:row>
      <xdr:rowOff>32746</xdr:rowOff>
    </xdr:from>
    <xdr:to>
      <xdr:col>26</xdr:col>
      <xdr:colOff>556656</xdr:colOff>
      <xdr:row>76</xdr:row>
      <xdr:rowOff>162230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9402" y="12217324"/>
          <a:ext cx="3357903" cy="25664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31418</xdr:colOff>
      <xdr:row>99</xdr:row>
      <xdr:rowOff>112437</xdr:rowOff>
    </xdr:from>
    <xdr:to>
      <xdr:col>10</xdr:col>
      <xdr:colOff>721064</xdr:colOff>
      <xdr:row>116</xdr:row>
      <xdr:rowOff>61850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58" y="19112956"/>
          <a:ext cx="4524387" cy="3140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19050</xdr:colOff>
      <xdr:row>64</xdr:row>
      <xdr:rowOff>22272</xdr:rowOff>
    </xdr:from>
    <xdr:ext cx="2927338" cy="206828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6323" y="12392402"/>
          <a:ext cx="2927338" cy="2068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26725</xdr:colOff>
      <xdr:row>81</xdr:row>
      <xdr:rowOff>34863</xdr:rowOff>
    </xdr:from>
    <xdr:ext cx="3032811" cy="1647473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6530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179</xdr:row>
          <xdr:rowOff>19050</xdr:rowOff>
        </xdr:from>
        <xdr:to>
          <xdr:col>16</xdr:col>
          <xdr:colOff>57150</xdr:colOff>
          <xdr:row>181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624415</xdr:colOff>
      <xdr:row>165</xdr:row>
      <xdr:rowOff>190499</xdr:rowOff>
    </xdr:from>
    <xdr:to>
      <xdr:col>19</xdr:col>
      <xdr:colOff>88898</xdr:colOff>
      <xdr:row>171</xdr:row>
      <xdr:rowOff>156632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4332" y="32384999"/>
          <a:ext cx="3464983" cy="110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28015</xdr:colOff>
      <xdr:row>56</xdr:row>
      <xdr:rowOff>23532</xdr:rowOff>
    </xdr:from>
    <xdr:to>
      <xdr:col>3</xdr:col>
      <xdr:colOff>5266765</xdr:colOff>
      <xdr:row>72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U130"/>
  <sheetViews>
    <sheetView topLeftCell="A109" zoomScale="77" zoomScaleNormal="77" workbookViewId="0">
      <selection activeCell="K63" sqref="K63:R63"/>
    </sheetView>
  </sheetViews>
  <sheetFormatPr baseColWidth="10" defaultColWidth="9.140625" defaultRowHeight="15" x14ac:dyDescent="0.25"/>
  <cols>
    <col min="1" max="18" width="11.42578125" customWidth="1"/>
    <col min="19" max="19" width="19.85546875" bestFit="1" customWidth="1"/>
    <col min="20" max="26" width="11.42578125" customWidth="1"/>
    <col min="27" max="27" width="13.5703125" bestFit="1" customWidth="1"/>
    <col min="28" max="28" width="15" bestFit="1" customWidth="1"/>
    <col min="32" max="32" width="9.140625" style="286"/>
    <col min="33" max="33" width="9.140625" style="19"/>
    <col min="34" max="34" width="10.140625" style="19" bestFit="1" customWidth="1"/>
    <col min="35" max="35" width="14.42578125" style="19" bestFit="1" customWidth="1"/>
    <col min="36" max="38" width="9.140625" style="19"/>
    <col min="39" max="39" width="14.85546875" style="19" bestFit="1" customWidth="1"/>
    <col min="40" max="41" width="9.140625" style="19"/>
  </cols>
  <sheetData>
    <row r="1" spans="1:42" ht="15.75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322"/>
      <c r="AN1" s="566"/>
      <c r="AO1" s="566"/>
      <c r="AP1" s="566"/>
    </row>
    <row r="2" spans="1:42" ht="15.75" thickBot="1" x14ac:dyDescent="0.3">
      <c r="A2" s="19"/>
      <c r="B2" s="815" t="s">
        <v>710</v>
      </c>
      <c r="C2" s="816"/>
      <c r="D2" s="816"/>
      <c r="E2" s="816"/>
      <c r="F2" s="816"/>
      <c r="G2" s="816"/>
      <c r="H2" s="817"/>
      <c r="I2" s="19"/>
      <c r="J2" s="19"/>
      <c r="K2" s="852" t="s">
        <v>512</v>
      </c>
      <c r="L2" s="853"/>
      <c r="M2" s="853"/>
      <c r="N2" s="835" t="s">
        <v>591</v>
      </c>
      <c r="O2" s="836"/>
      <c r="P2" s="19"/>
      <c r="Q2" s="22"/>
      <c r="R2" s="898" t="s">
        <v>422</v>
      </c>
      <c r="S2" s="899"/>
      <c r="T2" s="899"/>
      <c r="U2" s="899"/>
      <c r="V2" s="900"/>
      <c r="W2" s="22"/>
      <c r="X2" s="19"/>
      <c r="Y2" s="892" t="s">
        <v>563</v>
      </c>
      <c r="Z2" s="893"/>
      <c r="AA2" s="893"/>
      <c r="AB2" s="894"/>
      <c r="AC2" s="19"/>
      <c r="AD2" s="19"/>
      <c r="AE2" s="19"/>
      <c r="AN2" s="566"/>
      <c r="AO2" s="566"/>
      <c r="AP2" s="566"/>
    </row>
    <row r="3" spans="1:42" ht="15.75" thickBot="1" x14ac:dyDescent="0.3">
      <c r="A3" s="19"/>
      <c r="B3" s="818"/>
      <c r="C3" s="819"/>
      <c r="D3" s="819"/>
      <c r="E3" s="819"/>
      <c r="F3" s="819"/>
      <c r="G3" s="819"/>
      <c r="H3" s="820"/>
      <c r="I3" s="19"/>
      <c r="J3" s="19"/>
      <c r="K3" s="854" t="s">
        <v>511</v>
      </c>
      <c r="L3" s="855"/>
      <c r="M3" s="855"/>
      <c r="N3" s="810" t="s">
        <v>394</v>
      </c>
      <c r="O3" s="838"/>
      <c r="P3" s="19"/>
      <c r="Q3" s="22"/>
      <c r="R3" s="876" t="s">
        <v>198</v>
      </c>
      <c r="S3" s="877"/>
      <c r="T3" s="877"/>
      <c r="U3" s="877"/>
      <c r="V3" s="901"/>
      <c r="W3" s="22"/>
      <c r="X3" s="19"/>
      <c r="Y3" s="895" t="s">
        <v>564</v>
      </c>
      <c r="Z3" s="896"/>
      <c r="AA3" s="896"/>
      <c r="AB3" s="897"/>
      <c r="AC3" s="19"/>
      <c r="AD3" s="19"/>
      <c r="AE3" s="19"/>
      <c r="AN3" s="566"/>
      <c r="AO3" s="566"/>
      <c r="AP3" s="566"/>
    </row>
    <row r="4" spans="1:42" ht="15.75" thickBot="1" x14ac:dyDescent="0.3">
      <c r="A4" s="19"/>
      <c r="B4" s="818"/>
      <c r="C4" s="819"/>
      <c r="D4" s="819"/>
      <c r="E4" s="819"/>
      <c r="F4" s="819"/>
      <c r="G4" s="819"/>
      <c r="H4" s="820"/>
      <c r="I4" s="19"/>
      <c r="J4" s="19"/>
      <c r="K4" s="854" t="s">
        <v>510</v>
      </c>
      <c r="L4" s="855"/>
      <c r="M4" s="855"/>
      <c r="N4" s="810" t="s">
        <v>394</v>
      </c>
      <c r="O4" s="838"/>
      <c r="P4" s="19"/>
      <c r="Q4" s="22"/>
      <c r="R4" s="868" t="s">
        <v>415</v>
      </c>
      <c r="S4" s="869"/>
      <c r="T4" s="249" t="s">
        <v>50</v>
      </c>
      <c r="U4" s="281">
        <f>997.39+4.46*G24</f>
        <v>1073.21</v>
      </c>
      <c r="V4" s="250" t="s">
        <v>51</v>
      </c>
      <c r="W4" s="22"/>
      <c r="X4" s="19"/>
      <c r="Y4" s="848" t="s">
        <v>565</v>
      </c>
      <c r="Z4" s="849"/>
      <c r="AA4" s="506">
        <v>10</v>
      </c>
      <c r="AB4" s="507" t="s">
        <v>568</v>
      </c>
      <c r="AC4" s="19"/>
      <c r="AD4" s="19"/>
      <c r="AE4" s="19"/>
      <c r="AN4" s="566"/>
      <c r="AO4" s="566"/>
      <c r="AP4" s="566"/>
    </row>
    <row r="5" spans="1:42" ht="15.75" thickBot="1" x14ac:dyDescent="0.3">
      <c r="A5" s="19"/>
      <c r="B5" s="818"/>
      <c r="C5" s="819"/>
      <c r="D5" s="819"/>
      <c r="E5" s="819"/>
      <c r="F5" s="819"/>
      <c r="G5" s="819"/>
      <c r="H5" s="820"/>
      <c r="I5" s="19"/>
      <c r="J5" s="19"/>
      <c r="K5" s="854" t="s">
        <v>509</v>
      </c>
      <c r="L5" s="855"/>
      <c r="M5" s="855"/>
      <c r="N5" s="810" t="s">
        <v>394</v>
      </c>
      <c r="O5" s="838"/>
      <c r="P5" s="19"/>
      <c r="Q5" s="22"/>
      <c r="R5" s="861" t="s">
        <v>416</v>
      </c>
      <c r="S5" s="862"/>
      <c r="T5" s="251" t="s">
        <v>54</v>
      </c>
      <c r="U5" s="280">
        <f>997.39+4.46*G25</f>
        <v>1095.51</v>
      </c>
      <c r="V5" s="248" t="s">
        <v>51</v>
      </c>
      <c r="W5" s="22"/>
      <c r="X5" s="19"/>
      <c r="Y5" s="809" t="s">
        <v>566</v>
      </c>
      <c r="Z5" s="810"/>
      <c r="AA5" s="319">
        <v>2</v>
      </c>
      <c r="AB5" s="320" t="s">
        <v>569</v>
      </c>
      <c r="AC5" s="19"/>
      <c r="AD5" s="19"/>
      <c r="AE5" s="19"/>
      <c r="AH5" s="832" t="s">
        <v>709</v>
      </c>
      <c r="AI5" s="833"/>
      <c r="AJ5" s="833"/>
      <c r="AK5" s="833"/>
      <c r="AL5" s="833"/>
      <c r="AM5" s="834"/>
      <c r="AN5" s="566"/>
      <c r="AO5" s="566"/>
      <c r="AP5" s="566"/>
    </row>
    <row r="6" spans="1:42" ht="15.75" thickBot="1" x14ac:dyDescent="0.3">
      <c r="A6" s="19"/>
      <c r="B6" s="821"/>
      <c r="C6" s="822"/>
      <c r="D6" s="822"/>
      <c r="E6" s="822"/>
      <c r="F6" s="822"/>
      <c r="G6" s="822"/>
      <c r="H6" s="823"/>
      <c r="I6" s="19"/>
      <c r="J6" s="19"/>
      <c r="K6" s="888" t="s">
        <v>508</v>
      </c>
      <c r="L6" s="889"/>
      <c r="M6" s="889"/>
      <c r="N6" s="812" t="s">
        <v>394</v>
      </c>
      <c r="O6" s="839"/>
      <c r="P6" s="19"/>
      <c r="Q6" s="22"/>
      <c r="R6" s="856" t="s">
        <v>417</v>
      </c>
      <c r="S6" s="857"/>
      <c r="T6" s="252" t="s">
        <v>57</v>
      </c>
      <c r="U6" s="279">
        <f>997.39+4.46*G26</f>
        <v>1331.8899999999999</v>
      </c>
      <c r="V6" s="253" t="s">
        <v>51</v>
      </c>
      <c r="W6" s="22"/>
      <c r="X6" s="19"/>
      <c r="Y6" s="809" t="s">
        <v>567</v>
      </c>
      <c r="Z6" s="810"/>
      <c r="AA6" s="319">
        <f>+N8/N11</f>
        <v>144</v>
      </c>
      <c r="AB6" s="320" t="s">
        <v>573</v>
      </c>
      <c r="AC6" s="19"/>
      <c r="AD6" s="19">
        <f>52*7</f>
        <v>364</v>
      </c>
      <c r="AE6" s="19"/>
      <c r="AF6" s="286">
        <f>52/4</f>
        <v>13</v>
      </c>
      <c r="AH6" s="570" t="s">
        <v>703</v>
      </c>
      <c r="AI6" s="571" t="s">
        <v>704</v>
      </c>
      <c r="AJ6" s="571" t="s">
        <v>564</v>
      </c>
      <c r="AK6" s="571" t="s">
        <v>577</v>
      </c>
      <c r="AL6" s="571" t="s">
        <v>705</v>
      </c>
      <c r="AM6" s="572" t="s">
        <v>706</v>
      </c>
      <c r="AN6" s="566"/>
      <c r="AO6" s="566"/>
      <c r="AP6" s="566"/>
    </row>
    <row r="7" spans="1:42" ht="15.75" thickBot="1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2"/>
      <c r="R7" s="865" t="s">
        <v>402</v>
      </c>
      <c r="S7" s="866"/>
      <c r="T7" s="866"/>
      <c r="U7" s="866"/>
      <c r="V7" s="867"/>
      <c r="W7" s="22"/>
      <c r="X7" s="19"/>
      <c r="Y7" s="809" t="s">
        <v>570</v>
      </c>
      <c r="Z7" s="810"/>
      <c r="AA7" s="319">
        <f>+AA6*AA5</f>
        <v>288</v>
      </c>
      <c r="AB7" s="320" t="s">
        <v>574</v>
      </c>
      <c r="AC7" s="19"/>
      <c r="AD7" s="19"/>
      <c r="AE7" s="19"/>
      <c r="AF7" s="286">
        <f>52-16</f>
        <v>36</v>
      </c>
      <c r="AH7" s="573" t="s">
        <v>692</v>
      </c>
      <c r="AI7" s="568">
        <v>500</v>
      </c>
      <c r="AJ7" s="568">
        <v>10</v>
      </c>
      <c r="AK7" s="568">
        <v>5</v>
      </c>
      <c r="AL7" s="569">
        <v>8</v>
      </c>
      <c r="AM7" s="574">
        <v>20.5</v>
      </c>
      <c r="AN7" s="566"/>
      <c r="AO7" s="566"/>
      <c r="AP7" s="566"/>
    </row>
    <row r="8" spans="1:42" x14ac:dyDescent="0.25">
      <c r="A8" s="19"/>
      <c r="B8" s="824" t="s">
        <v>507</v>
      </c>
      <c r="C8" s="825"/>
      <c r="D8" s="825"/>
      <c r="E8" s="825"/>
      <c r="F8" s="483" t="s">
        <v>506</v>
      </c>
      <c r="G8" s="483">
        <v>18</v>
      </c>
      <c r="H8" s="484" t="s">
        <v>496</v>
      </c>
      <c r="I8" s="19">
        <v>0</v>
      </c>
      <c r="J8" s="19"/>
      <c r="K8" s="890" t="s">
        <v>505</v>
      </c>
      <c r="L8" s="891"/>
      <c r="M8" s="891"/>
      <c r="N8" s="321">
        <f>+G10*G12/G11</f>
        <v>144</v>
      </c>
      <c r="O8" s="484" t="s">
        <v>504</v>
      </c>
      <c r="P8" s="19"/>
      <c r="Q8" s="22"/>
      <c r="R8" s="868" t="s">
        <v>418</v>
      </c>
      <c r="S8" s="869"/>
      <c r="T8" s="281" t="s">
        <v>12</v>
      </c>
      <c r="U8" s="281">
        <f>G37+0.2209*EXP(0.0557*G25)</f>
        <v>95.599979559921579</v>
      </c>
      <c r="V8" s="250" t="s">
        <v>13</v>
      </c>
      <c r="W8" s="22"/>
      <c r="Y8" s="809" t="s">
        <v>571</v>
      </c>
      <c r="Z8" s="810"/>
      <c r="AA8" s="319">
        <v>8900</v>
      </c>
      <c r="AB8" s="320" t="s">
        <v>575</v>
      </c>
      <c r="AC8" s="19"/>
      <c r="AD8" s="19"/>
      <c r="AE8" s="19"/>
      <c r="AH8" s="573" t="s">
        <v>693</v>
      </c>
      <c r="AI8" s="568">
        <v>900</v>
      </c>
      <c r="AJ8" s="568">
        <v>8</v>
      </c>
      <c r="AK8" s="568">
        <v>8</v>
      </c>
      <c r="AL8" s="575" t="s">
        <v>708</v>
      </c>
      <c r="AM8" s="574">
        <v>25.8</v>
      </c>
      <c r="AN8" s="566"/>
      <c r="AO8" s="566"/>
      <c r="AP8" s="566"/>
    </row>
    <row r="9" spans="1:42" ht="15.75" thickBot="1" x14ac:dyDescent="0.3">
      <c r="A9" s="19"/>
      <c r="B9" s="809" t="s">
        <v>502</v>
      </c>
      <c r="C9" s="810"/>
      <c r="D9" s="810"/>
      <c r="E9" s="810"/>
      <c r="F9" s="582" t="s">
        <v>501</v>
      </c>
      <c r="G9" s="582">
        <v>18</v>
      </c>
      <c r="H9" s="583" t="s">
        <v>496</v>
      </c>
      <c r="I9" s="19">
        <v>1</v>
      </c>
      <c r="J9" s="19"/>
      <c r="K9" s="870" t="s">
        <v>500</v>
      </c>
      <c r="L9" s="871"/>
      <c r="M9" s="871"/>
      <c r="N9" s="317">
        <f>+N8/G12</f>
        <v>1.2</v>
      </c>
      <c r="O9" s="320" t="s">
        <v>499</v>
      </c>
      <c r="P9" s="19"/>
      <c r="Q9" s="22"/>
      <c r="R9" s="861" t="s">
        <v>419</v>
      </c>
      <c r="S9" s="862"/>
      <c r="T9" s="280" t="s">
        <v>16</v>
      </c>
      <c r="U9" s="280">
        <f>G37+0.2209*EXP(0.0557*G26)</f>
        <v>109.25096218777557</v>
      </c>
      <c r="V9" s="248" t="s">
        <v>13</v>
      </c>
      <c r="W9" s="22"/>
      <c r="X9" s="19"/>
      <c r="Y9" s="811" t="s">
        <v>572</v>
      </c>
      <c r="Z9" s="812"/>
      <c r="AA9" s="508">
        <f>+(AA7/3.75)*AA8</f>
        <v>683520</v>
      </c>
      <c r="AB9" s="509" t="s">
        <v>576</v>
      </c>
      <c r="AC9" s="19"/>
      <c r="AD9" s="19"/>
      <c r="AE9" s="19"/>
      <c r="AH9" s="573" t="s">
        <v>694</v>
      </c>
      <c r="AI9" s="568">
        <v>900</v>
      </c>
      <c r="AJ9" s="568">
        <v>8</v>
      </c>
      <c r="AK9" s="568">
        <v>8</v>
      </c>
      <c r="AL9" s="569">
        <v>16</v>
      </c>
      <c r="AM9" s="574">
        <v>11</v>
      </c>
      <c r="AN9" s="566"/>
      <c r="AO9" s="566"/>
      <c r="AP9" s="566"/>
    </row>
    <row r="10" spans="1:42" ht="15.75" thickBot="1" x14ac:dyDescent="0.3">
      <c r="A10" s="19"/>
      <c r="B10" s="809" t="s">
        <v>498</v>
      </c>
      <c r="C10" s="810"/>
      <c r="D10" s="810"/>
      <c r="E10" s="810"/>
      <c r="F10" s="582" t="s">
        <v>497</v>
      </c>
      <c r="G10" s="582">
        <f>+(G9+G8)/2</f>
        <v>18</v>
      </c>
      <c r="H10" s="583" t="s">
        <v>496</v>
      </c>
      <c r="I10" s="19">
        <v>2</v>
      </c>
      <c r="J10" s="19"/>
      <c r="K10" s="870" t="s">
        <v>495</v>
      </c>
      <c r="L10" s="871"/>
      <c r="M10" s="871"/>
      <c r="N10" s="317">
        <f>+N8/G14</f>
        <v>72</v>
      </c>
      <c r="O10" s="480" t="s">
        <v>494</v>
      </c>
      <c r="P10" s="19"/>
      <c r="Q10" s="22"/>
      <c r="R10" s="856" t="s">
        <v>420</v>
      </c>
      <c r="S10" s="857"/>
      <c r="T10" s="279" t="s">
        <v>23</v>
      </c>
      <c r="U10" s="279">
        <f>G37+0.2209*EXP(0.0557*T33)</f>
        <v>95.736798771411955</v>
      </c>
      <c r="V10" s="253" t="s">
        <v>13</v>
      </c>
      <c r="W10" s="22"/>
      <c r="X10" s="19"/>
      <c r="Y10" s="895" t="s">
        <v>577</v>
      </c>
      <c r="Z10" s="896"/>
      <c r="AA10" s="896"/>
      <c r="AB10" s="897"/>
      <c r="AC10" s="19"/>
      <c r="AD10" s="19"/>
      <c r="AE10" s="19"/>
      <c r="AF10" s="286">
        <f>+AF7/3</f>
        <v>12</v>
      </c>
      <c r="AH10" s="573" t="s">
        <v>695</v>
      </c>
      <c r="AI10" s="568">
        <v>1200</v>
      </c>
      <c r="AJ10" s="568">
        <v>8</v>
      </c>
      <c r="AK10" s="568">
        <v>10</v>
      </c>
      <c r="AL10" s="575" t="s">
        <v>708</v>
      </c>
      <c r="AM10" s="574">
        <v>11.2</v>
      </c>
      <c r="AN10" s="566"/>
      <c r="AO10" s="566"/>
      <c r="AP10" s="566"/>
    </row>
    <row r="11" spans="1:42" ht="15.75" thickBot="1" x14ac:dyDescent="0.3">
      <c r="A11" s="19"/>
      <c r="B11" s="809" t="s">
        <v>493</v>
      </c>
      <c r="C11" s="810"/>
      <c r="D11" s="810"/>
      <c r="E11" s="810"/>
      <c r="F11" s="582" t="s">
        <v>492</v>
      </c>
      <c r="G11" s="582">
        <v>15</v>
      </c>
      <c r="H11" s="583" t="s">
        <v>491</v>
      </c>
      <c r="I11" s="19">
        <v>3</v>
      </c>
      <c r="J11" s="19"/>
      <c r="K11" s="870" t="s">
        <v>490</v>
      </c>
      <c r="L11" s="871"/>
      <c r="M11" s="871"/>
      <c r="N11" s="317">
        <f>+N10/(G15*G16)</f>
        <v>1</v>
      </c>
      <c r="O11" s="480" t="s">
        <v>483</v>
      </c>
      <c r="Q11" s="22"/>
      <c r="R11" s="858" t="s">
        <v>421</v>
      </c>
      <c r="S11" s="859"/>
      <c r="T11" s="859"/>
      <c r="U11" s="859"/>
      <c r="V11" s="860"/>
      <c r="W11" s="22"/>
      <c r="X11" s="19"/>
      <c r="Y11" s="848" t="s">
        <v>582</v>
      </c>
      <c r="Z11" s="849"/>
      <c r="AA11" s="363">
        <v>15</v>
      </c>
      <c r="AB11" s="500" t="s">
        <v>568</v>
      </c>
      <c r="AC11" s="19"/>
      <c r="AD11" s="19"/>
      <c r="AE11" s="19"/>
      <c r="AH11" s="573" t="s">
        <v>696</v>
      </c>
      <c r="AI11" s="568">
        <v>1500</v>
      </c>
      <c r="AJ11" s="568">
        <v>16</v>
      </c>
      <c r="AK11" s="568">
        <v>12</v>
      </c>
      <c r="AL11" s="575" t="s">
        <v>708</v>
      </c>
      <c r="AM11" s="574">
        <v>33.799999999999997</v>
      </c>
      <c r="AN11" s="566"/>
      <c r="AO11" s="566"/>
      <c r="AP11" s="566"/>
    </row>
    <row r="12" spans="1:42" x14ac:dyDescent="0.25">
      <c r="A12" s="19"/>
      <c r="B12" s="809" t="s">
        <v>489</v>
      </c>
      <c r="C12" s="810"/>
      <c r="D12" s="810"/>
      <c r="E12" s="810"/>
      <c r="F12" s="582" t="s">
        <v>488</v>
      </c>
      <c r="G12" s="582">
        <v>120</v>
      </c>
      <c r="H12" s="583" t="s">
        <v>487</v>
      </c>
      <c r="I12" s="19">
        <v>4</v>
      </c>
      <c r="J12" s="19"/>
      <c r="K12" s="870" t="s">
        <v>486</v>
      </c>
      <c r="L12" s="871"/>
      <c r="M12" s="871"/>
      <c r="N12" s="317">
        <f>+N11*G31</f>
        <v>0.6</v>
      </c>
      <c r="O12" s="480" t="s">
        <v>483</v>
      </c>
      <c r="P12" s="19"/>
      <c r="Q12" s="22"/>
      <c r="R12" s="861" t="s">
        <v>418</v>
      </c>
      <c r="S12" s="862"/>
      <c r="T12" s="251" t="s">
        <v>32</v>
      </c>
      <c r="U12" s="280">
        <f>2492.9-2.0523*((G37+U8)/2)-0.0030752*((G37+U8)/2)^2</f>
        <v>2269.5874947257084</v>
      </c>
      <c r="V12" s="248" t="s">
        <v>33</v>
      </c>
      <c r="W12" s="22"/>
      <c r="X12" s="19"/>
      <c r="Y12" s="809" t="s">
        <v>583</v>
      </c>
      <c r="Z12" s="810"/>
      <c r="AA12" s="492">
        <v>0.875</v>
      </c>
      <c r="AB12" s="493"/>
      <c r="AC12" s="19"/>
      <c r="AD12" s="19"/>
      <c r="AE12" s="19"/>
      <c r="AH12" s="573" t="s">
        <v>697</v>
      </c>
      <c r="AI12" s="568">
        <v>1500</v>
      </c>
      <c r="AJ12" s="568">
        <v>16</v>
      </c>
      <c r="AK12" s="568">
        <v>15</v>
      </c>
      <c r="AL12" s="575" t="s">
        <v>708</v>
      </c>
      <c r="AM12" s="574">
        <v>22.75</v>
      </c>
      <c r="AN12" s="566"/>
      <c r="AO12" s="566"/>
      <c r="AP12" s="566"/>
    </row>
    <row r="13" spans="1:42" x14ac:dyDescent="0.25">
      <c r="A13" s="19"/>
      <c r="B13" s="781" t="s">
        <v>485</v>
      </c>
      <c r="C13" s="782"/>
      <c r="D13" s="782"/>
      <c r="E13" s="782"/>
      <c r="F13" s="258" t="s">
        <v>484</v>
      </c>
      <c r="G13" s="258">
        <v>17</v>
      </c>
      <c r="H13" s="318" t="s">
        <v>22</v>
      </c>
      <c r="I13" s="19">
        <v>5</v>
      </c>
      <c r="J13" s="19"/>
      <c r="K13" s="870" t="s">
        <v>411</v>
      </c>
      <c r="L13" s="871"/>
      <c r="M13" s="871"/>
      <c r="N13" s="317">
        <f>+N12-((N12*G22)+((N12-(N12*G22))*G23))</f>
        <v>0.56447999999999998</v>
      </c>
      <c r="O13" s="480" t="s">
        <v>483</v>
      </c>
      <c r="P13" s="19"/>
      <c r="Q13" s="22"/>
      <c r="R13" s="861" t="s">
        <v>419</v>
      </c>
      <c r="S13" s="862"/>
      <c r="T13" s="251" t="s">
        <v>32</v>
      </c>
      <c r="U13" s="280">
        <f>2492.9-2.0523*((U8+U9)/2)-0.0030752*((U8+U9)/2)^2</f>
        <v>2250.4303533977154</v>
      </c>
      <c r="V13" s="248" t="s">
        <v>33</v>
      </c>
      <c r="W13" s="22"/>
      <c r="X13" s="19"/>
      <c r="Y13" s="809" t="s">
        <v>584</v>
      </c>
      <c r="Z13" s="810"/>
      <c r="AA13" s="492">
        <v>0.82</v>
      </c>
      <c r="AB13" s="493"/>
      <c r="AC13" s="19"/>
      <c r="AD13" s="19"/>
      <c r="AE13" s="19"/>
      <c r="AH13" s="573" t="s">
        <v>698</v>
      </c>
      <c r="AI13" s="568">
        <v>1500</v>
      </c>
      <c r="AJ13" s="568">
        <v>16</v>
      </c>
      <c r="AK13" s="568">
        <v>15</v>
      </c>
      <c r="AL13" s="575" t="s">
        <v>708</v>
      </c>
      <c r="AM13" s="574">
        <v>14.5</v>
      </c>
      <c r="AN13" s="566"/>
      <c r="AO13" s="566"/>
      <c r="AP13" s="566"/>
    </row>
    <row r="14" spans="1:42" ht="15.75" thickBot="1" x14ac:dyDescent="0.3">
      <c r="A14" s="19"/>
      <c r="B14" s="809" t="s">
        <v>482</v>
      </c>
      <c r="C14" s="810"/>
      <c r="D14" s="810"/>
      <c r="E14" s="810"/>
      <c r="F14" s="582" t="s">
        <v>481</v>
      </c>
      <c r="G14" s="582">
        <v>2</v>
      </c>
      <c r="H14" s="583" t="s">
        <v>480</v>
      </c>
      <c r="I14" s="19">
        <v>6</v>
      </c>
      <c r="J14" s="19"/>
      <c r="K14" s="870" t="s">
        <v>479</v>
      </c>
      <c r="L14" s="871"/>
      <c r="M14" s="871"/>
      <c r="N14" s="317">
        <f>+N13*G24/G27*1000</f>
        <v>102.63272727272727</v>
      </c>
      <c r="O14" s="480" t="s">
        <v>4</v>
      </c>
      <c r="P14" s="19"/>
      <c r="Q14" s="22"/>
      <c r="R14" s="856" t="s">
        <v>420</v>
      </c>
      <c r="S14" s="857"/>
      <c r="T14" s="252" t="s">
        <v>32</v>
      </c>
      <c r="U14" s="279">
        <f>2492.9-2.0523*((U9+U10)/2)-0.0030752*((U9+U10)/2)^2</f>
        <v>2250.2468468201446</v>
      </c>
      <c r="V14" s="253" t="s">
        <v>33</v>
      </c>
      <c r="W14" s="22"/>
      <c r="X14" s="19"/>
      <c r="Y14" s="840" t="s">
        <v>578</v>
      </c>
      <c r="Z14" s="841"/>
      <c r="AA14" s="492">
        <v>220</v>
      </c>
      <c r="AB14" s="493" t="s">
        <v>581</v>
      </c>
      <c r="AC14" s="19"/>
      <c r="AD14" s="19"/>
      <c r="AE14" s="19"/>
      <c r="AH14" s="573" t="s">
        <v>699</v>
      </c>
      <c r="AI14" s="568">
        <v>1800</v>
      </c>
      <c r="AJ14" s="568">
        <v>25</v>
      </c>
      <c r="AK14" s="568">
        <v>20</v>
      </c>
      <c r="AL14" s="575" t="s">
        <v>708</v>
      </c>
      <c r="AM14" s="574">
        <v>51</v>
      </c>
      <c r="AN14" s="566"/>
      <c r="AO14" s="566"/>
      <c r="AP14" s="566"/>
    </row>
    <row r="15" spans="1:42" ht="15.75" thickBot="1" x14ac:dyDescent="0.3">
      <c r="A15" s="19"/>
      <c r="B15" s="809" t="s">
        <v>592</v>
      </c>
      <c r="C15" s="810"/>
      <c r="D15" s="810"/>
      <c r="E15" s="810"/>
      <c r="F15" s="582" t="s">
        <v>481</v>
      </c>
      <c r="G15" s="582">
        <v>6</v>
      </c>
      <c r="H15" s="583" t="s">
        <v>593</v>
      </c>
      <c r="I15" s="19">
        <v>7</v>
      </c>
      <c r="J15" s="19"/>
      <c r="K15" s="863" t="s">
        <v>503</v>
      </c>
      <c r="L15" s="864"/>
      <c r="M15" s="864"/>
      <c r="N15" s="481">
        <f>+N11*1.3*1000</f>
        <v>1300</v>
      </c>
      <c r="O15" s="482" t="s">
        <v>4</v>
      </c>
      <c r="P15" s="19"/>
      <c r="Q15" s="22"/>
      <c r="R15" s="858" t="s">
        <v>403</v>
      </c>
      <c r="S15" s="859"/>
      <c r="T15" s="859"/>
      <c r="U15" s="859"/>
      <c r="V15" s="860"/>
      <c r="W15" s="22"/>
      <c r="X15" s="19"/>
      <c r="Y15" s="840" t="s">
        <v>585</v>
      </c>
      <c r="Z15" s="841"/>
      <c r="AA15" s="492">
        <f>+N8/N11</f>
        <v>144</v>
      </c>
      <c r="AB15" s="493" t="s">
        <v>573</v>
      </c>
      <c r="AC15" s="19"/>
      <c r="AD15" s="19"/>
      <c r="AE15" s="19"/>
      <c r="AH15" s="573" t="s">
        <v>700</v>
      </c>
      <c r="AI15" s="568">
        <v>2000</v>
      </c>
      <c r="AJ15" s="568">
        <v>25</v>
      </c>
      <c r="AK15" s="568">
        <v>20</v>
      </c>
      <c r="AL15" s="575" t="s">
        <v>708</v>
      </c>
      <c r="AM15" s="574">
        <v>24.7</v>
      </c>
      <c r="AN15" s="566"/>
      <c r="AO15" s="566"/>
      <c r="AP15" s="566"/>
    </row>
    <row r="16" spans="1:42" ht="15.75" thickBot="1" x14ac:dyDescent="0.3">
      <c r="A16" s="19"/>
      <c r="B16" s="811" t="s">
        <v>562</v>
      </c>
      <c r="C16" s="812"/>
      <c r="D16" s="812"/>
      <c r="E16" s="812"/>
      <c r="F16" s="584" t="s">
        <v>481</v>
      </c>
      <c r="G16" s="584">
        <v>12</v>
      </c>
      <c r="H16" s="585" t="s">
        <v>59</v>
      </c>
      <c r="I16" s="19">
        <v>8</v>
      </c>
      <c r="J16" s="19"/>
      <c r="K16" s="19"/>
      <c r="L16" s="19"/>
      <c r="M16" s="19"/>
      <c r="N16" s="19"/>
      <c r="O16" s="19"/>
      <c r="P16" s="19"/>
      <c r="Q16" s="19"/>
      <c r="R16" s="861" t="s">
        <v>426</v>
      </c>
      <c r="S16" s="862"/>
      <c r="T16" s="280" t="s">
        <v>46</v>
      </c>
      <c r="U16" s="280">
        <f>4.18*(1-0.006*G24)</f>
        <v>3.7536399999999999</v>
      </c>
      <c r="V16" s="248" t="s">
        <v>47</v>
      </c>
      <c r="W16" s="19"/>
      <c r="X16" s="19"/>
      <c r="Y16" s="809" t="s">
        <v>587</v>
      </c>
      <c r="Z16" s="810"/>
      <c r="AA16" s="223">
        <f>((+AA11*0.75)/AA12)</f>
        <v>12.857142857142858</v>
      </c>
      <c r="AB16" s="493" t="s">
        <v>19</v>
      </c>
      <c r="AC16" s="19"/>
      <c r="AD16" s="19"/>
      <c r="AE16" s="19"/>
      <c r="AH16" s="573" t="s">
        <v>701</v>
      </c>
      <c r="AI16" s="568">
        <v>2000</v>
      </c>
      <c r="AJ16" s="568">
        <v>25</v>
      </c>
      <c r="AK16" s="568">
        <v>20</v>
      </c>
      <c r="AL16" s="575" t="s">
        <v>708</v>
      </c>
      <c r="AM16" s="574">
        <v>28.4</v>
      </c>
      <c r="AN16" s="566"/>
      <c r="AO16" s="566"/>
      <c r="AP16" s="566"/>
    </row>
    <row r="17" spans="1:42" ht="15.75" thickBot="1" x14ac:dyDescent="0.3">
      <c r="A17" s="19"/>
      <c r="B17" s="19"/>
      <c r="C17" s="19"/>
      <c r="D17" s="19"/>
      <c r="I17" s="20"/>
      <c r="J17" s="19"/>
      <c r="K17" s="858" t="s">
        <v>1</v>
      </c>
      <c r="L17" s="859"/>
      <c r="M17" s="859"/>
      <c r="N17" s="859"/>
      <c r="O17" s="860"/>
      <c r="P17" s="19"/>
      <c r="Q17" s="19"/>
      <c r="R17" s="861" t="s">
        <v>427</v>
      </c>
      <c r="S17" s="862"/>
      <c r="T17" s="280" t="s">
        <v>46</v>
      </c>
      <c r="U17" s="280">
        <f>4.18*(1-0.006*G25)</f>
        <v>3.6282399999999999</v>
      </c>
      <c r="V17" s="248" t="s">
        <v>47</v>
      </c>
      <c r="W17" s="123"/>
      <c r="X17" s="20"/>
      <c r="Y17" s="809" t="s">
        <v>588</v>
      </c>
      <c r="Z17" s="810"/>
      <c r="AA17" s="223">
        <f>+AA16*TAN(ACOS(AA13))</f>
        <v>8.9743409192534962</v>
      </c>
      <c r="AB17" s="493" t="s">
        <v>589</v>
      </c>
      <c r="AC17" s="19"/>
      <c r="AD17" s="19"/>
      <c r="AE17" s="19"/>
      <c r="AH17" s="573" t="s">
        <v>702</v>
      </c>
      <c r="AI17" s="576" t="s">
        <v>708</v>
      </c>
      <c r="AJ17" s="576" t="s">
        <v>708</v>
      </c>
      <c r="AK17" s="576" t="s">
        <v>708</v>
      </c>
      <c r="AL17" s="575" t="s">
        <v>708</v>
      </c>
      <c r="AM17" s="577" t="s">
        <v>708</v>
      </c>
      <c r="AN17" s="566"/>
      <c r="AO17" s="566"/>
      <c r="AP17" s="566"/>
    </row>
    <row r="18" spans="1:42" ht="15.75" thickBot="1" x14ac:dyDescent="0.3">
      <c r="A18" s="19"/>
      <c r="B18" s="806" t="s">
        <v>0</v>
      </c>
      <c r="C18" s="807"/>
      <c r="D18" s="807"/>
      <c r="E18" s="807"/>
      <c r="F18" s="807"/>
      <c r="G18" s="807"/>
      <c r="H18" s="808"/>
      <c r="J18" s="19"/>
      <c r="K18" s="886" t="s">
        <v>397</v>
      </c>
      <c r="L18" s="887"/>
      <c r="M18" s="281" t="s">
        <v>429</v>
      </c>
      <c r="N18" s="262">
        <f>N19/G31</f>
        <v>1000</v>
      </c>
      <c r="O18" s="250" t="s">
        <v>4</v>
      </c>
      <c r="P18" s="19"/>
      <c r="Q18" s="19"/>
      <c r="R18" s="856" t="s">
        <v>428</v>
      </c>
      <c r="S18" s="857"/>
      <c r="T18" s="279" t="s">
        <v>46</v>
      </c>
      <c r="U18" s="279">
        <f>4.18*(1-0.006*G26)</f>
        <v>2.2989999999999999</v>
      </c>
      <c r="V18" s="253" t="s">
        <v>47</v>
      </c>
      <c r="W18" s="110"/>
      <c r="X18" s="20"/>
      <c r="Y18" s="840" t="s">
        <v>580</v>
      </c>
      <c r="Z18" s="841"/>
      <c r="AA18" s="492">
        <f>+AA16*AA15</f>
        <v>1851.4285714285716</v>
      </c>
      <c r="AB18" s="493" t="s">
        <v>590</v>
      </c>
      <c r="AC18" s="19"/>
      <c r="AD18" s="19"/>
      <c r="AE18" s="19"/>
      <c r="AH18" s="578" t="s">
        <v>707</v>
      </c>
      <c r="AI18" s="579">
        <v>3000</v>
      </c>
      <c r="AJ18" s="579">
        <v>40</v>
      </c>
      <c r="AK18" s="579">
        <v>30</v>
      </c>
      <c r="AL18" s="580" t="s">
        <v>708</v>
      </c>
      <c r="AM18" s="581">
        <v>27.7</v>
      </c>
      <c r="AN18" s="566"/>
      <c r="AO18" s="566"/>
      <c r="AP18" s="566"/>
    </row>
    <row r="19" spans="1:42" ht="15.75" thickBot="1" x14ac:dyDescent="0.3">
      <c r="A19" s="19"/>
      <c r="B19" s="813" t="s">
        <v>478</v>
      </c>
      <c r="C19" s="814"/>
      <c r="D19" s="814"/>
      <c r="E19" s="814"/>
      <c r="F19" s="624" t="s">
        <v>3</v>
      </c>
      <c r="G19" s="624">
        <f>+N14</f>
        <v>102.63272727272727</v>
      </c>
      <c r="H19" s="625" t="s">
        <v>4</v>
      </c>
      <c r="I19" s="20" t="s">
        <v>436</v>
      </c>
      <c r="J19" s="19">
        <v>0</v>
      </c>
      <c r="K19" s="874" t="s">
        <v>396</v>
      </c>
      <c r="L19" s="875"/>
      <c r="M19" s="280" t="s">
        <v>430</v>
      </c>
      <c r="N19" s="263">
        <f>+N21/(1-G22)</f>
        <v>600</v>
      </c>
      <c r="O19" s="248" t="s">
        <v>4</v>
      </c>
      <c r="P19" s="316"/>
      <c r="Q19" s="19"/>
      <c r="R19" s="122"/>
      <c r="S19" s="23"/>
      <c r="T19" s="23"/>
      <c r="U19" s="23"/>
      <c r="V19" s="23"/>
      <c r="W19" s="245"/>
      <c r="X19" s="20"/>
      <c r="Y19" s="840" t="s">
        <v>579</v>
      </c>
      <c r="Z19" s="841"/>
      <c r="AA19" s="492">
        <v>500</v>
      </c>
      <c r="AB19" s="493" t="s">
        <v>586</v>
      </c>
      <c r="AC19" s="19"/>
      <c r="AD19" s="19"/>
      <c r="AE19" s="19"/>
      <c r="AL19" s="656"/>
      <c r="AO19" s="566"/>
      <c r="AP19" s="566"/>
    </row>
    <row r="20" spans="1:42" x14ac:dyDescent="0.25">
      <c r="A20" s="19"/>
      <c r="B20" s="765" t="s">
        <v>74</v>
      </c>
      <c r="C20" s="766"/>
      <c r="D20" s="766"/>
      <c r="E20" s="766"/>
      <c r="F20" s="589" t="s">
        <v>75</v>
      </c>
      <c r="G20" s="242">
        <f>+I20</f>
        <v>2.1114695878351339</v>
      </c>
      <c r="H20" s="6" t="s">
        <v>76</v>
      </c>
      <c r="I20" s="244">
        <f>N30/G19</f>
        <v>2.1114695878351339</v>
      </c>
      <c r="J20" s="19">
        <v>1</v>
      </c>
      <c r="K20" s="878" t="s">
        <v>413</v>
      </c>
      <c r="L20" s="879"/>
      <c r="M20" s="278" t="s">
        <v>431</v>
      </c>
      <c r="N20" s="265">
        <f>+N19*G22</f>
        <v>12</v>
      </c>
      <c r="O20" s="248" t="s">
        <v>4</v>
      </c>
      <c r="P20" s="316"/>
      <c r="Q20" s="19"/>
      <c r="R20" s="876" t="s">
        <v>7</v>
      </c>
      <c r="S20" s="877"/>
      <c r="T20" s="282" t="s">
        <v>8</v>
      </c>
      <c r="U20" s="282">
        <f>17.85-20.35*G29</f>
        <v>14.797500000000001</v>
      </c>
      <c r="V20" s="285" t="s">
        <v>9</v>
      </c>
      <c r="W20" s="245"/>
      <c r="X20" s="20"/>
      <c r="Y20" s="842" t="s">
        <v>572</v>
      </c>
      <c r="Z20" s="843"/>
      <c r="AA20" s="501">
        <f>+AA18*AA19</f>
        <v>925714.2857142858</v>
      </c>
      <c r="AB20" s="502" t="s">
        <v>576</v>
      </c>
      <c r="AC20" s="19"/>
      <c r="AD20" s="19"/>
      <c r="AE20" s="19"/>
      <c r="AL20" s="656"/>
      <c r="AO20" s="566"/>
      <c r="AP20" s="566"/>
    </row>
    <row r="21" spans="1:42" x14ac:dyDescent="0.25">
      <c r="A21" s="19"/>
      <c r="B21" s="763" t="s">
        <v>326</v>
      </c>
      <c r="C21" s="764"/>
      <c r="D21" s="764"/>
      <c r="E21" s="764"/>
      <c r="F21" s="17" t="s">
        <v>5</v>
      </c>
      <c r="G21" s="40">
        <f>+D_Energetico_A!D6</f>
        <v>0.31870884535146737</v>
      </c>
      <c r="H21" s="18" t="s">
        <v>6</v>
      </c>
      <c r="I21" s="20"/>
      <c r="J21" s="19">
        <v>2</v>
      </c>
      <c r="K21" s="878" t="s">
        <v>412</v>
      </c>
      <c r="L21" s="879"/>
      <c r="M21" s="280" t="s">
        <v>432</v>
      </c>
      <c r="N21" s="265">
        <f>+N23/(1-G23)</f>
        <v>588</v>
      </c>
      <c r="O21" s="248" t="s">
        <v>4</v>
      </c>
      <c r="P21" s="19">
        <f>+N21*0.03</f>
        <v>17.64</v>
      </c>
      <c r="Q21" s="19"/>
      <c r="R21" s="872" t="s">
        <v>17</v>
      </c>
      <c r="S21" s="873"/>
      <c r="T21" s="283" t="s">
        <v>18</v>
      </c>
      <c r="U21" s="283">
        <f>(G20*G19)*U20/3.6</f>
        <v>890.75147058823529</v>
      </c>
      <c r="V21" s="266" t="s">
        <v>19</v>
      </c>
      <c r="W21" s="245"/>
      <c r="X21" s="20"/>
      <c r="Y21" s="809" t="s">
        <v>595</v>
      </c>
      <c r="Z21" s="810"/>
      <c r="AA21" s="503">
        <f>6160000*G10</f>
        <v>110880000</v>
      </c>
      <c r="AB21" s="493" t="s">
        <v>596</v>
      </c>
      <c r="AC21" s="19"/>
      <c r="AD21" s="19"/>
      <c r="AE21" s="19"/>
      <c r="AO21" s="566"/>
      <c r="AP21" s="566"/>
    </row>
    <row r="22" spans="1:42" ht="15.75" thickBot="1" x14ac:dyDescent="0.3">
      <c r="A22" s="19"/>
      <c r="B22" s="765" t="s">
        <v>10</v>
      </c>
      <c r="C22" s="766"/>
      <c r="D22" s="766"/>
      <c r="E22" s="766"/>
      <c r="F22" s="589" t="s">
        <v>11</v>
      </c>
      <c r="G22" s="5">
        <v>0.02</v>
      </c>
      <c r="H22" s="6" t="s">
        <v>6</v>
      </c>
      <c r="I22" s="20"/>
      <c r="J22" s="19">
        <v>3</v>
      </c>
      <c r="K22" s="878" t="s">
        <v>14</v>
      </c>
      <c r="L22" s="879"/>
      <c r="M22" s="278" t="s">
        <v>433</v>
      </c>
      <c r="N22" s="265">
        <f>+N21*G23</f>
        <v>23.52</v>
      </c>
      <c r="O22" s="248" t="s">
        <v>4</v>
      </c>
      <c r="P22" s="19">
        <f>+P21*16*60</f>
        <v>16934.400000000001</v>
      </c>
      <c r="Q22" s="19"/>
      <c r="R22" s="880" t="s">
        <v>26</v>
      </c>
      <c r="S22" s="881"/>
      <c r="T22" s="284" t="s">
        <v>27</v>
      </c>
      <c r="U22" s="284">
        <f>U21/1000</f>
        <v>0.89075147058823534</v>
      </c>
      <c r="V22" s="267" t="s">
        <v>28</v>
      </c>
      <c r="W22" s="32"/>
      <c r="X22" s="20"/>
      <c r="Y22" s="809" t="s">
        <v>599</v>
      </c>
      <c r="Z22" s="810"/>
      <c r="AA22" s="504">
        <v>1000000</v>
      </c>
      <c r="AB22" s="493" t="s">
        <v>600</v>
      </c>
      <c r="AC22" s="19"/>
      <c r="AD22" s="19"/>
      <c r="AE22" s="19"/>
      <c r="AO22" s="566"/>
      <c r="AP22" s="566"/>
    </row>
    <row r="23" spans="1:42" ht="15.75" thickBot="1" x14ac:dyDescent="0.3">
      <c r="A23" s="19"/>
      <c r="B23" s="765" t="s">
        <v>14</v>
      </c>
      <c r="C23" s="766"/>
      <c r="D23" s="766"/>
      <c r="E23" s="766"/>
      <c r="F23" s="589" t="s">
        <v>15</v>
      </c>
      <c r="G23" s="5">
        <v>0.04</v>
      </c>
      <c r="H23" s="6" t="s">
        <v>6</v>
      </c>
      <c r="I23" s="20"/>
      <c r="J23" s="19">
        <v>4</v>
      </c>
      <c r="K23" s="878" t="s">
        <v>411</v>
      </c>
      <c r="L23" s="879"/>
      <c r="M23" s="280" t="s">
        <v>434</v>
      </c>
      <c r="N23" s="265">
        <f>+G19*G27/G24</f>
        <v>564.48</v>
      </c>
      <c r="O23" s="248" t="s">
        <v>4</v>
      </c>
      <c r="P23" s="19">
        <f>+P22/9</f>
        <v>1881.6000000000001</v>
      </c>
      <c r="Q23" s="19"/>
      <c r="R23" s="19"/>
      <c r="S23" s="19"/>
      <c r="T23" s="19"/>
      <c r="U23" s="19"/>
      <c r="V23" s="19"/>
      <c r="W23" s="245"/>
      <c r="X23" s="20"/>
      <c r="Y23" s="809" t="s">
        <v>601</v>
      </c>
      <c r="Z23" s="810"/>
      <c r="AA23" s="319">
        <v>10</v>
      </c>
      <c r="AB23" s="493" t="s">
        <v>605</v>
      </c>
      <c r="AC23" s="19"/>
      <c r="AD23" s="19"/>
      <c r="AE23" s="19"/>
      <c r="AO23" s="566"/>
      <c r="AP23" s="566"/>
    </row>
    <row r="24" spans="1:42" ht="15.75" thickBot="1" x14ac:dyDescent="0.3">
      <c r="A24" s="19"/>
      <c r="B24" s="767" t="s">
        <v>20</v>
      </c>
      <c r="C24" s="768"/>
      <c r="D24" s="768"/>
      <c r="E24" s="768"/>
      <c r="F24" s="2" t="s">
        <v>21</v>
      </c>
      <c r="G24" s="2">
        <f>+G13</f>
        <v>17</v>
      </c>
      <c r="H24" s="3" t="s">
        <v>22</v>
      </c>
      <c r="I24" s="20"/>
      <c r="J24" s="19">
        <v>5</v>
      </c>
      <c r="K24" s="874" t="s">
        <v>398</v>
      </c>
      <c r="L24" s="875"/>
      <c r="M24" s="280" t="s">
        <v>435</v>
      </c>
      <c r="N24" s="263">
        <f>N21-G19</f>
        <v>485.36727272727273</v>
      </c>
      <c r="O24" s="248" t="s">
        <v>4</v>
      </c>
      <c r="P24" s="19"/>
      <c r="Q24" s="19"/>
      <c r="R24" s="832" t="s">
        <v>709</v>
      </c>
      <c r="S24" s="833"/>
      <c r="T24" s="833"/>
      <c r="U24" s="833"/>
      <c r="V24" s="833"/>
      <c r="W24" s="834"/>
      <c r="X24" s="22"/>
      <c r="Y24" s="811" t="s">
        <v>602</v>
      </c>
      <c r="Z24" s="812"/>
      <c r="AA24" s="508">
        <v>200000</v>
      </c>
      <c r="AB24" s="494" t="s">
        <v>600</v>
      </c>
      <c r="AC24" s="22"/>
      <c r="AD24" s="19"/>
      <c r="AE24" s="19"/>
      <c r="AO24" s="566"/>
      <c r="AP24" s="566"/>
    </row>
    <row r="25" spans="1:42" ht="15.75" thickBot="1" x14ac:dyDescent="0.3">
      <c r="A25" s="19"/>
      <c r="B25" s="767" t="s">
        <v>24</v>
      </c>
      <c r="C25" s="768"/>
      <c r="D25" s="768"/>
      <c r="E25" s="768"/>
      <c r="F25" s="2" t="s">
        <v>25</v>
      </c>
      <c r="G25" s="2">
        <v>22</v>
      </c>
      <c r="H25" s="3" t="s">
        <v>22</v>
      </c>
      <c r="I25" s="20"/>
      <c r="J25" s="19">
        <v>6</v>
      </c>
      <c r="K25" s="874" t="s">
        <v>401</v>
      </c>
      <c r="L25" s="875"/>
      <c r="M25" s="280" t="s">
        <v>432</v>
      </c>
      <c r="N25" s="263">
        <f>+N21</f>
        <v>588</v>
      </c>
      <c r="O25" s="248" t="s">
        <v>4</v>
      </c>
      <c r="P25" s="19"/>
      <c r="Q25" s="19"/>
      <c r="R25" s="659" t="s">
        <v>703</v>
      </c>
      <c r="S25" s="660" t="s">
        <v>704</v>
      </c>
      <c r="T25" s="660" t="s">
        <v>564</v>
      </c>
      <c r="U25" s="660" t="s">
        <v>577</v>
      </c>
      <c r="V25" s="660" t="s">
        <v>705</v>
      </c>
      <c r="W25" s="661" t="s">
        <v>706</v>
      </c>
      <c r="X25" s="22"/>
      <c r="Y25" s="850" t="s">
        <v>604</v>
      </c>
      <c r="Z25" s="851"/>
      <c r="AA25" s="497">
        <f>+AA21/G11+AA22*AA23+AA24+AA20</f>
        <v>18517714.285714287</v>
      </c>
      <c r="AB25" s="498" t="s">
        <v>600</v>
      </c>
      <c r="AC25" s="22"/>
      <c r="AD25" s="19"/>
      <c r="AE25" s="19"/>
      <c r="AO25" s="566"/>
      <c r="AP25" s="566"/>
    </row>
    <row r="26" spans="1:42" x14ac:dyDescent="0.25">
      <c r="A26" s="19"/>
      <c r="B26" s="767" t="s">
        <v>29</v>
      </c>
      <c r="C26" s="768"/>
      <c r="D26" s="768"/>
      <c r="E26" s="768"/>
      <c r="F26" s="2" t="s">
        <v>30</v>
      </c>
      <c r="G26" s="2">
        <v>75</v>
      </c>
      <c r="H26" s="3" t="s">
        <v>22</v>
      </c>
      <c r="I26" s="20"/>
      <c r="J26" s="19">
        <v>7</v>
      </c>
      <c r="K26" s="874" t="s">
        <v>399</v>
      </c>
      <c r="L26" s="875"/>
      <c r="M26" s="280" t="s">
        <v>36</v>
      </c>
      <c r="N26" s="263">
        <f>+N23</f>
        <v>564.48</v>
      </c>
      <c r="O26" s="248" t="s">
        <v>4</v>
      </c>
      <c r="P26" s="19"/>
      <c r="Q26" s="19"/>
      <c r="R26" s="662" t="s">
        <v>692</v>
      </c>
      <c r="S26" s="569">
        <v>500</v>
      </c>
      <c r="T26" s="569">
        <v>10</v>
      </c>
      <c r="U26" s="569">
        <v>5</v>
      </c>
      <c r="V26" s="569">
        <v>8</v>
      </c>
      <c r="W26" s="663">
        <v>20.5</v>
      </c>
      <c r="X26" s="22"/>
      <c r="Y26" s="848" t="s">
        <v>603</v>
      </c>
      <c r="Z26" s="849"/>
      <c r="AA26" s="510">
        <f>+G19*G16*G15*G14</f>
        <v>14779.112727272726</v>
      </c>
      <c r="AB26" s="511" t="s">
        <v>31</v>
      </c>
      <c r="AC26" s="22">
        <f>+AA26*AA27*12</f>
        <v>319228834.90909088</v>
      </c>
      <c r="AD26" s="19"/>
      <c r="AE26" s="19"/>
      <c r="AO26" s="566"/>
      <c r="AP26" s="566"/>
    </row>
    <row r="27" spans="1:42" ht="15.75" thickBot="1" x14ac:dyDescent="0.3">
      <c r="A27" s="19"/>
      <c r="B27" s="767" t="s">
        <v>39</v>
      </c>
      <c r="C27" s="768"/>
      <c r="D27" s="768"/>
      <c r="E27" s="768"/>
      <c r="F27" s="589" t="s">
        <v>35</v>
      </c>
      <c r="G27" s="2">
        <v>93.5</v>
      </c>
      <c r="H27" s="3" t="s">
        <v>22</v>
      </c>
      <c r="I27" s="20"/>
      <c r="J27" s="19">
        <v>8</v>
      </c>
      <c r="K27" s="874" t="s">
        <v>400</v>
      </c>
      <c r="L27" s="875"/>
      <c r="M27" s="280" t="s">
        <v>40</v>
      </c>
      <c r="N27" s="263">
        <f>N26*G25/G26</f>
        <v>165.58080000000001</v>
      </c>
      <c r="O27" s="248" t="s">
        <v>4</v>
      </c>
      <c r="P27" s="19"/>
      <c r="Q27" s="19"/>
      <c r="R27" s="662" t="s">
        <v>693</v>
      </c>
      <c r="S27" s="569">
        <v>900</v>
      </c>
      <c r="T27" s="569">
        <v>8</v>
      </c>
      <c r="U27" s="569">
        <v>8</v>
      </c>
      <c r="V27" s="575" t="s">
        <v>708</v>
      </c>
      <c r="W27" s="663">
        <v>25.8</v>
      </c>
      <c r="X27" s="22"/>
      <c r="Y27" s="846" t="s">
        <v>597</v>
      </c>
      <c r="Z27" s="847"/>
      <c r="AA27" s="505">
        <v>1800</v>
      </c>
      <c r="AB27" s="502" t="s">
        <v>598</v>
      </c>
      <c r="AC27" s="22"/>
      <c r="AD27" s="19"/>
      <c r="AE27" s="19"/>
      <c r="AI27" s="567"/>
      <c r="AO27" s="566"/>
      <c r="AP27" s="566"/>
    </row>
    <row r="28" spans="1:42" ht="15.75" thickBot="1" x14ac:dyDescent="0.3">
      <c r="A28" s="19"/>
      <c r="B28" s="767" t="s">
        <v>41</v>
      </c>
      <c r="C28" s="768"/>
      <c r="D28" s="768"/>
      <c r="E28" s="768"/>
      <c r="F28" s="2" t="s">
        <v>42</v>
      </c>
      <c r="G28" s="5" t="s">
        <v>477</v>
      </c>
      <c r="H28" s="3" t="s">
        <v>43</v>
      </c>
      <c r="I28" s="20"/>
      <c r="J28" s="19">
        <v>9</v>
      </c>
      <c r="K28" s="882" t="s">
        <v>423</v>
      </c>
      <c r="L28" s="883"/>
      <c r="M28" s="247" t="s">
        <v>406</v>
      </c>
      <c r="N28" s="265">
        <f>G19*G20</f>
        <v>216.70588235294116</v>
      </c>
      <c r="O28" s="248" t="s">
        <v>4</v>
      </c>
      <c r="P28" s="19"/>
      <c r="Q28" s="19"/>
      <c r="R28" s="662" t="s">
        <v>694</v>
      </c>
      <c r="S28" s="569">
        <v>900</v>
      </c>
      <c r="T28" s="569">
        <v>8</v>
      </c>
      <c r="U28" s="569">
        <v>8</v>
      </c>
      <c r="V28" s="569">
        <v>16</v>
      </c>
      <c r="W28" s="663">
        <v>11</v>
      </c>
      <c r="X28" s="22"/>
      <c r="Y28" s="844" t="s">
        <v>606</v>
      </c>
      <c r="Z28" s="845"/>
      <c r="AA28" s="590">
        <f>+AA27*AA26</f>
        <v>26602402.909090906</v>
      </c>
      <c r="AB28" s="499" t="s">
        <v>600</v>
      </c>
      <c r="AC28" s="22"/>
      <c r="AD28" s="19"/>
      <c r="AE28" s="19"/>
      <c r="AI28" s="567"/>
      <c r="AO28" s="566"/>
      <c r="AP28" s="566"/>
    </row>
    <row r="29" spans="1:42" x14ac:dyDescent="0.25">
      <c r="A29" s="19"/>
      <c r="B29" s="765" t="s">
        <v>44</v>
      </c>
      <c r="C29" s="766"/>
      <c r="D29" s="766"/>
      <c r="E29" s="766"/>
      <c r="F29" s="589" t="s">
        <v>45</v>
      </c>
      <c r="G29" s="5">
        <v>0.15</v>
      </c>
      <c r="H29" s="6" t="s">
        <v>6</v>
      </c>
      <c r="I29" s="20"/>
      <c r="J29" s="19">
        <v>10</v>
      </c>
      <c r="K29" s="874" t="s">
        <v>424</v>
      </c>
      <c r="L29" s="875"/>
      <c r="M29" s="280" t="s">
        <v>37</v>
      </c>
      <c r="N29" s="263">
        <f>N18-N19</f>
        <v>400</v>
      </c>
      <c r="O29" s="248" t="s">
        <v>4</v>
      </c>
      <c r="P29" s="19"/>
      <c r="Q29" s="19"/>
      <c r="R29" s="662" t="s">
        <v>695</v>
      </c>
      <c r="S29" s="569">
        <v>1200</v>
      </c>
      <c r="T29" s="569">
        <v>8</v>
      </c>
      <c r="U29" s="569">
        <v>10</v>
      </c>
      <c r="V29" s="575" t="s">
        <v>708</v>
      </c>
      <c r="W29" s="663">
        <v>11.2</v>
      </c>
      <c r="X29" s="22"/>
      <c r="Y29" s="19"/>
      <c r="Z29" s="19"/>
      <c r="AA29" s="19"/>
      <c r="AB29" s="19"/>
      <c r="AC29" s="22"/>
      <c r="AD29" s="19"/>
      <c r="AE29" s="19"/>
      <c r="AI29" s="567"/>
      <c r="AN29" s="566"/>
      <c r="AO29" s="566"/>
      <c r="AP29" s="566"/>
    </row>
    <row r="30" spans="1:42" ht="15.75" thickBot="1" x14ac:dyDescent="0.3">
      <c r="A30" s="19"/>
      <c r="B30" s="765" t="s">
        <v>48</v>
      </c>
      <c r="C30" s="766"/>
      <c r="D30" s="766"/>
      <c r="E30" s="766"/>
      <c r="F30" s="10" t="s">
        <v>49</v>
      </c>
      <c r="G30" s="11">
        <v>1.8</v>
      </c>
      <c r="H30" s="6"/>
      <c r="I30" s="20"/>
      <c r="J30" s="19">
        <v>11</v>
      </c>
      <c r="K30" s="884" t="s">
        <v>425</v>
      </c>
      <c r="L30" s="885"/>
      <c r="M30" s="284" t="s">
        <v>405</v>
      </c>
      <c r="N30" s="264">
        <f>N29*((100%-G35)/(100%-G29))</f>
        <v>216.70588235294116</v>
      </c>
      <c r="O30" s="253" t="s">
        <v>4</v>
      </c>
      <c r="P30" s="19"/>
      <c r="Q30" s="19"/>
      <c r="R30" s="662" t="s">
        <v>696</v>
      </c>
      <c r="S30" s="569">
        <v>1500</v>
      </c>
      <c r="T30" s="569">
        <v>16</v>
      </c>
      <c r="U30" s="569">
        <v>12</v>
      </c>
      <c r="V30" s="575" t="s">
        <v>708</v>
      </c>
      <c r="W30" s="663">
        <v>33.799999999999997</v>
      </c>
      <c r="X30" s="22"/>
      <c r="Y30" s="22"/>
      <c r="Z30" s="22"/>
      <c r="AA30" s="22"/>
      <c r="AB30" s="22"/>
      <c r="AC30" s="22"/>
      <c r="AD30" s="19"/>
      <c r="AE30" s="19"/>
      <c r="AI30" s="567"/>
    </row>
    <row r="31" spans="1:42" ht="15.75" thickBot="1" x14ac:dyDescent="0.3">
      <c r="A31" s="19"/>
      <c r="B31" s="767" t="s">
        <v>52</v>
      </c>
      <c r="C31" s="768"/>
      <c r="D31" s="768"/>
      <c r="E31" s="768"/>
      <c r="F31" s="2" t="s">
        <v>53</v>
      </c>
      <c r="G31" s="12">
        <v>0.6</v>
      </c>
      <c r="H31" s="3" t="s">
        <v>6</v>
      </c>
      <c r="I31" s="20"/>
      <c r="J31" s="19">
        <v>12</v>
      </c>
      <c r="K31" s="23"/>
      <c r="L31" s="23"/>
      <c r="M31" s="23"/>
      <c r="N31" s="122"/>
      <c r="O31" s="122"/>
      <c r="P31" s="19"/>
      <c r="Q31" s="19"/>
      <c r="R31" s="662" t="s">
        <v>697</v>
      </c>
      <c r="S31" s="569">
        <v>1500</v>
      </c>
      <c r="T31" s="569">
        <v>16</v>
      </c>
      <c r="U31" s="569">
        <v>15</v>
      </c>
      <c r="V31" s="575" t="s">
        <v>708</v>
      </c>
      <c r="W31" s="663">
        <v>22.75</v>
      </c>
      <c r="X31" s="22"/>
      <c r="Y31" s="22"/>
      <c r="Z31" s="22"/>
      <c r="AA31" s="512">
        <f>+AA28-AA25</f>
        <v>8084688.6233766191</v>
      </c>
      <c r="AB31" s="532">
        <f>+AA31*12*5</f>
        <v>485081317.40259713</v>
      </c>
      <c r="AC31" s="22"/>
      <c r="AD31" s="19"/>
      <c r="AE31" s="19"/>
      <c r="AI31" s="567"/>
    </row>
    <row r="32" spans="1:42" ht="15.75" thickBot="1" x14ac:dyDescent="0.3">
      <c r="A32" s="19"/>
      <c r="B32" s="767" t="s">
        <v>55</v>
      </c>
      <c r="C32" s="768"/>
      <c r="D32" s="768"/>
      <c r="E32" s="768"/>
      <c r="F32" s="2" t="s">
        <v>56</v>
      </c>
      <c r="G32" s="12">
        <v>0.14000000000000001</v>
      </c>
      <c r="H32" s="3" t="s">
        <v>6</v>
      </c>
      <c r="I32" s="20"/>
      <c r="J32" s="19">
        <v>13</v>
      </c>
      <c r="K32" s="865" t="s">
        <v>414</v>
      </c>
      <c r="L32" s="866"/>
      <c r="M32" s="866"/>
      <c r="N32" s="866"/>
      <c r="O32" s="867"/>
      <c r="P32" s="19"/>
      <c r="Q32" s="19"/>
      <c r="R32" s="662" t="s">
        <v>698</v>
      </c>
      <c r="S32" s="569">
        <v>1500</v>
      </c>
      <c r="T32" s="569">
        <v>16</v>
      </c>
      <c r="U32" s="569">
        <v>15</v>
      </c>
      <c r="V32" s="575" t="s">
        <v>708</v>
      </c>
      <c r="W32" s="663">
        <v>14.5</v>
      </c>
      <c r="X32" s="22"/>
      <c r="Y32" s="837" t="s">
        <v>607</v>
      </c>
      <c r="Z32" s="837"/>
      <c r="AB32" s="22">
        <f>+G19*G20*G16*G15</f>
        <v>15602.823529411762</v>
      </c>
      <c r="AC32" s="22" t="s">
        <v>608</v>
      </c>
      <c r="AD32" s="19"/>
      <c r="AE32" s="19"/>
      <c r="AI32" s="567"/>
    </row>
    <row r="33" spans="1:39" x14ac:dyDescent="0.25">
      <c r="A33" s="19"/>
      <c r="B33" s="767" t="s">
        <v>58</v>
      </c>
      <c r="C33" s="768"/>
      <c r="D33" s="768"/>
      <c r="E33" s="768"/>
      <c r="F33" s="2" t="s">
        <v>59</v>
      </c>
      <c r="G33" s="2">
        <v>1610</v>
      </c>
      <c r="H33" s="3" t="s">
        <v>60</v>
      </c>
      <c r="I33" s="20"/>
      <c r="J33" s="19">
        <v>14</v>
      </c>
      <c r="K33" s="868" t="s">
        <v>404</v>
      </c>
      <c r="L33" s="869"/>
      <c r="M33" s="281" t="s">
        <v>61</v>
      </c>
      <c r="N33" s="281">
        <f>(N25*U16*(U8-G34)+(N25-N26)*U12)/3600</f>
        <v>58.112433153840939</v>
      </c>
      <c r="O33" s="250" t="s">
        <v>19</v>
      </c>
      <c r="P33" s="19"/>
      <c r="Q33" s="19"/>
      <c r="R33" s="662" t="s">
        <v>699</v>
      </c>
      <c r="S33" s="569">
        <v>1800</v>
      </c>
      <c r="T33" s="569">
        <v>25</v>
      </c>
      <c r="U33" s="569">
        <v>20</v>
      </c>
      <c r="V33" s="575" t="s">
        <v>708</v>
      </c>
      <c r="W33" s="663">
        <v>51</v>
      </c>
      <c r="X33" s="22"/>
      <c r="Y33" s="837" t="s">
        <v>609</v>
      </c>
      <c r="Z33" s="837"/>
      <c r="AA33" s="22"/>
      <c r="AB33" s="22"/>
      <c r="AC33" s="22"/>
      <c r="AD33" s="19"/>
      <c r="AE33" s="19"/>
    </row>
    <row r="34" spans="1:39" x14ac:dyDescent="0.25">
      <c r="A34" s="19"/>
      <c r="B34" s="767" t="s">
        <v>62</v>
      </c>
      <c r="C34" s="768"/>
      <c r="D34" s="768"/>
      <c r="E34" s="768"/>
      <c r="F34" s="2" t="s">
        <v>63</v>
      </c>
      <c r="G34" s="2">
        <v>25</v>
      </c>
      <c r="H34" s="3" t="s">
        <v>13</v>
      </c>
      <c r="I34" s="20"/>
      <c r="J34" s="19">
        <v>15</v>
      </c>
      <c r="K34" s="861" t="s">
        <v>407</v>
      </c>
      <c r="L34" s="862"/>
      <c r="M34" s="280" t="s">
        <v>64</v>
      </c>
      <c r="N34" s="280">
        <f>(N26*U17*(U9-U8)+(N26-N27)*U13)/3600</f>
        <v>257.12583911336361</v>
      </c>
      <c r="O34" s="248" t="s">
        <v>19</v>
      </c>
      <c r="P34" s="19"/>
      <c r="Q34" s="19"/>
      <c r="R34" s="662" t="s">
        <v>700</v>
      </c>
      <c r="S34" s="569">
        <v>2000</v>
      </c>
      <c r="T34" s="569">
        <v>25</v>
      </c>
      <c r="U34" s="569">
        <v>20</v>
      </c>
      <c r="V34" s="575" t="s">
        <v>708</v>
      </c>
      <c r="W34" s="663">
        <v>24.7</v>
      </c>
      <c r="X34" s="22"/>
      <c r="Y34" s="22"/>
      <c r="Z34" s="22"/>
      <c r="AA34" s="22"/>
      <c r="AB34" s="22"/>
      <c r="AC34" s="22"/>
      <c r="AD34" s="19"/>
      <c r="AE34" s="19"/>
    </row>
    <row r="35" spans="1:39" x14ac:dyDescent="0.25">
      <c r="A35" s="19"/>
      <c r="B35" s="781" t="s">
        <v>65</v>
      </c>
      <c r="C35" s="782"/>
      <c r="D35" s="782"/>
      <c r="E35" s="782"/>
      <c r="F35" s="255" t="s">
        <v>66</v>
      </c>
      <c r="G35" s="256">
        <f>((N19-N19*(G31+G32))-(N19-N19*(G31+G32))*(G24/100))/(N19*(1-G31))</f>
        <v>0.53949999999999998</v>
      </c>
      <c r="H35" s="257" t="s">
        <v>6</v>
      </c>
      <c r="I35" s="20"/>
      <c r="J35" s="19">
        <v>16</v>
      </c>
      <c r="K35" s="861" t="s">
        <v>408</v>
      </c>
      <c r="L35" s="862"/>
      <c r="M35" s="280" t="s">
        <v>67</v>
      </c>
      <c r="N35" s="280">
        <f>(N27*U18*(U10-U9)+(N27-G19)*U14)/3600</f>
        <v>37.917850577047872</v>
      </c>
      <c r="O35" s="248" t="s">
        <v>19</v>
      </c>
      <c r="P35" s="19"/>
      <c r="Q35" s="19"/>
      <c r="R35" s="662" t="s">
        <v>701</v>
      </c>
      <c r="S35" s="569">
        <v>2000</v>
      </c>
      <c r="T35" s="569">
        <v>25</v>
      </c>
      <c r="U35" s="569">
        <v>20</v>
      </c>
      <c r="V35" s="575" t="s">
        <v>708</v>
      </c>
      <c r="W35" s="663">
        <v>28.4</v>
      </c>
      <c r="X35" s="22"/>
      <c r="Y35" s="22"/>
      <c r="Z35" s="22"/>
      <c r="AA35" s="22"/>
      <c r="AB35" s="22"/>
      <c r="AC35" s="22"/>
      <c r="AD35" s="19"/>
      <c r="AE35" s="19"/>
    </row>
    <row r="36" spans="1:39" x14ac:dyDescent="0.25">
      <c r="A36" s="19"/>
      <c r="B36" s="781" t="s">
        <v>69</v>
      </c>
      <c r="C36" s="782"/>
      <c r="D36" s="782"/>
      <c r="E36" s="782"/>
      <c r="F36" s="255" t="s">
        <v>70</v>
      </c>
      <c r="G36" s="258">
        <f>760*EXP(-0.0001158*G33)</f>
        <v>630.73161123067814</v>
      </c>
      <c r="H36" s="257" t="s">
        <v>71</v>
      </c>
      <c r="I36" s="20"/>
      <c r="J36" s="19">
        <v>17</v>
      </c>
      <c r="K36" s="861" t="s">
        <v>409</v>
      </c>
      <c r="L36" s="862"/>
      <c r="M36" s="280" t="s">
        <v>68</v>
      </c>
      <c r="N36" s="280">
        <f>SUM(N33:N35)</f>
        <v>353.15612284425242</v>
      </c>
      <c r="O36" s="248" t="s">
        <v>19</v>
      </c>
      <c r="P36" s="19"/>
      <c r="Q36" s="19"/>
      <c r="R36" s="662" t="s">
        <v>702</v>
      </c>
      <c r="S36" s="575" t="s">
        <v>708</v>
      </c>
      <c r="T36" s="575" t="s">
        <v>708</v>
      </c>
      <c r="U36" s="575" t="s">
        <v>708</v>
      </c>
      <c r="V36" s="575" t="s">
        <v>708</v>
      </c>
      <c r="W36" s="664" t="s">
        <v>708</v>
      </c>
      <c r="X36" s="22"/>
      <c r="Y36" s="22"/>
      <c r="Z36" s="22"/>
      <c r="AA36" s="22"/>
      <c r="AB36" s="22"/>
      <c r="AC36" s="22"/>
      <c r="AD36" s="19"/>
      <c r="AE36" s="19"/>
    </row>
    <row r="37" spans="1:39" ht="15.75" thickBot="1" x14ac:dyDescent="0.3">
      <c r="A37" s="19"/>
      <c r="B37" s="783" t="s">
        <v>72</v>
      </c>
      <c r="C37" s="784"/>
      <c r="D37" s="784"/>
      <c r="E37" s="784"/>
      <c r="F37" s="260" t="s">
        <v>73</v>
      </c>
      <c r="G37" s="260">
        <f>-227.03+3816.44/(18.3036-LN(7.5*(G36*133.3224/1000)))</f>
        <v>94.84769841995157</v>
      </c>
      <c r="H37" s="261" t="s">
        <v>13</v>
      </c>
      <c r="I37" s="20"/>
      <c r="J37" s="19">
        <v>18</v>
      </c>
      <c r="K37" s="856" t="s">
        <v>410</v>
      </c>
      <c r="L37" s="857"/>
      <c r="M37" s="279" t="s">
        <v>68</v>
      </c>
      <c r="N37" s="279">
        <f>(N19*(U10-G34)*U16+N24*((U12+U14)/2))/3600</f>
        <v>348.94503338105091</v>
      </c>
      <c r="O37" s="253" t="s">
        <v>19</v>
      </c>
      <c r="P37" s="19"/>
      <c r="Q37" s="19"/>
      <c r="R37" s="665" t="s">
        <v>707</v>
      </c>
      <c r="S37" s="666">
        <v>3000</v>
      </c>
      <c r="T37" s="666">
        <v>40</v>
      </c>
      <c r="U37" s="666">
        <v>30</v>
      </c>
      <c r="V37" s="580" t="s">
        <v>708</v>
      </c>
      <c r="W37" s="667">
        <v>27.7</v>
      </c>
      <c r="X37" s="22"/>
      <c r="Y37" s="22"/>
      <c r="Z37" s="22"/>
      <c r="AA37" s="22"/>
      <c r="AB37" s="22"/>
      <c r="AC37" s="22"/>
      <c r="AD37" s="19"/>
      <c r="AE37" s="19"/>
    </row>
    <row r="38" spans="1:39" ht="15.75" thickBot="1" x14ac:dyDescent="0.3">
      <c r="A38" s="19"/>
      <c r="D38" s="19"/>
      <c r="E38" s="531"/>
      <c r="F38" s="531"/>
      <c r="G38" s="531"/>
      <c r="H38" s="531"/>
      <c r="I38" s="20"/>
      <c r="J38" s="19"/>
      <c r="K38" s="19"/>
      <c r="L38" s="19"/>
      <c r="M38" s="38"/>
      <c r="N38" s="19"/>
      <c r="O38" s="38"/>
      <c r="P38" s="19"/>
      <c r="Q38" s="19"/>
      <c r="R38" s="19"/>
      <c r="S38" s="21"/>
      <c r="T38" s="21"/>
      <c r="U38" s="21"/>
      <c r="V38" s="21"/>
      <c r="W38" s="21"/>
      <c r="X38" s="21"/>
      <c r="Y38" s="19"/>
      <c r="Z38" s="19"/>
      <c r="AA38" s="19"/>
      <c r="AB38" s="19"/>
      <c r="AC38" s="19"/>
      <c r="AD38" s="19"/>
      <c r="AE38" s="19"/>
    </row>
    <row r="39" spans="1:39" ht="15.75" thickBot="1" x14ac:dyDescent="0.3">
      <c r="A39" s="778" t="s">
        <v>77</v>
      </c>
      <c r="B39" s="779"/>
      <c r="C39" s="779"/>
      <c r="D39" s="779"/>
      <c r="E39" s="779"/>
      <c r="F39" s="779"/>
      <c r="G39" s="779"/>
      <c r="H39" s="779"/>
      <c r="I39" s="779"/>
      <c r="J39" s="779"/>
      <c r="K39" s="779"/>
      <c r="L39" s="779"/>
      <c r="M39" s="779"/>
      <c r="N39" s="779"/>
      <c r="O39" s="779"/>
      <c r="P39" s="779"/>
      <c r="Q39" s="779"/>
      <c r="R39" s="779"/>
      <c r="S39" s="779"/>
      <c r="T39" s="779"/>
      <c r="U39" s="779"/>
      <c r="V39" s="779"/>
      <c r="W39" s="779"/>
      <c r="X39" s="779"/>
      <c r="Y39" s="779"/>
      <c r="Z39" s="779"/>
      <c r="AA39" s="779"/>
      <c r="AB39" s="779"/>
      <c r="AC39" s="779"/>
      <c r="AD39" s="779"/>
      <c r="AE39" s="780"/>
    </row>
    <row r="40" spans="1:39" ht="15.75" thickBot="1" x14ac:dyDescent="0.3">
      <c r="A40" s="19"/>
      <c r="B40" s="19"/>
      <c r="C40" s="19"/>
      <c r="D40" s="19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19"/>
      <c r="Z40" s="19"/>
      <c r="AA40" s="19"/>
      <c r="AB40" s="19"/>
      <c r="AC40" s="19"/>
      <c r="AD40" s="19"/>
      <c r="AE40" s="19"/>
    </row>
    <row r="41" spans="1:39" ht="15.75" customHeight="1" thickBot="1" x14ac:dyDescent="0.3">
      <c r="A41" s="19"/>
      <c r="B41" s="778" t="s">
        <v>594</v>
      </c>
      <c r="C41" s="779"/>
      <c r="D41" s="779"/>
      <c r="E41" s="779"/>
      <c r="F41" s="779"/>
      <c r="G41" s="779"/>
      <c r="H41" s="779"/>
      <c r="I41" s="779"/>
      <c r="J41" s="779"/>
      <c r="K41" s="779"/>
      <c r="L41" s="779"/>
      <c r="M41" s="779"/>
      <c r="N41" s="780"/>
      <c r="O41" s="726"/>
      <c r="P41" s="726"/>
      <c r="Q41" s="726"/>
      <c r="R41" s="726"/>
      <c r="S41" s="19"/>
      <c r="T41" s="19"/>
      <c r="U41" s="19"/>
      <c r="V41" s="22"/>
      <c r="W41" s="19"/>
      <c r="X41" s="19"/>
      <c r="Y41" s="19"/>
      <c r="Z41" s="19"/>
      <c r="AA41" s="19"/>
      <c r="AB41" s="19"/>
      <c r="AC41" s="19"/>
      <c r="AD41" s="19"/>
      <c r="AE41" s="19"/>
    </row>
    <row r="42" spans="1:39" ht="15.75" thickBot="1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22"/>
      <c r="M42" s="19"/>
      <c r="N42" s="19"/>
      <c r="O42" s="726"/>
      <c r="P42" s="726"/>
      <c r="Q42" s="726"/>
      <c r="R42" s="726"/>
      <c r="S42" s="19"/>
      <c r="T42" s="19"/>
      <c r="U42" s="19"/>
      <c r="V42" s="22"/>
      <c r="W42" s="19"/>
      <c r="X42" s="19"/>
      <c r="Y42" s="19"/>
      <c r="Z42" s="19"/>
      <c r="AA42" s="19"/>
      <c r="AB42" s="19"/>
      <c r="AC42" s="19"/>
      <c r="AD42" s="19"/>
      <c r="AE42" s="19"/>
    </row>
    <row r="43" spans="1:39" ht="15.75" thickBot="1" x14ac:dyDescent="0.3">
      <c r="A43" s="19"/>
      <c r="B43" s="787" t="s">
        <v>476</v>
      </c>
      <c r="C43" s="788"/>
      <c r="D43" s="788"/>
      <c r="E43" s="788"/>
      <c r="F43" s="653" t="s">
        <v>475</v>
      </c>
      <c r="G43" s="654" t="s">
        <v>43</v>
      </c>
      <c r="H43" s="655">
        <v>1</v>
      </c>
      <c r="I43" s="655">
        <v>2</v>
      </c>
      <c r="J43" s="655">
        <v>3</v>
      </c>
      <c r="K43" s="655">
        <v>4</v>
      </c>
      <c r="L43" s="655">
        <v>5</v>
      </c>
      <c r="M43" s="655">
        <v>6</v>
      </c>
      <c r="N43" s="655">
        <v>7</v>
      </c>
      <c r="O43" s="655">
        <v>8</v>
      </c>
      <c r="P43" s="655">
        <v>9</v>
      </c>
      <c r="Q43" s="655">
        <v>10</v>
      </c>
      <c r="R43" s="655">
        <v>11</v>
      </c>
      <c r="S43" s="655">
        <v>12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</row>
    <row r="44" spans="1:39" x14ac:dyDescent="0.25">
      <c r="A44" s="19"/>
      <c r="B44" s="789" t="s">
        <v>82</v>
      </c>
      <c r="C44" s="790"/>
      <c r="D44" s="790"/>
      <c r="E44" s="790"/>
      <c r="F44" s="649" t="s">
        <v>474</v>
      </c>
      <c r="G44" s="650" t="s">
        <v>43</v>
      </c>
      <c r="H44" s="651" t="s">
        <v>747</v>
      </c>
      <c r="I44" s="651" t="s">
        <v>748</v>
      </c>
      <c r="J44" s="651" t="s">
        <v>749</v>
      </c>
      <c r="K44" s="651" t="s">
        <v>473</v>
      </c>
      <c r="L44" s="651" t="s">
        <v>473</v>
      </c>
      <c r="M44" s="651" t="s">
        <v>473</v>
      </c>
      <c r="N44" s="652" t="s">
        <v>750</v>
      </c>
      <c r="O44" s="651" t="s">
        <v>747</v>
      </c>
      <c r="P44" s="651" t="s">
        <v>748</v>
      </c>
      <c r="Q44" s="651" t="s">
        <v>749</v>
      </c>
      <c r="R44" s="651" t="s">
        <v>473</v>
      </c>
      <c r="S44" s="651" t="s">
        <v>473</v>
      </c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</row>
    <row r="45" spans="1:39" x14ac:dyDescent="0.25">
      <c r="A45" s="19"/>
      <c r="B45" s="791" t="s">
        <v>121</v>
      </c>
      <c r="C45" s="792"/>
      <c r="D45" s="792"/>
      <c r="E45" s="792"/>
      <c r="F45" s="708" t="s">
        <v>122</v>
      </c>
      <c r="G45" s="708" t="s">
        <v>43</v>
      </c>
      <c r="H45" s="708">
        <v>12</v>
      </c>
      <c r="I45" s="708">
        <v>11</v>
      </c>
      <c r="J45" s="708">
        <v>10</v>
      </c>
      <c r="K45" s="708">
        <v>9</v>
      </c>
      <c r="L45" s="708">
        <v>8</v>
      </c>
      <c r="M45" s="708">
        <v>7</v>
      </c>
      <c r="N45" s="488">
        <v>6</v>
      </c>
      <c r="O45" s="732">
        <v>5</v>
      </c>
      <c r="P45" s="732">
        <v>4</v>
      </c>
      <c r="Q45" s="732">
        <v>3</v>
      </c>
      <c r="R45" s="732">
        <v>2</v>
      </c>
      <c r="S45" s="732">
        <v>1</v>
      </c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</row>
    <row r="46" spans="1:39" x14ac:dyDescent="0.25">
      <c r="A46" s="19"/>
      <c r="B46" s="793" t="s">
        <v>123</v>
      </c>
      <c r="C46" s="794"/>
      <c r="D46" s="794"/>
      <c r="E46" s="794"/>
      <c r="F46" s="711" t="s">
        <v>138</v>
      </c>
      <c r="G46" s="711" t="s">
        <v>124</v>
      </c>
      <c r="H46" s="312">
        <v>75</v>
      </c>
      <c r="I46" s="312">
        <f t="shared" ref="I46:P46" si="0">+J47</f>
        <v>69.300000000000011</v>
      </c>
      <c r="J46" s="312">
        <f t="shared" si="0"/>
        <v>63.600000000000016</v>
      </c>
      <c r="K46" s="312">
        <f t="shared" si="0"/>
        <v>57.900000000000013</v>
      </c>
      <c r="L46" s="312">
        <f t="shared" si="0"/>
        <v>52.20000000000001</v>
      </c>
      <c r="M46" s="312">
        <f t="shared" si="0"/>
        <v>46.500000000000007</v>
      </c>
      <c r="N46" s="312">
        <f t="shared" si="0"/>
        <v>40.800000000000004</v>
      </c>
      <c r="O46" s="312">
        <f t="shared" si="0"/>
        <v>35.1</v>
      </c>
      <c r="P46" s="312">
        <f t="shared" si="0"/>
        <v>29.4</v>
      </c>
      <c r="Q46" s="312">
        <f>+R47</f>
        <v>23.7</v>
      </c>
      <c r="R46" s="312">
        <f>+S47</f>
        <v>18</v>
      </c>
      <c r="S46" s="312">
        <f>+G24</f>
        <v>17</v>
      </c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</row>
    <row r="47" spans="1:39" x14ac:dyDescent="0.25">
      <c r="A47" s="19"/>
      <c r="B47" s="793" t="s">
        <v>125</v>
      </c>
      <c r="C47" s="794"/>
      <c r="D47" s="794"/>
      <c r="E47" s="794"/>
      <c r="F47" s="711" t="s">
        <v>139</v>
      </c>
      <c r="G47" s="711" t="s">
        <v>124</v>
      </c>
      <c r="H47" s="312">
        <f>+G27</f>
        <v>93.5</v>
      </c>
      <c r="I47" s="312">
        <f t="shared" ref="I47:Q47" si="1">+(($H$46-$R$46)/10)+I46</f>
        <v>75.000000000000014</v>
      </c>
      <c r="J47" s="312">
        <f t="shared" si="1"/>
        <v>69.300000000000011</v>
      </c>
      <c r="K47" s="312">
        <f t="shared" si="1"/>
        <v>63.600000000000016</v>
      </c>
      <c r="L47" s="312">
        <f t="shared" si="1"/>
        <v>57.900000000000013</v>
      </c>
      <c r="M47" s="312">
        <f t="shared" si="1"/>
        <v>52.20000000000001</v>
      </c>
      <c r="N47" s="312">
        <f t="shared" si="1"/>
        <v>46.500000000000007</v>
      </c>
      <c r="O47" s="312">
        <f t="shared" si="1"/>
        <v>40.800000000000004</v>
      </c>
      <c r="P47" s="312">
        <f t="shared" si="1"/>
        <v>35.1</v>
      </c>
      <c r="Q47" s="312">
        <f t="shared" si="1"/>
        <v>29.4</v>
      </c>
      <c r="R47" s="312">
        <f>+(($H$46-$R$46)/10)+R46</f>
        <v>23.7</v>
      </c>
      <c r="S47" s="312">
        <f>+S46+1</f>
        <v>18</v>
      </c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M47" s="567">
        <v>1000000</v>
      </c>
    </row>
    <row r="48" spans="1:39" x14ac:dyDescent="0.25">
      <c r="A48" s="19"/>
      <c r="B48" s="795" t="s">
        <v>126</v>
      </c>
      <c r="C48" s="796"/>
      <c r="D48" s="796"/>
      <c r="E48" s="796"/>
      <c r="F48" s="708" t="s">
        <v>140</v>
      </c>
      <c r="G48" s="708" t="s">
        <v>124</v>
      </c>
      <c r="H48" s="708">
        <f t="shared" ref="H48:J48" si="2">(H46+H47)/2</f>
        <v>84.25</v>
      </c>
      <c r="I48" s="712">
        <f t="shared" si="2"/>
        <v>72.150000000000006</v>
      </c>
      <c r="J48" s="708">
        <f t="shared" si="2"/>
        <v>66.450000000000017</v>
      </c>
      <c r="K48" s="708">
        <f>(K46+K47)/2</f>
        <v>60.750000000000014</v>
      </c>
      <c r="L48" s="708">
        <f t="shared" ref="L48" si="3">(L46+L47)/2</f>
        <v>55.050000000000011</v>
      </c>
      <c r="M48" s="708">
        <f t="shared" ref="M48:Q48" si="4">(M46+M47)/2</f>
        <v>49.350000000000009</v>
      </c>
      <c r="N48" s="488">
        <f t="shared" si="4"/>
        <v>43.650000000000006</v>
      </c>
      <c r="O48" s="732">
        <f t="shared" si="4"/>
        <v>37.950000000000003</v>
      </c>
      <c r="P48" s="733">
        <f t="shared" si="4"/>
        <v>32.25</v>
      </c>
      <c r="Q48" s="732">
        <f t="shared" si="4"/>
        <v>26.549999999999997</v>
      </c>
      <c r="R48" s="732">
        <f>(R46+R47)/2</f>
        <v>20.85</v>
      </c>
      <c r="S48" s="732">
        <f t="shared" ref="S48" si="5">(S46+S47)/2</f>
        <v>17.5</v>
      </c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M48" s="567">
        <v>300000</v>
      </c>
    </row>
    <row r="49" spans="1:46" x14ac:dyDescent="0.25">
      <c r="A49" s="19"/>
      <c r="B49" s="791" t="s">
        <v>319</v>
      </c>
      <c r="C49" s="792"/>
      <c r="D49" s="792"/>
      <c r="E49" s="792"/>
      <c r="F49" s="708" t="s">
        <v>127</v>
      </c>
      <c r="G49" s="708" t="s">
        <v>38</v>
      </c>
      <c r="H49" s="311">
        <f t="shared" ref="H49:Q49" si="6">+I49*I46/I47</f>
        <v>133.27999999999997</v>
      </c>
      <c r="I49" s="311">
        <f t="shared" si="6"/>
        <v>144.24242424242422</v>
      </c>
      <c r="J49" s="311">
        <f t="shared" si="6"/>
        <v>157.16981132075469</v>
      </c>
      <c r="K49" s="311">
        <f t="shared" si="6"/>
        <v>172.64248704663208</v>
      </c>
      <c r="L49" s="311">
        <f t="shared" si="6"/>
        <v>191.49425287356317</v>
      </c>
      <c r="M49" s="311">
        <f t="shared" si="6"/>
        <v>214.96774193548384</v>
      </c>
      <c r="N49" s="311">
        <f t="shared" si="6"/>
        <v>244.99999999999997</v>
      </c>
      <c r="O49" s="311">
        <f t="shared" si="6"/>
        <v>284.78632478632477</v>
      </c>
      <c r="P49" s="311">
        <f t="shared" si="6"/>
        <v>340</v>
      </c>
      <c r="Q49" s="311">
        <f t="shared" si="6"/>
        <v>421.77215189873419</v>
      </c>
      <c r="R49" s="311">
        <f>+S49*S46/S47</f>
        <v>555.33333333333337</v>
      </c>
      <c r="S49" s="311">
        <f>+N25</f>
        <v>588</v>
      </c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M49" s="567">
        <v>120000</v>
      </c>
    </row>
    <row r="50" spans="1:46" x14ac:dyDescent="0.25">
      <c r="A50" s="19"/>
      <c r="B50" s="791" t="s">
        <v>128</v>
      </c>
      <c r="C50" s="792"/>
      <c r="D50" s="792"/>
      <c r="E50" s="792"/>
      <c r="F50" s="708" t="s">
        <v>129</v>
      </c>
      <c r="G50" s="708" t="s">
        <v>47</v>
      </c>
      <c r="H50" s="148">
        <f t="shared" ref="H50:J50" si="7">4.18*(1-0.006*H48)</f>
        <v>2.0670099999999998</v>
      </c>
      <c r="I50" s="311">
        <f t="shared" si="7"/>
        <v>2.3704779999999994</v>
      </c>
      <c r="J50" s="148">
        <f t="shared" si="7"/>
        <v>2.5134339999999997</v>
      </c>
      <c r="K50" s="148">
        <f>4.18*(1-0.006*K48)</f>
        <v>2.6563899999999996</v>
      </c>
      <c r="L50" s="148">
        <f t="shared" ref="L50" si="8">4.18*(1-0.006*L48)</f>
        <v>2.7993459999999994</v>
      </c>
      <c r="M50" s="148">
        <f t="shared" ref="M50:Q50" si="9">4.18*(1-0.006*M48)</f>
        <v>2.9423019999999998</v>
      </c>
      <c r="N50" s="149">
        <f t="shared" si="9"/>
        <v>3.0852579999999996</v>
      </c>
      <c r="O50" s="148">
        <f t="shared" si="9"/>
        <v>3.2282139999999999</v>
      </c>
      <c r="P50" s="311">
        <f t="shared" si="9"/>
        <v>3.3711699999999998</v>
      </c>
      <c r="Q50" s="148">
        <f t="shared" si="9"/>
        <v>3.5141259999999996</v>
      </c>
      <c r="R50" s="148">
        <f>4.18*(1-0.006*R48)</f>
        <v>3.6570819999999999</v>
      </c>
      <c r="S50" s="148">
        <f t="shared" ref="S50" si="10">4.18*(1-0.006*S48)</f>
        <v>3.7410999999999999</v>
      </c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M50" s="567">
        <v>500000</v>
      </c>
    </row>
    <row r="51" spans="1:46" ht="15.75" thickBot="1" x14ac:dyDescent="0.3">
      <c r="A51" s="19"/>
      <c r="B51" s="797" t="s">
        <v>472</v>
      </c>
      <c r="C51" s="798"/>
      <c r="D51" s="798"/>
      <c r="E51" s="798"/>
      <c r="F51" s="646" t="s">
        <v>471</v>
      </c>
      <c r="G51" s="595" t="s">
        <v>51</v>
      </c>
      <c r="H51" s="647">
        <f t="shared" ref="H51:J51" si="11">997.39+4.46*H48</f>
        <v>1373.145</v>
      </c>
      <c r="I51" s="647">
        <f t="shared" si="11"/>
        <v>1319.1790000000001</v>
      </c>
      <c r="J51" s="647">
        <f t="shared" si="11"/>
        <v>1293.7570000000001</v>
      </c>
      <c r="K51" s="647">
        <f>997.39+4.46*K48</f>
        <v>1268.335</v>
      </c>
      <c r="L51" s="647">
        <f t="shared" ref="L51" si="12">997.39+4.46*L48</f>
        <v>1242.913</v>
      </c>
      <c r="M51" s="647">
        <f t="shared" ref="M51:Q51" si="13">997.39+4.46*M48</f>
        <v>1217.491</v>
      </c>
      <c r="N51" s="648">
        <f t="shared" si="13"/>
        <v>1192.069</v>
      </c>
      <c r="O51" s="647">
        <f t="shared" si="13"/>
        <v>1166.6469999999999</v>
      </c>
      <c r="P51" s="647">
        <f t="shared" si="13"/>
        <v>1141.2249999999999</v>
      </c>
      <c r="Q51" s="647">
        <f t="shared" si="13"/>
        <v>1115.8029999999999</v>
      </c>
      <c r="R51" s="647">
        <f>997.39+4.46*R48</f>
        <v>1090.3810000000001</v>
      </c>
      <c r="S51" s="647">
        <f t="shared" ref="S51" si="14">997.39+4.46*S48</f>
        <v>1075.44</v>
      </c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M51" s="567">
        <v>100000</v>
      </c>
    </row>
    <row r="52" spans="1:46" ht="15.75" thickBot="1" x14ac:dyDescent="0.3">
      <c r="A52" s="19"/>
      <c r="B52" s="787" t="s">
        <v>450</v>
      </c>
      <c r="C52" s="788"/>
      <c r="D52" s="788"/>
      <c r="E52" s="788"/>
      <c r="F52" s="710" t="s">
        <v>470</v>
      </c>
      <c r="G52" s="710" t="s">
        <v>469</v>
      </c>
      <c r="H52" s="366">
        <f t="shared" ref="H52:J52" si="15">+H49/H51</f>
        <v>9.7061854356240582E-2</v>
      </c>
      <c r="I52" s="366">
        <f t="shared" si="15"/>
        <v>0.10934257158613366</v>
      </c>
      <c r="J52" s="366">
        <f t="shared" si="15"/>
        <v>0.12148325483128182</v>
      </c>
      <c r="K52" s="366">
        <f>+K49/K51</f>
        <v>0.13611741933056493</v>
      </c>
      <c r="L52" s="366">
        <f t="shared" ref="L52" si="16">+L49/L51</f>
        <v>0.15406891139891785</v>
      </c>
      <c r="M52" s="366">
        <f t="shared" ref="M52:Q52" si="17">+M49/M51</f>
        <v>0.17656618565187246</v>
      </c>
      <c r="N52" s="367">
        <f t="shared" si="17"/>
        <v>0.20552501574992721</v>
      </c>
      <c r="O52" s="366">
        <f t="shared" si="17"/>
        <v>0.24410667904372513</v>
      </c>
      <c r="P52" s="366">
        <f t="shared" si="17"/>
        <v>0.2979254748187255</v>
      </c>
      <c r="Q52" s="366">
        <f t="shared" si="17"/>
        <v>0.37799876133935312</v>
      </c>
      <c r="R52" s="366">
        <f>+R49/R51</f>
        <v>0.50930210021390077</v>
      </c>
      <c r="S52" s="366">
        <f t="shared" ref="S52" si="18">+S49/S51</f>
        <v>0.54675295692925685</v>
      </c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M52" s="567">
        <f>+SUM(AM47:AM51)</f>
        <v>2020000</v>
      </c>
    </row>
    <row r="53" spans="1:46" ht="15.75" thickBot="1" x14ac:dyDescent="0.3">
      <c r="A53" s="19"/>
      <c r="B53" s="787" t="s">
        <v>450</v>
      </c>
      <c r="C53" s="788"/>
      <c r="D53" s="788"/>
      <c r="E53" s="788"/>
      <c r="F53" s="710" t="s">
        <v>468</v>
      </c>
      <c r="G53" s="710" t="s">
        <v>451</v>
      </c>
      <c r="H53" s="306">
        <f t="shared" ref="H53:J53" si="19">+H52*1000</f>
        <v>97.061854356240588</v>
      </c>
      <c r="I53" s="306">
        <f t="shared" si="19"/>
        <v>109.34257158613366</v>
      </c>
      <c r="J53" s="306">
        <f t="shared" si="19"/>
        <v>121.48325483128183</v>
      </c>
      <c r="K53" s="306">
        <f>+K52*1000</f>
        <v>136.11741933056493</v>
      </c>
      <c r="L53" s="306">
        <f t="shared" ref="L53" si="20">+L52*1000</f>
        <v>154.06891139891783</v>
      </c>
      <c r="M53" s="306">
        <f t="shared" ref="M53:Q53" si="21">+M52*1000</f>
        <v>176.56618565187247</v>
      </c>
      <c r="N53" s="305">
        <f t="shared" si="21"/>
        <v>205.52501574992721</v>
      </c>
      <c r="O53" s="306">
        <f t="shared" si="21"/>
        <v>244.10667904372514</v>
      </c>
      <c r="P53" s="306">
        <f t="shared" si="21"/>
        <v>297.92547481872549</v>
      </c>
      <c r="Q53" s="306">
        <f t="shared" si="21"/>
        <v>377.99876133935311</v>
      </c>
      <c r="R53" s="306">
        <f>+R52*1000</f>
        <v>509.30210021390076</v>
      </c>
      <c r="S53" s="306">
        <f t="shared" ref="S53" si="22">+S52*1000</f>
        <v>546.75295692925681</v>
      </c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M53" s="567">
        <f>+AM52-1080000</f>
        <v>940000</v>
      </c>
    </row>
    <row r="54" spans="1:46" x14ac:dyDescent="0.25">
      <c r="A54" s="19"/>
      <c r="B54" s="802" t="s">
        <v>467</v>
      </c>
      <c r="C54" s="803"/>
      <c r="D54" s="803"/>
      <c r="E54" s="803"/>
      <c r="F54" s="707" t="s">
        <v>130</v>
      </c>
      <c r="G54" s="707" t="s">
        <v>131</v>
      </c>
      <c r="H54" s="165">
        <f>+G34</f>
        <v>25</v>
      </c>
      <c r="I54" s="165">
        <f>+H55</f>
        <v>60</v>
      </c>
      <c r="J54" s="165">
        <f t="shared" ref="I54:J55" si="23">$G$37+0.2209*EXP(0.0557*J46)</f>
        <v>102.48065169565906</v>
      </c>
      <c r="K54" s="165">
        <f>$G$37+0.2209*EXP(0.0557*K46)</f>
        <v>100.4042896462082</v>
      </c>
      <c r="L54" s="165">
        <f t="shared" ref="L54:M54" si="24">$G$37+0.2209*EXP(0.0557*L46)</f>
        <v>98.892752141684227</v>
      </c>
      <c r="M54" s="165">
        <f t="shared" si="24"/>
        <v>97.792392198105617</v>
      </c>
      <c r="N54" s="166">
        <v>0</v>
      </c>
      <c r="O54" s="165">
        <f>+N34</f>
        <v>257.12583911336361</v>
      </c>
      <c r="P54" s="165">
        <f>+O55</f>
        <v>61</v>
      </c>
      <c r="Q54" s="165">
        <f t="shared" ref="Q54:R54" si="25">$G$37+0.2209*EXP(0.0557*Q46)</f>
        <v>95.674694628498031</v>
      </c>
      <c r="R54" s="165">
        <f>$G$37+0.2209*EXP(0.0557*R46)</f>
        <v>95.449730125187031</v>
      </c>
      <c r="S54" s="165">
        <f t="shared" ref="S54:S55" si="26">$G$37+0.2209*EXP(0.0557*S46)</f>
        <v>95.417113757278599</v>
      </c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M54" s="567">
        <v>360000</v>
      </c>
    </row>
    <row r="55" spans="1:46" x14ac:dyDescent="0.25">
      <c r="A55" s="19"/>
      <c r="B55" s="791" t="s">
        <v>466</v>
      </c>
      <c r="C55" s="792"/>
      <c r="D55" s="792"/>
      <c r="E55" s="792"/>
      <c r="F55" s="708" t="s">
        <v>130</v>
      </c>
      <c r="G55" s="708" t="s">
        <v>131</v>
      </c>
      <c r="H55" s="148">
        <v>60</v>
      </c>
      <c r="I55" s="148">
        <f t="shared" si="23"/>
        <v>109.25096218777558</v>
      </c>
      <c r="J55" s="148">
        <f t="shared" si="23"/>
        <v>105.33289938881674</v>
      </c>
      <c r="K55" s="148">
        <f>$G$37+0.2209*EXP(0.0557*K47)</f>
        <v>102.48065169565906</v>
      </c>
      <c r="L55" s="148">
        <f t="shared" ref="L55" si="27">$G$37+0.2209*EXP(0.0557*L47)</f>
        <v>100.4042896462082</v>
      </c>
      <c r="M55" s="148">
        <f t="shared" ref="M55:N55" si="28">$G$37+0.2209*EXP(0.0557*M47)</f>
        <v>98.892752141684227</v>
      </c>
      <c r="N55" s="149">
        <f t="shared" si="28"/>
        <v>97.792392198105617</v>
      </c>
      <c r="O55" s="148">
        <v>61</v>
      </c>
      <c r="P55" s="148">
        <f t="shared" ref="P55:Q55" si="29">$G$37+0.2209*EXP(0.0557*P47)</f>
        <v>96.408227365490148</v>
      </c>
      <c r="Q55" s="148">
        <f t="shared" si="29"/>
        <v>95.98372285687509</v>
      </c>
      <c r="R55" s="148">
        <f>$G$37+0.2209*EXP(0.0557*R47)</f>
        <v>95.674694628498031</v>
      </c>
      <c r="S55" s="148">
        <f t="shared" si="26"/>
        <v>95.449730125187031</v>
      </c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M55" s="567">
        <f>+AM53-AM54</f>
        <v>580000</v>
      </c>
    </row>
    <row r="56" spans="1:46" x14ac:dyDescent="0.25">
      <c r="A56" s="19"/>
      <c r="B56" s="791" t="s">
        <v>132</v>
      </c>
      <c r="C56" s="792"/>
      <c r="D56" s="792"/>
      <c r="E56" s="792"/>
      <c r="F56" s="75" t="s">
        <v>133</v>
      </c>
      <c r="G56" s="708" t="s">
        <v>33</v>
      </c>
      <c r="H56" s="148">
        <f t="shared" ref="H56:J56" si="30">2492.9-2.0523*H54-0.0030752*H54^2</f>
        <v>2439.6705000000002</v>
      </c>
      <c r="I56" s="148">
        <f t="shared" si="30"/>
        <v>2358.69128</v>
      </c>
      <c r="J56" s="148">
        <f t="shared" si="30"/>
        <v>2250.2823348544061</v>
      </c>
      <c r="K56" s="148">
        <f>2492.9-2.0523*K54-0.0030752*K54^2</f>
        <v>2255.8391194132801</v>
      </c>
      <c r="L56" s="148">
        <f t="shared" ref="L56" si="31">2492.9-2.0523*L54-0.0030752*L54^2</f>
        <v>2259.8676363139048</v>
      </c>
      <c r="M56" s="148">
        <f t="shared" ref="M56:Q56" si="32">2492.9-2.0523*M54-0.0030752*M54^2</f>
        <v>2262.7914535080617</v>
      </c>
      <c r="N56" s="149">
        <f t="shared" si="32"/>
        <v>2492.9</v>
      </c>
      <c r="O56" s="148">
        <f t="shared" si="32"/>
        <v>1761.8877989434804</v>
      </c>
      <c r="P56" s="148">
        <f t="shared" si="32"/>
        <v>2356.2668807999999</v>
      </c>
      <c r="Q56" s="148">
        <f t="shared" si="32"/>
        <v>2268.3975283683071</v>
      </c>
      <c r="R56" s="148">
        <f>2492.9-2.0523*R54-0.0030752*R54^2</f>
        <v>2268.9914449673965</v>
      </c>
      <c r="S56" s="148">
        <f t="shared" ref="S56" si="33">2492.9-2.0523*S54-0.0030752*S54^2</f>
        <v>2269.0775278376764</v>
      </c>
      <c r="T56" s="19"/>
      <c r="U56" s="19"/>
      <c r="V56" s="19"/>
      <c r="W56" s="19"/>
      <c r="X56" s="19"/>
      <c r="Y56" s="22"/>
      <c r="Z56" s="22"/>
      <c r="AA56" s="22"/>
      <c r="AB56" s="19"/>
      <c r="AC56" s="19"/>
      <c r="AD56" s="19"/>
      <c r="AE56" s="19"/>
    </row>
    <row r="57" spans="1:46" x14ac:dyDescent="0.25">
      <c r="A57" s="19"/>
      <c r="B57" s="791" t="s">
        <v>134</v>
      </c>
      <c r="C57" s="792"/>
      <c r="D57" s="792"/>
      <c r="E57" s="792"/>
      <c r="F57" s="708" t="s">
        <v>135</v>
      </c>
      <c r="G57" s="708" t="s">
        <v>38</v>
      </c>
      <c r="H57" s="303">
        <f t="shared" ref="H57:J57" si="34">+H49-(H49*H46/H47)</f>
        <v>26.37090909090908</v>
      </c>
      <c r="I57" s="303">
        <f t="shared" si="34"/>
        <v>10.962424242424248</v>
      </c>
      <c r="J57" s="303">
        <f t="shared" si="34"/>
        <v>12.927387078330469</v>
      </c>
      <c r="K57" s="303">
        <f>+K49-(K49*K46/K47)</f>
        <v>15.472675725877394</v>
      </c>
      <c r="L57" s="303">
        <f t="shared" ref="L57" si="35">+L49-(L49*L46/L47)</f>
        <v>18.851765826931086</v>
      </c>
      <c r="M57" s="303">
        <f t="shared" ref="M57:Q57" si="36">+M49-(M49*M46/M47)</f>
        <v>23.473489061920674</v>
      </c>
      <c r="N57" s="644">
        <f t="shared" si="36"/>
        <v>30.032258064516128</v>
      </c>
      <c r="O57" s="303">
        <f t="shared" si="36"/>
        <v>39.786324786324798</v>
      </c>
      <c r="P57" s="303">
        <f t="shared" si="36"/>
        <v>55.213675213675231</v>
      </c>
      <c r="Q57" s="303">
        <f t="shared" si="36"/>
        <v>81.772151898734194</v>
      </c>
      <c r="R57" s="303">
        <f>+R49-(R49*R46/R47)</f>
        <v>133.56118143459918</v>
      </c>
      <c r="S57" s="303">
        <f t="shared" ref="S57" si="37">+S49-(S49*S46/S47)</f>
        <v>32.666666666666629</v>
      </c>
      <c r="T57" s="19"/>
      <c r="U57" s="19"/>
      <c r="V57" s="19"/>
      <c r="W57" s="19"/>
      <c r="X57" s="19"/>
      <c r="Y57" s="22"/>
      <c r="Z57" s="22"/>
      <c r="AA57" s="22"/>
      <c r="AB57" s="19"/>
      <c r="AC57" s="19"/>
      <c r="AD57" s="19"/>
      <c r="AE57" s="19"/>
    </row>
    <row r="58" spans="1:46" ht="15.75" thickBot="1" x14ac:dyDescent="0.3">
      <c r="A58" s="19"/>
      <c r="B58" s="804" t="s">
        <v>136</v>
      </c>
      <c r="C58" s="805"/>
      <c r="D58" s="805"/>
      <c r="E58" s="805"/>
      <c r="F58" s="709" t="s">
        <v>137</v>
      </c>
      <c r="G58" s="709" t="s">
        <v>19</v>
      </c>
      <c r="H58" s="709">
        <f t="shared" ref="H58:J58" si="38">(H49*H50*(H55- H54)+H57*H56)/3600</f>
        <v>20.549588115353529</v>
      </c>
      <c r="I58" s="709">
        <f t="shared" si="38"/>
        <v>11.860287641538557</v>
      </c>
      <c r="J58" s="709">
        <f t="shared" si="38"/>
        <v>8.3936142078605389</v>
      </c>
      <c r="K58" s="709">
        <f>(K49*K50*(K55- K54)+K57*K56)/3600</f>
        <v>9.9600274482555893</v>
      </c>
      <c r="L58" s="709">
        <f t="shared" ref="L58" si="39">(L49*L50*(L55- L54)+L57*L56)/3600</f>
        <v>12.059102295887893</v>
      </c>
      <c r="M58" s="709">
        <f t="shared" ref="M58:Q58" si="40">(M49*M50*(M55- M54)+M57*M56)/3600</f>
        <v>14.947663365662265</v>
      </c>
      <c r="N58" s="645">
        <f t="shared" si="40"/>
        <v>41.329870116465628</v>
      </c>
      <c r="O58" s="734">
        <f t="shared" si="40"/>
        <v>-30.613745963375735</v>
      </c>
      <c r="P58" s="734">
        <f t="shared" si="40"/>
        <v>47.411940717070941</v>
      </c>
      <c r="Q58" s="734">
        <f t="shared" si="40"/>
        <v>51.652715745921121</v>
      </c>
      <c r="R58" s="734">
        <f>(R49*R50*(R55- R54)+R57*R56)/3600</f>
        <v>84.307238433481814</v>
      </c>
      <c r="S58" s="734">
        <f t="shared" ref="S58" si="41">(S49*S50*(S55- S54)+S57*S56)/3600</f>
        <v>20.609707679433026</v>
      </c>
      <c r="T58" s="19"/>
      <c r="U58" s="19"/>
      <c r="V58" s="19"/>
      <c r="W58" s="19"/>
      <c r="X58" s="19"/>
      <c r="Y58" s="22"/>
      <c r="Z58" s="22"/>
      <c r="AA58" s="22"/>
      <c r="AB58" s="19"/>
      <c r="AC58" s="19"/>
      <c r="AD58" s="19"/>
      <c r="AE58" s="19"/>
    </row>
    <row r="59" spans="1:46" ht="15.75" thickBot="1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19"/>
      <c r="AC59" s="19"/>
      <c r="AD59" s="19"/>
      <c r="AE59" s="19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</row>
    <row r="60" spans="1:46" ht="15.75" thickBot="1" x14ac:dyDescent="0.3">
      <c r="A60" s="799"/>
      <c r="B60" s="800"/>
      <c r="C60" s="800"/>
      <c r="D60" s="800"/>
      <c r="E60" s="800"/>
      <c r="F60" s="800"/>
      <c r="G60" s="800"/>
      <c r="H60" s="800"/>
      <c r="I60" s="800"/>
      <c r="J60" s="800"/>
      <c r="K60" s="800"/>
      <c r="L60" s="800"/>
      <c r="M60" s="800"/>
      <c r="N60" s="800"/>
      <c r="O60" s="800"/>
      <c r="P60" s="800"/>
      <c r="Q60" s="800"/>
      <c r="R60" s="800"/>
      <c r="S60" s="800"/>
      <c r="T60" s="800"/>
      <c r="U60" s="800"/>
      <c r="V60" s="800"/>
      <c r="W60" s="800"/>
      <c r="X60" s="800"/>
      <c r="Y60" s="800"/>
      <c r="Z60" s="800"/>
      <c r="AA60" s="800"/>
      <c r="AB60" s="800"/>
      <c r="AC60" s="800"/>
      <c r="AD60" s="800"/>
      <c r="AE60" s="801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</row>
    <row r="61" spans="1:46" x14ac:dyDescent="0.25">
      <c r="A61" s="19"/>
      <c r="B61" s="19"/>
      <c r="C61" s="19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75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496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</row>
    <row r="62" spans="1:46" ht="15.75" thickBot="1" x14ac:dyDescent="0.3">
      <c r="A62" s="19"/>
      <c r="B62" s="19"/>
      <c r="C62" s="19"/>
      <c r="D62" s="37"/>
      <c r="E62" s="37"/>
      <c r="F62" s="37"/>
      <c r="G62" s="37"/>
      <c r="H62" s="37"/>
      <c r="I62" s="37"/>
      <c r="J62" s="37"/>
      <c r="K62" s="37"/>
      <c r="L62" s="37"/>
      <c r="M62" s="22"/>
      <c r="N62" s="22"/>
      <c r="O62" s="637"/>
      <c r="P62" s="637"/>
      <c r="Q62" s="637"/>
      <c r="R62" s="637"/>
      <c r="S62" s="758"/>
      <c r="T62" s="637"/>
      <c r="U62" s="640"/>
      <c r="V62" s="640"/>
      <c r="W62" s="640"/>
      <c r="X62" s="640"/>
      <c r="Y62" s="640"/>
      <c r="Z62" s="19"/>
      <c r="AA62" s="19"/>
      <c r="AB62" s="19"/>
      <c r="AC62" s="19"/>
      <c r="AD62" s="37"/>
      <c r="AE62" s="496"/>
      <c r="AG62" s="21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</row>
    <row r="63" spans="1:46" ht="15.75" thickBot="1" x14ac:dyDescent="0.3">
      <c r="A63" s="19"/>
      <c r="B63" s="775" t="s">
        <v>751</v>
      </c>
      <c r="C63" s="776"/>
      <c r="D63" s="776"/>
      <c r="E63" s="776"/>
      <c r="F63" s="776"/>
      <c r="G63" s="776"/>
      <c r="H63" s="776"/>
      <c r="I63" s="777"/>
      <c r="J63" s="19"/>
      <c r="K63" s="770" t="s">
        <v>754</v>
      </c>
      <c r="L63" s="771"/>
      <c r="M63" s="771"/>
      <c r="N63" s="771"/>
      <c r="O63" s="771"/>
      <c r="P63" s="771"/>
      <c r="Q63" s="771"/>
      <c r="R63" s="772"/>
      <c r="S63" s="758"/>
      <c r="T63" s="775" t="s">
        <v>719</v>
      </c>
      <c r="U63" s="776"/>
      <c r="V63" s="776"/>
      <c r="W63" s="776"/>
      <c r="X63" s="776"/>
      <c r="Y63" s="776"/>
      <c r="Z63" s="776"/>
      <c r="AA63" s="777"/>
      <c r="AB63" s="19"/>
      <c r="AC63" s="19"/>
      <c r="AD63" s="19"/>
      <c r="AE63" s="496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</row>
    <row r="64" spans="1:46" x14ac:dyDescent="0.25">
      <c r="A64" s="19"/>
      <c r="B64" s="785" t="s">
        <v>711</v>
      </c>
      <c r="C64" s="786"/>
      <c r="D64" s="610">
        <v>0.59</v>
      </c>
      <c r="E64" s="610" t="s">
        <v>60</v>
      </c>
      <c r="F64" s="600"/>
      <c r="G64" s="600"/>
      <c r="H64" s="600"/>
      <c r="I64" s="601"/>
      <c r="J64" s="19"/>
      <c r="K64" s="773" t="s">
        <v>711</v>
      </c>
      <c r="L64" s="774"/>
      <c r="M64" s="293">
        <v>0.5</v>
      </c>
      <c r="N64" s="293" t="s">
        <v>60</v>
      </c>
      <c r="O64" s="635"/>
      <c r="P64" s="635"/>
      <c r="Q64" s="635"/>
      <c r="R64" s="638"/>
      <c r="S64" s="19"/>
      <c r="T64" s="609" t="s">
        <v>108</v>
      </c>
      <c r="U64" s="610">
        <v>0.95</v>
      </c>
      <c r="V64" s="611" t="s">
        <v>60</v>
      </c>
      <c r="W64" s="612" t="s">
        <v>462</v>
      </c>
      <c r="X64" s="613">
        <f>((U64/2)^2+U65^2)/(2*U65)</f>
        <v>0.48426282051282049</v>
      </c>
      <c r="Y64" s="613" t="s">
        <v>60</v>
      </c>
      <c r="Z64" s="613"/>
      <c r="AA64" s="614"/>
      <c r="AB64" s="19"/>
      <c r="AC64" s="19"/>
      <c r="AD64" s="19"/>
      <c r="AE64" s="496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</row>
    <row r="65" spans="1:47" x14ac:dyDescent="0.25">
      <c r="A65" s="19"/>
      <c r="B65" s="739" t="s">
        <v>712</v>
      </c>
      <c r="C65" s="740"/>
      <c r="D65" s="599">
        <v>0.1</v>
      </c>
      <c r="E65" s="599" t="s">
        <v>60</v>
      </c>
      <c r="F65" s="600"/>
      <c r="G65" s="600"/>
      <c r="H65" s="600"/>
      <c r="I65" s="601"/>
      <c r="J65" s="19"/>
      <c r="K65" s="745" t="s">
        <v>712</v>
      </c>
      <c r="L65" s="746"/>
      <c r="M65" s="290">
        <v>0.3</v>
      </c>
      <c r="N65" s="290" t="s">
        <v>60</v>
      </c>
      <c r="O65" s="635"/>
      <c r="P65" s="635"/>
      <c r="Q65" s="635"/>
      <c r="R65" s="638"/>
      <c r="S65" s="19"/>
      <c r="T65" s="598" t="s">
        <v>59</v>
      </c>
      <c r="U65" s="599">
        <v>0.39</v>
      </c>
      <c r="V65" s="615" t="s">
        <v>60</v>
      </c>
      <c r="W65" s="616" t="s">
        <v>720</v>
      </c>
      <c r="X65" s="617">
        <f>X64-U65</f>
        <v>9.4262820512820478E-2</v>
      </c>
      <c r="Y65" s="617" t="s">
        <v>60</v>
      </c>
      <c r="Z65" s="617" t="s">
        <v>721</v>
      </c>
      <c r="AA65" s="618">
        <f>U64+2*(U68/TAN(U69))</f>
        <v>1.4267509464854848</v>
      </c>
      <c r="AB65" s="19"/>
      <c r="AC65" s="19"/>
      <c r="AD65" s="19"/>
      <c r="AE65" s="496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</row>
    <row r="66" spans="1:47" ht="15.75" x14ac:dyDescent="0.25">
      <c r="A66" s="19"/>
      <c r="B66" s="739" t="s">
        <v>453</v>
      </c>
      <c r="C66" s="740"/>
      <c r="D66" s="599">
        <f>68*PI()/180</f>
        <v>1.1868238913561442</v>
      </c>
      <c r="E66" s="599" t="s">
        <v>452</v>
      </c>
      <c r="F66" s="600"/>
      <c r="G66" s="600"/>
      <c r="H66" s="600"/>
      <c r="I66" s="601"/>
      <c r="J66" s="19"/>
      <c r="K66" s="745" t="s">
        <v>453</v>
      </c>
      <c r="L66" s="746"/>
      <c r="M66" s="290">
        <f>68*PI()/180</f>
        <v>1.1868238913561442</v>
      </c>
      <c r="N66" s="290" t="s">
        <v>452</v>
      </c>
      <c r="O66" s="635"/>
      <c r="P66" s="635"/>
      <c r="Q66" s="635"/>
      <c r="R66" s="638"/>
      <c r="S66" s="19"/>
      <c r="T66" s="598" t="s">
        <v>722</v>
      </c>
      <c r="U66" s="599">
        <v>0.16</v>
      </c>
      <c r="V66" s="615" t="s">
        <v>60</v>
      </c>
      <c r="W66" s="616" t="s">
        <v>723</v>
      </c>
      <c r="X66" s="617">
        <f>2*ASIN((U64/2)/X64)</f>
        <v>2.749786955018684</v>
      </c>
      <c r="Y66" s="617" t="s">
        <v>452</v>
      </c>
      <c r="Z66" s="617" t="s">
        <v>724</v>
      </c>
      <c r="AA66" s="618">
        <f>(U67+2*U66)+2*(U68/TAN(U69))</f>
        <v>1.9367509464854848</v>
      </c>
      <c r="AB66" s="19"/>
      <c r="AC66" s="19"/>
      <c r="AD66" s="19"/>
      <c r="AE66" s="496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</row>
    <row r="67" spans="1:47" x14ac:dyDescent="0.25">
      <c r="A67" s="19"/>
      <c r="B67" s="739" t="s">
        <v>108</v>
      </c>
      <c r="C67" s="740"/>
      <c r="D67" s="599">
        <v>0.8</v>
      </c>
      <c r="E67" s="599" t="s">
        <v>60</v>
      </c>
      <c r="F67" s="600"/>
      <c r="G67" s="600"/>
      <c r="H67" s="600"/>
      <c r="I67" s="601"/>
      <c r="J67" s="19"/>
      <c r="K67" s="745" t="s">
        <v>108</v>
      </c>
      <c r="L67" s="746"/>
      <c r="M67" s="290">
        <v>0.96</v>
      </c>
      <c r="N67" s="290" t="s">
        <v>60</v>
      </c>
      <c r="O67" s="635"/>
      <c r="P67" s="635"/>
      <c r="Q67" s="635"/>
      <c r="R67" s="638"/>
      <c r="S67" s="19"/>
      <c r="T67" s="598" t="s">
        <v>451</v>
      </c>
      <c r="U67" s="599">
        <f>1.46-2*(U66)</f>
        <v>1.1399999999999999</v>
      </c>
      <c r="V67" s="615" t="s">
        <v>60</v>
      </c>
      <c r="W67" s="616" t="s">
        <v>725</v>
      </c>
      <c r="X67" s="617">
        <f>X64*X66</f>
        <v>1.3316195866467082</v>
      </c>
      <c r="Y67" s="617" t="s">
        <v>60</v>
      </c>
      <c r="Z67" s="617" t="s">
        <v>463</v>
      </c>
      <c r="AA67" s="618">
        <f>AA66*AA65</f>
        <v>2.763261246004824</v>
      </c>
      <c r="AB67" s="19"/>
      <c r="AC67" s="19"/>
      <c r="AD67" s="19"/>
      <c r="AE67" s="496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</row>
    <row r="68" spans="1:47" x14ac:dyDescent="0.25">
      <c r="A68" s="19"/>
      <c r="B68" s="739" t="s">
        <v>451</v>
      </c>
      <c r="C68" s="740"/>
      <c r="D68" s="599">
        <v>1.2</v>
      </c>
      <c r="E68" s="599" t="s">
        <v>60</v>
      </c>
      <c r="F68" s="600"/>
      <c r="G68" s="600"/>
      <c r="H68" s="600"/>
      <c r="I68" s="601"/>
      <c r="J68" s="19"/>
      <c r="K68" s="745" t="s">
        <v>451</v>
      </c>
      <c r="L68" s="746"/>
      <c r="M68" s="290">
        <v>0.8</v>
      </c>
      <c r="N68" s="290" t="s">
        <v>60</v>
      </c>
      <c r="O68" s="635"/>
      <c r="P68" s="635"/>
      <c r="Q68" s="635"/>
      <c r="R68" s="638"/>
      <c r="S68" s="19"/>
      <c r="T68" s="598" t="s">
        <v>461</v>
      </c>
      <c r="U68" s="599">
        <v>0.59</v>
      </c>
      <c r="V68" s="615" t="s">
        <v>60</v>
      </c>
      <c r="W68" s="616" t="s">
        <v>726</v>
      </c>
      <c r="X68" s="617">
        <f>X64^2*(X66)/2-(X64^2*SIN(X66)/2)</f>
        <v>0.27765208869623581</v>
      </c>
      <c r="Y68" s="617" t="s">
        <v>448</v>
      </c>
      <c r="Z68" s="617" t="s">
        <v>462</v>
      </c>
      <c r="AA68" s="618">
        <f>((U64/2)^2+U66^2)/(2*U66)</f>
        <v>0.78507812499999996</v>
      </c>
      <c r="AB68" s="19"/>
      <c r="AC68" s="19"/>
      <c r="AD68" s="19"/>
      <c r="AE68" s="496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</row>
    <row r="69" spans="1:47" ht="15.75" x14ac:dyDescent="0.25">
      <c r="A69" s="19"/>
      <c r="B69" s="739" t="s">
        <v>98</v>
      </c>
      <c r="C69" s="740"/>
      <c r="D69" s="599">
        <v>0</v>
      </c>
      <c r="E69" s="599" t="s">
        <v>43</v>
      </c>
      <c r="F69" s="600"/>
      <c r="G69" s="600"/>
      <c r="H69" s="600"/>
      <c r="I69" s="601"/>
      <c r="J69" s="19"/>
      <c r="K69" s="745" t="s">
        <v>98</v>
      </c>
      <c r="L69" s="746"/>
      <c r="M69" s="290">
        <v>0</v>
      </c>
      <c r="N69" s="290" t="s">
        <v>43</v>
      </c>
      <c r="O69" s="635"/>
      <c r="P69" s="635"/>
      <c r="Q69" s="635"/>
      <c r="R69" s="638"/>
      <c r="S69" s="19"/>
      <c r="T69" s="598" t="s">
        <v>453</v>
      </c>
      <c r="U69" s="599">
        <f>68*PI()/180</f>
        <v>1.1868238913561442</v>
      </c>
      <c r="V69" s="615" t="s">
        <v>452</v>
      </c>
      <c r="W69" s="616" t="s">
        <v>727</v>
      </c>
      <c r="X69" s="617">
        <f>X68*U67</f>
        <v>0.31652338111370881</v>
      </c>
      <c r="Y69" s="617" t="s">
        <v>449</v>
      </c>
      <c r="Z69" s="617" t="s">
        <v>723</v>
      </c>
      <c r="AA69" s="618">
        <f>2*ASIN((U64/2)/AA68)</f>
        <v>1.2996204722604763</v>
      </c>
      <c r="AB69" s="19"/>
      <c r="AC69" s="19"/>
      <c r="AD69" s="19"/>
      <c r="AE69" s="496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</row>
    <row r="70" spans="1:47" x14ac:dyDescent="0.25">
      <c r="A70" s="19"/>
      <c r="B70" s="739" t="s">
        <v>713</v>
      </c>
      <c r="C70" s="740"/>
      <c r="D70" s="599">
        <v>0.1</v>
      </c>
      <c r="E70" s="599" t="s">
        <v>60</v>
      </c>
      <c r="F70" s="600"/>
      <c r="G70" s="600"/>
      <c r="H70" s="600"/>
      <c r="I70" s="601"/>
      <c r="J70" s="19"/>
      <c r="K70" s="745" t="s">
        <v>737</v>
      </c>
      <c r="L70" s="746"/>
      <c r="M70" s="290">
        <v>0.1</v>
      </c>
      <c r="N70" s="290" t="s">
        <v>60</v>
      </c>
      <c r="O70" s="635"/>
      <c r="P70" s="635"/>
      <c r="Q70" s="635"/>
      <c r="R70" s="638"/>
      <c r="S70" s="19"/>
      <c r="T70" s="598" t="s">
        <v>98</v>
      </c>
      <c r="U70" s="599">
        <v>0</v>
      </c>
      <c r="V70" s="615" t="s">
        <v>43</v>
      </c>
      <c r="W70" s="616" t="s">
        <v>728</v>
      </c>
      <c r="X70" s="617">
        <f>X67*U67</f>
        <v>1.5180463287772472</v>
      </c>
      <c r="Y70" s="617" t="s">
        <v>449</v>
      </c>
      <c r="Z70" s="617" t="s">
        <v>729</v>
      </c>
      <c r="AA70" s="618">
        <f>(AA68^2*AA69/2)-(AA68^2*SIN(AA69)/2)</f>
        <v>0.10359691063725829</v>
      </c>
      <c r="AB70" s="19"/>
      <c r="AC70" s="19"/>
      <c r="AD70" s="19"/>
      <c r="AE70" s="496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</row>
    <row r="71" spans="1:47" x14ac:dyDescent="0.25">
      <c r="A71" s="19"/>
      <c r="B71" s="739" t="s">
        <v>714</v>
      </c>
      <c r="C71" s="740"/>
      <c r="D71" s="599">
        <f>(D67*D68+2*D67*D65+2*D65*D68)</f>
        <v>1.36</v>
      </c>
      <c r="E71" s="599" t="s">
        <v>448</v>
      </c>
      <c r="F71" s="600"/>
      <c r="G71" s="600"/>
      <c r="H71" s="600"/>
      <c r="I71" s="601"/>
      <c r="J71" s="19"/>
      <c r="K71" s="747" t="s">
        <v>738</v>
      </c>
      <c r="L71" s="748"/>
      <c r="M71" s="642">
        <v>0.17</v>
      </c>
      <c r="N71" s="642" t="s">
        <v>60</v>
      </c>
      <c r="O71" s="635"/>
      <c r="P71" s="635"/>
      <c r="Q71" s="635"/>
      <c r="R71" s="638"/>
      <c r="S71" s="19"/>
      <c r="T71" s="598" t="s">
        <v>730</v>
      </c>
      <c r="U71" s="599">
        <v>0.1</v>
      </c>
      <c r="V71" s="615" t="s">
        <v>60</v>
      </c>
      <c r="W71" s="616" t="s">
        <v>731</v>
      </c>
      <c r="X71" s="617">
        <f>((X64)^2+U66^2)/(2*U66)</f>
        <v>0.81284524790947565</v>
      </c>
      <c r="Y71" s="617" t="s">
        <v>60</v>
      </c>
      <c r="Z71" s="617" t="s">
        <v>459</v>
      </c>
      <c r="AA71" s="618">
        <f>U64*U67+2*AA70</f>
        <v>1.2901938212745165</v>
      </c>
      <c r="AB71" s="19"/>
      <c r="AC71" s="19"/>
      <c r="AD71" s="19"/>
      <c r="AE71" s="496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</row>
    <row r="72" spans="1:47" x14ac:dyDescent="0.25">
      <c r="A72" s="19"/>
      <c r="B72" s="830" t="s">
        <v>715</v>
      </c>
      <c r="C72" s="831"/>
      <c r="D72" s="603">
        <f>D65*D67*D68</f>
        <v>9.6000000000000016E-2</v>
      </c>
      <c r="E72" s="603" t="s">
        <v>449</v>
      </c>
      <c r="F72" s="600"/>
      <c r="G72" s="600"/>
      <c r="H72" s="600"/>
      <c r="I72" s="601"/>
      <c r="J72" s="19"/>
      <c r="K72" s="747" t="s">
        <v>739</v>
      </c>
      <c r="L72" s="748"/>
      <c r="M72" s="642">
        <v>3</v>
      </c>
      <c r="N72" s="642" t="s">
        <v>43</v>
      </c>
      <c r="O72" s="635"/>
      <c r="P72" s="635"/>
      <c r="Q72" s="635"/>
      <c r="R72" s="638"/>
      <c r="S72" s="19"/>
      <c r="T72" s="598" t="s">
        <v>454</v>
      </c>
      <c r="U72" s="599">
        <f>X70+2*X75</f>
        <v>2.1761452849347087</v>
      </c>
      <c r="V72" s="615" t="s">
        <v>448</v>
      </c>
      <c r="W72" s="616" t="s">
        <v>732</v>
      </c>
      <c r="X72" s="617">
        <f>(PI()*U66^2*(3*X71-U66)/3)</f>
        <v>6.1083572509345978E-2</v>
      </c>
      <c r="Y72" s="617" t="s">
        <v>449</v>
      </c>
      <c r="Z72" s="617" t="s">
        <v>458</v>
      </c>
      <c r="AA72" s="618">
        <f>(U68*(AA67+AA71+SQRT(AA67*AA71)))/3</f>
        <v>1.1685173382855116</v>
      </c>
      <c r="AB72" s="19"/>
      <c r="AC72" s="19"/>
      <c r="AD72" s="19"/>
      <c r="AE72" s="496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</row>
    <row r="73" spans="1:47" x14ac:dyDescent="0.25">
      <c r="A73" s="19"/>
      <c r="B73" s="739" t="s">
        <v>716</v>
      </c>
      <c r="C73" s="740"/>
      <c r="D73" s="599">
        <f>(D67*D65*D68)+(D67+D64/TAN(D66))*D64*D68</f>
        <v>0.83116983505586173</v>
      </c>
      <c r="E73" s="599" t="s">
        <v>449</v>
      </c>
      <c r="F73" s="600"/>
      <c r="G73" s="600"/>
      <c r="H73" s="600"/>
      <c r="I73" s="601"/>
      <c r="J73" s="19"/>
      <c r="K73" s="745" t="s">
        <v>715</v>
      </c>
      <c r="L73" s="746"/>
      <c r="M73" s="290">
        <f>((M65*M67)-((PI()/4)*M71^2)*M72)*M68</f>
        <v>0.17592478338675296</v>
      </c>
      <c r="N73" s="290" t="s">
        <v>449</v>
      </c>
      <c r="O73" s="635"/>
      <c r="P73" s="635"/>
      <c r="Q73" s="635"/>
      <c r="R73" s="638"/>
      <c r="S73" s="19"/>
      <c r="T73" s="602" t="s">
        <v>457</v>
      </c>
      <c r="U73" s="603">
        <f>X69+2*X73</f>
        <v>0.36571690221329989</v>
      </c>
      <c r="V73" s="619" t="s">
        <v>449</v>
      </c>
      <c r="W73" s="616" t="s">
        <v>733</v>
      </c>
      <c r="X73" s="617">
        <f>(U65/(X64*2))*X72</f>
        <v>2.4596760549795548E-2</v>
      </c>
      <c r="Y73" s="617" t="s">
        <v>449</v>
      </c>
      <c r="Z73" s="617"/>
      <c r="AA73" s="618"/>
      <c r="AB73" s="19"/>
      <c r="AC73" s="19"/>
      <c r="AD73" s="19"/>
      <c r="AE73" s="496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</row>
    <row r="74" spans="1:47" x14ac:dyDescent="0.25">
      <c r="A74" s="19"/>
      <c r="B74" s="769"/>
      <c r="C74" s="758"/>
      <c r="D74" s="641"/>
      <c r="E74" s="641"/>
      <c r="F74" s="600"/>
      <c r="G74" s="600"/>
      <c r="H74" s="600"/>
      <c r="I74" s="601"/>
      <c r="J74" s="19"/>
      <c r="K74" s="749" t="s">
        <v>744</v>
      </c>
      <c r="L74" s="750"/>
      <c r="M74" s="291">
        <f>M73+(M68*M64*(M67+M64/TAN(M66)))</f>
        <v>0.64073002855378436</v>
      </c>
      <c r="N74" s="291" t="s">
        <v>449</v>
      </c>
      <c r="O74" s="635"/>
      <c r="P74" s="635"/>
      <c r="Q74" s="635"/>
      <c r="R74" s="638"/>
      <c r="S74" s="19"/>
      <c r="T74" s="598" t="s">
        <v>456</v>
      </c>
      <c r="U74" s="599">
        <f>AA72</f>
        <v>1.1685173382855116</v>
      </c>
      <c r="V74" s="615" t="s">
        <v>449</v>
      </c>
      <c r="W74" s="616" t="s">
        <v>734</v>
      </c>
      <c r="X74" s="617">
        <f>2*PI()*X71*U66</f>
        <v>0.81716117098809049</v>
      </c>
      <c r="Y74" s="617" t="s">
        <v>448</v>
      </c>
      <c r="Z74" s="617"/>
      <c r="AA74" s="618"/>
      <c r="AB74" s="19"/>
      <c r="AC74" s="19"/>
      <c r="AD74" s="19"/>
      <c r="AE74" s="496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</row>
    <row r="75" spans="1:47" x14ac:dyDescent="0.25">
      <c r="A75" s="19"/>
      <c r="B75" s="739" t="s">
        <v>717</v>
      </c>
      <c r="C75" s="740"/>
      <c r="D75" s="604">
        <f>+H52/D73</f>
        <v>0.11677740247842031</v>
      </c>
      <c r="E75" s="599" t="s">
        <v>6</v>
      </c>
      <c r="F75" s="600"/>
      <c r="G75" s="600"/>
      <c r="H75" s="600"/>
      <c r="I75" s="601"/>
      <c r="J75" s="19"/>
      <c r="K75" s="751" t="s">
        <v>717</v>
      </c>
      <c r="L75" s="752"/>
      <c r="M75" s="604">
        <f>+I52/M74</f>
        <v>0.17065310928681593</v>
      </c>
      <c r="N75" s="599" t="s">
        <v>6</v>
      </c>
      <c r="O75" s="635"/>
      <c r="P75" s="635"/>
      <c r="Q75" s="635"/>
      <c r="R75" s="638"/>
      <c r="S75" s="19"/>
      <c r="T75" s="598" t="s">
        <v>455</v>
      </c>
      <c r="U75" s="599">
        <f>U74+U73</f>
        <v>1.5342342404988116</v>
      </c>
      <c r="V75" s="615" t="s">
        <v>449</v>
      </c>
      <c r="W75" s="616" t="s">
        <v>735</v>
      </c>
      <c r="X75" s="617">
        <f>X74*(U65/(X64*2))</f>
        <v>0.32904947807873075</v>
      </c>
      <c r="Y75" s="617" t="s">
        <v>448</v>
      </c>
      <c r="Z75" s="617"/>
      <c r="AA75" s="618"/>
      <c r="AB75" s="19"/>
      <c r="AC75" s="19"/>
      <c r="AD75" s="19"/>
      <c r="AE75" s="496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</row>
    <row r="76" spans="1:47" x14ac:dyDescent="0.25">
      <c r="A76" s="19"/>
      <c r="B76" s="769"/>
      <c r="C76" s="758"/>
      <c r="D76" s="641"/>
      <c r="E76" s="641"/>
      <c r="F76" s="600"/>
      <c r="G76" s="600"/>
      <c r="H76" s="600"/>
      <c r="I76" s="601"/>
      <c r="J76" s="19"/>
      <c r="K76" s="397"/>
      <c r="L76" s="23"/>
      <c r="M76" s="23"/>
      <c r="N76" s="23"/>
      <c r="O76" s="23"/>
      <c r="P76" s="23"/>
      <c r="Q76" s="23"/>
      <c r="R76" s="398"/>
      <c r="S76" s="19"/>
      <c r="T76" s="620"/>
      <c r="U76" s="600"/>
      <c r="V76" s="600"/>
      <c r="W76" s="616"/>
      <c r="X76" s="617"/>
      <c r="Y76" s="617"/>
      <c r="Z76" s="617"/>
      <c r="AA76" s="618"/>
      <c r="AB76" s="19"/>
      <c r="AC76" s="19"/>
      <c r="AD76" s="19"/>
      <c r="AE76" s="496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</row>
    <row r="77" spans="1:47" ht="15.75" thickBot="1" x14ac:dyDescent="0.3">
      <c r="A77" s="19"/>
      <c r="B77" s="826" t="s">
        <v>718</v>
      </c>
      <c r="C77" s="827"/>
      <c r="D77" s="606">
        <f>D70*D68*D69*2+D71</f>
        <v>1.36</v>
      </c>
      <c r="E77" s="606" t="s">
        <v>448</v>
      </c>
      <c r="F77" s="607"/>
      <c r="G77" s="607"/>
      <c r="H77" s="607"/>
      <c r="I77" s="608"/>
      <c r="J77" s="19"/>
      <c r="K77" s="753" t="s">
        <v>718</v>
      </c>
      <c r="L77" s="754"/>
      <c r="M77" s="288">
        <f>((((M65)*(M67))-((PI()/4)*M71^2)*M72)*2+2*(M65*M68)+(M67*M68))+(PI()*M71*M68*M72)+(2*(M68*M70)+2*(M70))*M69</f>
        <v>2.9695817611315181</v>
      </c>
      <c r="N77" s="288" t="s">
        <v>448</v>
      </c>
      <c r="O77" s="636"/>
      <c r="P77" s="636"/>
      <c r="Q77" s="636"/>
      <c r="R77" s="639"/>
      <c r="S77" s="19"/>
      <c r="T77" s="605" t="s">
        <v>718</v>
      </c>
      <c r="U77" s="606">
        <f>U67*U71*2*U70+U72</f>
        <v>2.1761452849347087</v>
      </c>
      <c r="V77" s="621" t="s">
        <v>448</v>
      </c>
      <c r="W77" s="622"/>
      <c r="X77" s="597"/>
      <c r="Y77" s="597"/>
      <c r="Z77" s="597"/>
      <c r="AA77" s="623"/>
      <c r="AB77" s="19"/>
      <c r="AC77" s="19"/>
      <c r="AD77" s="19"/>
      <c r="AE77" s="496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</row>
    <row r="78" spans="1:47" ht="15.75" thickBot="1" x14ac:dyDescent="0.3">
      <c r="A78" s="19"/>
      <c r="B78" s="37"/>
      <c r="C78" s="617"/>
      <c r="D78" s="37"/>
      <c r="E78" s="37"/>
      <c r="F78" s="37"/>
      <c r="G78" s="37"/>
      <c r="H78" s="37"/>
      <c r="I78" s="37"/>
      <c r="J78" s="19"/>
      <c r="K78" s="37"/>
      <c r="L78" s="37"/>
      <c r="M78" s="37"/>
      <c r="N78" s="37"/>
      <c r="O78" s="37"/>
      <c r="P78" s="37"/>
      <c r="Q78" s="37"/>
      <c r="R78" s="37"/>
      <c r="S78" s="19"/>
      <c r="U78" s="37"/>
      <c r="V78" s="640"/>
      <c r="W78" s="640"/>
      <c r="X78" s="640"/>
      <c r="Y78" s="640"/>
      <c r="Z78" s="37"/>
      <c r="AA78" s="37"/>
      <c r="AB78" s="37"/>
      <c r="AC78" s="37"/>
      <c r="AD78" s="37"/>
      <c r="AE78" s="496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</row>
    <row r="79" spans="1:47" ht="15.75" thickBot="1" x14ac:dyDescent="0.3">
      <c r="A79" s="19"/>
      <c r="B79" s="770" t="s">
        <v>691</v>
      </c>
      <c r="C79" s="771"/>
      <c r="D79" s="771"/>
      <c r="E79" s="771"/>
      <c r="F79" s="771"/>
      <c r="G79" s="771"/>
      <c r="H79" s="771"/>
      <c r="I79" s="772"/>
      <c r="J79" s="19"/>
      <c r="K79" s="770" t="s">
        <v>690</v>
      </c>
      <c r="L79" s="771"/>
      <c r="M79" s="771"/>
      <c r="N79" s="771"/>
      <c r="O79" s="771"/>
      <c r="P79" s="771"/>
      <c r="Q79" s="771"/>
      <c r="R79" s="772"/>
      <c r="S79" s="19"/>
      <c r="T79" s="770" t="s">
        <v>690</v>
      </c>
      <c r="U79" s="771"/>
      <c r="V79" s="771"/>
      <c r="W79" s="771"/>
      <c r="X79" s="771"/>
      <c r="Y79" s="771"/>
      <c r="Z79" s="771"/>
      <c r="AA79" s="772"/>
      <c r="AB79" s="19"/>
      <c r="AC79" s="19"/>
      <c r="AD79" s="19"/>
      <c r="AE79" s="496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</row>
    <row r="80" spans="1:47" x14ac:dyDescent="0.25">
      <c r="A80" s="19"/>
      <c r="B80" s="828" t="s">
        <v>465</v>
      </c>
      <c r="C80" s="829"/>
      <c r="D80" s="293">
        <v>0.52</v>
      </c>
      <c r="E80" s="293" t="s">
        <v>60</v>
      </c>
      <c r="F80" s="295"/>
      <c r="G80" s="295"/>
      <c r="H80" s="295"/>
      <c r="I80" s="299"/>
      <c r="J80" s="19"/>
      <c r="K80" s="828" t="s">
        <v>465</v>
      </c>
      <c r="L80" s="829"/>
      <c r="M80" s="293">
        <v>0.34</v>
      </c>
      <c r="N80" s="293" t="s">
        <v>60</v>
      </c>
      <c r="O80" s="295"/>
      <c r="P80" s="295"/>
      <c r="Q80" s="295"/>
      <c r="R80" s="299"/>
      <c r="S80" s="19"/>
      <c r="T80" s="828" t="s">
        <v>465</v>
      </c>
      <c r="U80" s="829"/>
      <c r="V80" s="293">
        <v>0.27</v>
      </c>
      <c r="W80" s="293" t="s">
        <v>60</v>
      </c>
      <c r="X80" s="295"/>
      <c r="Y80" s="295"/>
      <c r="Z80" s="295"/>
      <c r="AA80" s="299"/>
      <c r="AB80" s="19"/>
      <c r="AC80" s="19"/>
      <c r="AD80" s="19"/>
      <c r="AE80" s="496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19"/>
    </row>
    <row r="81" spans="1:47" x14ac:dyDescent="0.25">
      <c r="A81" s="19"/>
      <c r="B81" s="737" t="s">
        <v>464</v>
      </c>
      <c r="C81" s="738"/>
      <c r="D81" s="290">
        <v>1.1000000000000001</v>
      </c>
      <c r="E81" s="290" t="s">
        <v>60</v>
      </c>
      <c r="F81" s="295"/>
      <c r="G81" s="295"/>
      <c r="H81" s="295"/>
      <c r="I81" s="299"/>
      <c r="J81" s="19"/>
      <c r="K81" s="737" t="s">
        <v>464</v>
      </c>
      <c r="L81" s="738"/>
      <c r="M81" s="705">
        <v>0.9</v>
      </c>
      <c r="N81" s="705" t="s">
        <v>60</v>
      </c>
      <c r="O81" s="295"/>
      <c r="P81" s="295"/>
      <c r="Q81" s="295"/>
      <c r="R81" s="299"/>
      <c r="S81" s="19"/>
      <c r="T81" s="737" t="s">
        <v>464</v>
      </c>
      <c r="U81" s="738"/>
      <c r="V81" s="290">
        <v>0.7</v>
      </c>
      <c r="W81" s="290" t="s">
        <v>60</v>
      </c>
      <c r="X81" s="295"/>
      <c r="Y81" s="295"/>
      <c r="Z81" s="295"/>
      <c r="AA81" s="299"/>
      <c r="AB81" s="19"/>
      <c r="AC81" s="19"/>
      <c r="AD81" s="19"/>
      <c r="AE81" s="496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19"/>
    </row>
    <row r="82" spans="1:47" x14ac:dyDescent="0.25">
      <c r="A82" s="19"/>
      <c r="B82" s="741" t="s">
        <v>462</v>
      </c>
      <c r="C82" s="742"/>
      <c r="D82" s="290">
        <f>((D81/2)^2+D80^2)/(2*D80)</f>
        <v>0.5508653846153847</v>
      </c>
      <c r="E82" s="290" t="s">
        <v>60</v>
      </c>
      <c r="F82" s="295"/>
      <c r="G82" s="295"/>
      <c r="H82" s="295"/>
      <c r="I82" s="299"/>
      <c r="J82" s="19"/>
      <c r="K82" s="741" t="s">
        <v>462</v>
      </c>
      <c r="L82" s="742"/>
      <c r="M82" s="705">
        <f>((M81/2)^2+M80^2)/(2*M80)</f>
        <v>0.46779411764705886</v>
      </c>
      <c r="N82" s="705" t="s">
        <v>60</v>
      </c>
      <c r="O82" s="295"/>
      <c r="P82" s="295"/>
      <c r="Q82" s="295"/>
      <c r="R82" s="299"/>
      <c r="S82" s="19"/>
      <c r="T82" s="741" t="s">
        <v>462</v>
      </c>
      <c r="U82" s="742"/>
      <c r="V82" s="290">
        <f>((V81/2)^2+V80^2)/(2*V80)</f>
        <v>0.36185185185185181</v>
      </c>
      <c r="W82" s="290" t="s">
        <v>60</v>
      </c>
      <c r="X82" s="295"/>
      <c r="Y82" s="295"/>
      <c r="Z82" s="295"/>
      <c r="AA82" s="299"/>
      <c r="AB82" s="19"/>
      <c r="AC82" s="19"/>
      <c r="AD82" s="19"/>
      <c r="AE82" s="496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19"/>
    </row>
    <row r="83" spans="1:47" x14ac:dyDescent="0.25">
      <c r="A83" s="19"/>
      <c r="B83" s="769"/>
      <c r="C83" s="758"/>
      <c r="D83" s="287"/>
      <c r="E83" s="287"/>
      <c r="F83" s="295"/>
      <c r="G83" s="290" t="s">
        <v>463</v>
      </c>
      <c r="H83" s="290">
        <f>PI()*(D81/2)^2</f>
        <v>0.9503317777109126</v>
      </c>
      <c r="I83" s="299"/>
      <c r="J83" s="19"/>
      <c r="K83" s="643"/>
      <c r="L83" s="287"/>
      <c r="M83" s="287"/>
      <c r="N83" s="287"/>
      <c r="O83" s="295"/>
      <c r="P83" s="705" t="s">
        <v>463</v>
      </c>
      <c r="Q83" s="705">
        <f>PI()*(M81/2)^2</f>
        <v>0.63617251235193317</v>
      </c>
      <c r="R83" s="299"/>
      <c r="S83" s="19"/>
      <c r="T83" s="643"/>
      <c r="U83" s="287"/>
      <c r="V83" s="287"/>
      <c r="W83" s="287"/>
      <c r="X83" s="295"/>
      <c r="Y83" s="290" t="s">
        <v>463</v>
      </c>
      <c r="Z83" s="290">
        <f>PI()*(V81/2)^2</f>
        <v>0.38484510006474959</v>
      </c>
      <c r="AA83" s="299"/>
      <c r="AB83" s="19"/>
      <c r="AC83" s="19"/>
      <c r="AD83" s="19"/>
      <c r="AE83" s="496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19"/>
    </row>
    <row r="84" spans="1:47" x14ac:dyDescent="0.25">
      <c r="A84" s="19"/>
      <c r="B84" s="741" t="s">
        <v>461</v>
      </c>
      <c r="C84" s="742"/>
      <c r="D84" s="290">
        <v>0.2</v>
      </c>
      <c r="E84" s="290" t="s">
        <v>60</v>
      </c>
      <c r="F84" s="295"/>
      <c r="G84" s="290" t="s">
        <v>460</v>
      </c>
      <c r="H84" s="290">
        <f>D81+2*(D84/TAN(D85))</f>
        <v>1.2616104903340628</v>
      </c>
      <c r="I84" s="299"/>
      <c r="J84" s="19"/>
      <c r="K84" s="741" t="s">
        <v>461</v>
      </c>
      <c r="L84" s="742"/>
      <c r="M84" s="705">
        <v>0.35</v>
      </c>
      <c r="N84" s="705" t="s">
        <v>60</v>
      </c>
      <c r="O84" s="295"/>
      <c r="P84" s="705" t="s">
        <v>460</v>
      </c>
      <c r="Q84" s="705">
        <f>M81+2*(M84/TAN(M85))</f>
        <v>1.1828183580846097</v>
      </c>
      <c r="R84" s="299"/>
      <c r="S84" s="19"/>
      <c r="T84" s="741" t="s">
        <v>461</v>
      </c>
      <c r="U84" s="742"/>
      <c r="V84" s="290">
        <v>0.35</v>
      </c>
      <c r="W84" s="290" t="s">
        <v>60</v>
      </c>
      <c r="X84" s="295"/>
      <c r="Y84" s="290" t="s">
        <v>460</v>
      </c>
      <c r="Z84" s="290">
        <f>V81+2*(V84/TAN(V85))</f>
        <v>0.98281835808460971</v>
      </c>
      <c r="AA84" s="299"/>
      <c r="AB84" s="19"/>
      <c r="AC84" s="19"/>
      <c r="AD84" s="19"/>
      <c r="AE84" s="496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19"/>
    </row>
    <row r="85" spans="1:47" ht="15.75" x14ac:dyDescent="0.25">
      <c r="A85" s="19"/>
      <c r="B85" s="741" t="s">
        <v>453</v>
      </c>
      <c r="C85" s="742"/>
      <c r="D85" s="290">
        <f>68*PI()/180</f>
        <v>1.1868238913561442</v>
      </c>
      <c r="E85" s="290" t="s">
        <v>452</v>
      </c>
      <c r="F85" s="295"/>
      <c r="G85" s="290" t="s">
        <v>459</v>
      </c>
      <c r="H85" s="290">
        <f>H84^2</f>
        <v>1.5916610293209543</v>
      </c>
      <c r="I85" s="299"/>
      <c r="J85" s="19"/>
      <c r="K85" s="741" t="s">
        <v>453</v>
      </c>
      <c r="L85" s="742"/>
      <c r="M85" s="705">
        <f>68*PI()/180</f>
        <v>1.1868238913561442</v>
      </c>
      <c r="N85" s="705" t="s">
        <v>452</v>
      </c>
      <c r="O85" s="295"/>
      <c r="P85" s="705" t="s">
        <v>459</v>
      </c>
      <c r="Q85" s="705">
        <f>Q84^2</f>
        <v>1.3990592682219718</v>
      </c>
      <c r="R85" s="299"/>
      <c r="S85" s="19"/>
      <c r="T85" s="741" t="s">
        <v>453</v>
      </c>
      <c r="U85" s="742"/>
      <c r="V85" s="290">
        <f>68*PI()/180</f>
        <v>1.1868238913561442</v>
      </c>
      <c r="W85" s="290" t="s">
        <v>452</v>
      </c>
      <c r="X85" s="295"/>
      <c r="Y85" s="290" t="s">
        <v>459</v>
      </c>
      <c r="Z85" s="290">
        <f>Z84^2</f>
        <v>0.96593192498812808</v>
      </c>
      <c r="AA85" s="299"/>
      <c r="AB85" s="19"/>
      <c r="AC85" s="19"/>
      <c r="AD85" s="19"/>
      <c r="AE85" s="496"/>
      <c r="AP85" s="19"/>
      <c r="AQ85" s="19"/>
      <c r="AR85" s="19"/>
      <c r="AS85" s="19"/>
      <c r="AT85" s="19"/>
      <c r="AU85" s="19"/>
    </row>
    <row r="86" spans="1:47" x14ac:dyDescent="0.25">
      <c r="A86" s="19"/>
      <c r="B86" s="769"/>
      <c r="C86" s="758"/>
      <c r="D86" s="287"/>
      <c r="E86" s="287"/>
      <c r="F86" s="295"/>
      <c r="G86" s="290" t="s">
        <v>458</v>
      </c>
      <c r="H86" s="290">
        <f>(D84*(H83+H85+SQRT(H83*H85)))/3</f>
        <v>0.25145822077308938</v>
      </c>
      <c r="I86" s="299"/>
      <c r="J86" s="19"/>
      <c r="K86" s="643"/>
      <c r="L86" s="287"/>
      <c r="M86" s="287"/>
      <c r="N86" s="287"/>
      <c r="O86" s="295"/>
      <c r="P86" s="705" t="s">
        <v>458</v>
      </c>
      <c r="Q86" s="705">
        <f>(M84*(Q83+Q85+SQRT(Q83*Q85)))/3</f>
        <v>0.34750948280333455</v>
      </c>
      <c r="R86" s="299"/>
      <c r="S86" s="19"/>
      <c r="T86" s="643"/>
      <c r="U86" s="287"/>
      <c r="V86" s="287"/>
      <c r="W86" s="287"/>
      <c r="X86" s="295"/>
      <c r="Y86" s="290" t="s">
        <v>458</v>
      </c>
      <c r="Z86" s="290">
        <f>(V84*(Z83+Z85+SQRT(Z83*Z85)))/3</f>
        <v>0.22872232708355023</v>
      </c>
      <c r="AA86" s="299"/>
      <c r="AB86" s="19"/>
      <c r="AC86" s="19"/>
      <c r="AD86" s="19"/>
      <c r="AE86" s="496"/>
      <c r="AP86" s="19"/>
      <c r="AQ86" s="19"/>
      <c r="AR86" s="19"/>
      <c r="AS86" s="19"/>
      <c r="AT86" s="19"/>
      <c r="AU86" s="19"/>
    </row>
    <row r="87" spans="1:47" x14ac:dyDescent="0.25">
      <c r="A87" s="19"/>
      <c r="B87" s="743" t="s">
        <v>457</v>
      </c>
      <c r="C87" s="744"/>
      <c r="D87" s="291">
        <f>(PI()*D80^2*(3*D82-D80))/3</f>
        <v>0.32070843884416295</v>
      </c>
      <c r="E87" s="291" t="s">
        <v>449</v>
      </c>
      <c r="F87" s="295"/>
      <c r="G87" s="295"/>
      <c r="H87" s="295"/>
      <c r="I87" s="299"/>
      <c r="J87" s="19"/>
      <c r="K87" s="743" t="s">
        <v>457</v>
      </c>
      <c r="L87" s="744"/>
      <c r="M87" s="706">
        <f>(PI()*M80^2*(3*M82-M80))/3</f>
        <v>0.12872885337594422</v>
      </c>
      <c r="N87" s="706" t="s">
        <v>449</v>
      </c>
      <c r="O87" s="295"/>
      <c r="P87" s="295"/>
      <c r="Q87" s="295"/>
      <c r="R87" s="299"/>
      <c r="S87" s="19"/>
      <c r="T87" s="743" t="s">
        <v>457</v>
      </c>
      <c r="U87" s="744"/>
      <c r="V87" s="291">
        <f>(PI()*V80^2*(3*V82-V80))/3</f>
        <v>6.2260083208842514E-2</v>
      </c>
      <c r="W87" s="291" t="s">
        <v>449</v>
      </c>
      <c r="X87" s="295"/>
      <c r="Y87" s="295"/>
      <c r="Z87" s="295"/>
      <c r="AA87" s="299"/>
      <c r="AB87" s="19"/>
      <c r="AC87" s="19"/>
      <c r="AD87" s="19"/>
      <c r="AE87" s="496"/>
      <c r="AP87" s="19"/>
      <c r="AQ87" s="19"/>
      <c r="AR87" s="19"/>
      <c r="AS87" s="19"/>
      <c r="AT87" s="19"/>
      <c r="AU87" s="19"/>
    </row>
    <row r="88" spans="1:47" x14ac:dyDescent="0.25">
      <c r="A88" s="19"/>
      <c r="B88" s="769"/>
      <c r="C88" s="758"/>
      <c r="D88" s="287"/>
      <c r="E88" s="287"/>
      <c r="F88" s="295"/>
      <c r="G88" s="295"/>
      <c r="H88" s="295"/>
      <c r="I88" s="299"/>
      <c r="J88" s="19"/>
      <c r="K88" s="643"/>
      <c r="L88" s="287"/>
      <c r="M88" s="287"/>
      <c r="N88" s="287"/>
      <c r="O88" s="295"/>
      <c r="P88" s="295"/>
      <c r="Q88" s="295"/>
      <c r="R88" s="299"/>
      <c r="S88" s="19"/>
      <c r="T88" s="643"/>
      <c r="U88" s="287"/>
      <c r="V88" s="287"/>
      <c r="W88" s="287"/>
      <c r="X88" s="295"/>
      <c r="Y88" s="295"/>
      <c r="Z88" s="295"/>
      <c r="AA88" s="299"/>
      <c r="AB88" s="19"/>
      <c r="AC88" s="19"/>
      <c r="AD88" s="19"/>
      <c r="AE88" s="496"/>
      <c r="AP88" s="19"/>
      <c r="AQ88" s="19"/>
      <c r="AR88" s="19"/>
      <c r="AS88" s="19"/>
      <c r="AT88" s="19"/>
      <c r="AU88" s="19"/>
    </row>
    <row r="89" spans="1:47" x14ac:dyDescent="0.25">
      <c r="A89" s="19"/>
      <c r="B89" s="741" t="s">
        <v>456</v>
      </c>
      <c r="C89" s="742"/>
      <c r="D89" s="290">
        <f>H86</f>
        <v>0.25145822077308938</v>
      </c>
      <c r="E89" s="290" t="s">
        <v>449</v>
      </c>
      <c r="F89" s="295"/>
      <c r="G89" s="295"/>
      <c r="H89" s="295"/>
      <c r="I89" s="299"/>
      <c r="J89" s="19"/>
      <c r="K89" s="741" t="s">
        <v>456</v>
      </c>
      <c r="L89" s="742"/>
      <c r="M89" s="705">
        <f>Q86</f>
        <v>0.34750948280333455</v>
      </c>
      <c r="N89" s="705" t="s">
        <v>449</v>
      </c>
      <c r="O89" s="295"/>
      <c r="P89" s="295"/>
      <c r="Q89" s="295"/>
      <c r="R89" s="299"/>
      <c r="S89" s="19"/>
      <c r="T89" s="741" t="s">
        <v>456</v>
      </c>
      <c r="U89" s="742"/>
      <c r="V89" s="290">
        <f>Z86</f>
        <v>0.22872232708355023</v>
      </c>
      <c r="W89" s="290" t="s">
        <v>449</v>
      </c>
      <c r="X89" s="295"/>
      <c r="Y89" s="295"/>
      <c r="Z89" s="295"/>
      <c r="AA89" s="299"/>
      <c r="AB89" s="19"/>
      <c r="AC89" s="19"/>
      <c r="AD89" s="19"/>
      <c r="AE89" s="496"/>
      <c r="AP89" s="19"/>
      <c r="AQ89" s="19"/>
      <c r="AR89" s="19"/>
      <c r="AS89" s="19"/>
      <c r="AT89" s="19"/>
      <c r="AU89" s="19"/>
    </row>
    <row r="90" spans="1:47" x14ac:dyDescent="0.25">
      <c r="A90" s="19"/>
      <c r="B90" s="769"/>
      <c r="C90" s="758"/>
      <c r="D90" s="287"/>
      <c r="E90" s="287"/>
      <c r="F90" s="295"/>
      <c r="G90" s="295"/>
      <c r="H90" s="295"/>
      <c r="I90" s="299"/>
      <c r="J90" s="19"/>
      <c r="K90" s="643"/>
      <c r="L90" s="287"/>
      <c r="M90" s="287"/>
      <c r="N90" s="287"/>
      <c r="O90" s="295"/>
      <c r="P90" s="295"/>
      <c r="Q90" s="295"/>
      <c r="R90" s="299"/>
      <c r="S90" s="19"/>
      <c r="T90" s="643"/>
      <c r="U90" s="287"/>
      <c r="V90" s="287"/>
      <c r="W90" s="287"/>
      <c r="X90" s="295"/>
      <c r="Y90" s="295"/>
      <c r="Z90" s="295"/>
      <c r="AA90" s="299"/>
      <c r="AB90" s="19"/>
      <c r="AC90" s="19"/>
      <c r="AD90" s="19"/>
      <c r="AE90" s="496"/>
      <c r="AP90" s="19"/>
      <c r="AQ90" s="19"/>
      <c r="AR90" s="19"/>
      <c r="AS90" s="19"/>
      <c r="AT90" s="19"/>
      <c r="AU90" s="19"/>
    </row>
    <row r="91" spans="1:47" x14ac:dyDescent="0.25">
      <c r="A91" s="19"/>
      <c r="B91" s="741" t="s">
        <v>455</v>
      </c>
      <c r="C91" s="742"/>
      <c r="D91" s="290">
        <f>D89+D87</f>
        <v>0.57216665961725233</v>
      </c>
      <c r="E91" s="290" t="s">
        <v>449</v>
      </c>
      <c r="F91" s="295"/>
      <c r="G91" s="287"/>
      <c r="H91" s="287"/>
      <c r="I91" s="632"/>
      <c r="J91" s="19"/>
      <c r="K91" s="741" t="s">
        <v>455</v>
      </c>
      <c r="L91" s="742"/>
      <c r="M91" s="705">
        <f>M89+M87</f>
        <v>0.4762383361792788</v>
      </c>
      <c r="N91" s="705" t="s">
        <v>449</v>
      </c>
      <c r="O91" s="295"/>
      <c r="P91" s="287"/>
      <c r="Q91" s="287"/>
      <c r="R91" s="632"/>
      <c r="S91" s="19"/>
      <c r="T91" s="741" t="s">
        <v>455</v>
      </c>
      <c r="U91" s="742"/>
      <c r="V91" s="290">
        <f>V89+V87</f>
        <v>0.29098241029239275</v>
      </c>
      <c r="W91" s="290" t="s">
        <v>449</v>
      </c>
      <c r="X91" s="295"/>
      <c r="Y91" s="287"/>
      <c r="Z91" s="287"/>
      <c r="AA91" s="632"/>
      <c r="AB91" s="19"/>
      <c r="AC91" s="19"/>
      <c r="AD91" s="19"/>
      <c r="AE91" s="496"/>
      <c r="AP91" s="19"/>
      <c r="AQ91" s="19"/>
      <c r="AR91" s="19"/>
      <c r="AS91" s="19"/>
      <c r="AT91" s="19"/>
      <c r="AU91" s="19"/>
    </row>
    <row r="92" spans="1:47" x14ac:dyDescent="0.25">
      <c r="A92" s="19"/>
      <c r="B92" s="769"/>
      <c r="C92" s="758"/>
      <c r="D92" s="287"/>
      <c r="E92" s="287"/>
      <c r="F92" s="295"/>
      <c r="G92" s="287"/>
      <c r="H92" s="287"/>
      <c r="I92" s="632"/>
      <c r="J92" s="19"/>
      <c r="K92" s="643"/>
      <c r="L92" s="287"/>
      <c r="M92" s="287"/>
      <c r="N92" s="287"/>
      <c r="O92" s="295"/>
      <c r="P92" s="287"/>
      <c r="Q92" s="287"/>
      <c r="R92" s="632"/>
      <c r="S92" s="19"/>
      <c r="T92" s="643"/>
      <c r="U92" s="287"/>
      <c r="V92" s="287"/>
      <c r="W92" s="287"/>
      <c r="X92" s="295"/>
      <c r="Y92" s="287"/>
      <c r="Z92" s="287"/>
      <c r="AA92" s="632"/>
      <c r="AB92" s="19"/>
      <c r="AC92" s="19"/>
      <c r="AD92" s="19"/>
      <c r="AE92" s="496"/>
      <c r="AP92" s="19"/>
      <c r="AQ92" s="19"/>
      <c r="AR92" s="19"/>
      <c r="AS92" s="19"/>
      <c r="AT92" s="19"/>
      <c r="AU92" s="19"/>
    </row>
    <row r="93" spans="1:47" ht="15.75" thickBot="1" x14ac:dyDescent="0.3">
      <c r="A93" s="19"/>
      <c r="B93" s="735" t="s">
        <v>454</v>
      </c>
      <c r="C93" s="736"/>
      <c r="D93" s="288">
        <f>2*PI()*D82*D80</f>
        <v>1.7998184312415928</v>
      </c>
      <c r="E93" s="288" t="s">
        <v>448</v>
      </c>
      <c r="F93" s="297"/>
      <c r="G93" s="297"/>
      <c r="H93" s="297"/>
      <c r="I93" s="296"/>
      <c r="J93" s="19"/>
      <c r="K93" s="735" t="s">
        <v>454</v>
      </c>
      <c r="L93" s="736"/>
      <c r="M93" s="704">
        <f>2*PI()*M82*M80</f>
        <v>0.99934062310691341</v>
      </c>
      <c r="N93" s="704" t="s">
        <v>448</v>
      </c>
      <c r="O93" s="297"/>
      <c r="P93" s="297"/>
      <c r="Q93" s="297"/>
      <c r="R93" s="296"/>
      <c r="S93" s="19"/>
      <c r="T93" s="735" t="s">
        <v>454</v>
      </c>
      <c r="U93" s="736"/>
      <c r="V93" s="288">
        <f>2*PI()*V82*V80</f>
        <v>0.61386720451144561</v>
      </c>
      <c r="W93" s="288" t="s">
        <v>448</v>
      </c>
      <c r="X93" s="297"/>
      <c r="Y93" s="297"/>
      <c r="Z93" s="297"/>
      <c r="AA93" s="296"/>
      <c r="AB93" s="19"/>
      <c r="AC93" s="19"/>
      <c r="AD93" s="19"/>
      <c r="AE93" s="496"/>
      <c r="AP93" s="19"/>
      <c r="AQ93" s="19"/>
      <c r="AR93" s="19"/>
      <c r="AS93" s="19"/>
      <c r="AT93" s="19"/>
      <c r="AU93" s="19"/>
    </row>
    <row r="94" spans="1:47" x14ac:dyDescent="0.25">
      <c r="A94" s="19"/>
      <c r="B94" s="19"/>
      <c r="C94" s="19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294"/>
      <c r="V94" s="37"/>
      <c r="W94" s="37"/>
      <c r="X94" s="37"/>
      <c r="Y94" s="37"/>
      <c r="Z94" s="37"/>
      <c r="AA94" s="37"/>
      <c r="AB94" s="37"/>
      <c r="AC94" s="37"/>
      <c r="AD94" s="37"/>
      <c r="AE94" s="496"/>
      <c r="AP94" s="19"/>
      <c r="AQ94" s="19"/>
      <c r="AR94" s="19"/>
      <c r="AS94" s="19"/>
      <c r="AT94" s="19"/>
      <c r="AU94" s="19"/>
    </row>
    <row r="95" spans="1:47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37"/>
      <c r="M95" s="19"/>
      <c r="N95" s="19"/>
      <c r="O95" s="19"/>
      <c r="P95" s="19"/>
      <c r="Q95" s="19"/>
      <c r="R95" s="19"/>
      <c r="S95" s="19"/>
      <c r="T95" s="19"/>
      <c r="U95" s="19"/>
      <c r="V95" s="37"/>
      <c r="W95" s="19"/>
      <c r="X95" s="19"/>
      <c r="Y95" s="19"/>
      <c r="Z95" s="19"/>
      <c r="AA95" s="19"/>
      <c r="AB95" s="19"/>
      <c r="AC95" s="19"/>
      <c r="AD95" s="19"/>
      <c r="AE95" s="496"/>
      <c r="AP95" s="19"/>
      <c r="AQ95" s="19"/>
      <c r="AR95" s="19"/>
      <c r="AS95" s="19"/>
      <c r="AT95" s="19"/>
      <c r="AU95" s="19"/>
    </row>
    <row r="96" spans="1:47" ht="15.75" thickBot="1" x14ac:dyDescent="0.3">
      <c r="A96" s="19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496"/>
    </row>
    <row r="97" spans="1:31" ht="15.75" thickBot="1" x14ac:dyDescent="0.3">
      <c r="A97" s="668"/>
      <c r="B97" s="383"/>
      <c r="C97" s="383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669"/>
    </row>
    <row r="98" spans="1:31" ht="15.75" thickBot="1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</row>
    <row r="99" spans="1:31" ht="15.75" thickBot="1" x14ac:dyDescent="0.3">
      <c r="B99" s="770" t="s">
        <v>736</v>
      </c>
      <c r="C99" s="771"/>
      <c r="D99" s="771"/>
      <c r="E99" s="771"/>
      <c r="F99" s="771"/>
      <c r="G99" s="771"/>
      <c r="H99" s="771"/>
      <c r="I99" s="771"/>
      <c r="J99" s="771"/>
      <c r="K99" s="772"/>
      <c r="L99" s="19"/>
      <c r="M99" s="770" t="s">
        <v>691</v>
      </c>
      <c r="N99" s="771"/>
      <c r="O99" s="771"/>
      <c r="P99" s="771"/>
      <c r="Q99" s="771"/>
      <c r="R99" s="771"/>
      <c r="S99" s="771"/>
      <c r="T99" s="772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</row>
    <row r="100" spans="1:31" x14ac:dyDescent="0.25">
      <c r="B100" s="813" t="s">
        <v>711</v>
      </c>
      <c r="C100" s="814"/>
      <c r="D100" s="624">
        <v>0.4</v>
      </c>
      <c r="E100" s="625" t="s">
        <v>60</v>
      </c>
      <c r="F100" s="630"/>
      <c r="G100" s="630"/>
      <c r="H100" s="630"/>
      <c r="I100" s="630"/>
      <c r="J100" s="630"/>
      <c r="K100" s="631"/>
      <c r="L100" s="19"/>
      <c r="M100" s="302" t="s">
        <v>465</v>
      </c>
      <c r="N100" s="293">
        <v>0.3</v>
      </c>
      <c r="O100" s="293" t="s">
        <v>60</v>
      </c>
      <c r="P100" s="295"/>
      <c r="Q100" s="295"/>
      <c r="R100" s="295"/>
      <c r="S100" s="295"/>
      <c r="T100" s="29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</row>
    <row r="101" spans="1:31" x14ac:dyDescent="0.25">
      <c r="B101" s="767" t="s">
        <v>712</v>
      </c>
      <c r="C101" s="768"/>
      <c r="D101" s="2">
        <v>0.3</v>
      </c>
      <c r="E101" s="3" t="s">
        <v>60</v>
      </c>
      <c r="F101" s="287"/>
      <c r="G101" s="287"/>
      <c r="H101" s="287"/>
      <c r="I101" s="287"/>
      <c r="J101" s="287"/>
      <c r="K101" s="632"/>
      <c r="L101" s="19"/>
      <c r="M101" s="301" t="s">
        <v>464</v>
      </c>
      <c r="N101" s="290">
        <v>0.8</v>
      </c>
      <c r="O101" s="290" t="s">
        <v>60</v>
      </c>
      <c r="P101" s="295"/>
      <c r="Q101" s="295"/>
      <c r="R101" s="295"/>
      <c r="S101" s="295"/>
      <c r="T101" s="29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</row>
    <row r="102" spans="1:31" ht="15.75" x14ac:dyDescent="0.25">
      <c r="B102" s="767" t="s">
        <v>453</v>
      </c>
      <c r="C102" s="768"/>
      <c r="D102" s="2">
        <f>68*PI()/180</f>
        <v>1.1868238913561442</v>
      </c>
      <c r="E102" s="3" t="s">
        <v>452</v>
      </c>
      <c r="F102" s="287"/>
      <c r="G102" s="287"/>
      <c r="H102" s="287"/>
      <c r="I102" s="287"/>
      <c r="J102" s="287"/>
      <c r="K102" s="632"/>
      <c r="L102" s="19"/>
      <c r="M102" s="289" t="s">
        <v>462</v>
      </c>
      <c r="N102" s="290">
        <f>((N101/2)^2+N100^2)/(2*N100)</f>
        <v>0.41666666666666669</v>
      </c>
      <c r="O102" s="290" t="s">
        <v>60</v>
      </c>
      <c r="P102" s="295"/>
      <c r="Q102" s="295"/>
      <c r="R102" s="295"/>
      <c r="S102" s="295"/>
      <c r="T102" s="29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</row>
    <row r="103" spans="1:31" x14ac:dyDescent="0.25">
      <c r="B103" s="767" t="s">
        <v>108</v>
      </c>
      <c r="C103" s="768"/>
      <c r="D103" s="2">
        <v>0.96</v>
      </c>
      <c r="E103" s="3" t="s">
        <v>60</v>
      </c>
      <c r="F103" s="287"/>
      <c r="G103" s="287"/>
      <c r="H103" s="287"/>
      <c r="I103" s="287"/>
      <c r="J103" s="287"/>
      <c r="K103" s="632"/>
      <c r="L103" s="19"/>
      <c r="M103" s="300"/>
      <c r="N103" s="287"/>
      <c r="O103" s="287"/>
      <c r="P103" s="295"/>
      <c r="Q103" s="290" t="s">
        <v>463</v>
      </c>
      <c r="R103" s="290">
        <f>PI()*(N101/2)^2</f>
        <v>0.50265482457436694</v>
      </c>
      <c r="S103" s="295"/>
      <c r="T103" s="29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</row>
    <row r="104" spans="1:31" x14ac:dyDescent="0.25">
      <c r="B104" s="767" t="s">
        <v>451</v>
      </c>
      <c r="C104" s="768"/>
      <c r="D104" s="2">
        <v>0.8</v>
      </c>
      <c r="E104" s="3" t="s">
        <v>60</v>
      </c>
      <c r="F104" s="287"/>
      <c r="G104" s="287"/>
      <c r="H104" s="287"/>
      <c r="I104" s="287"/>
      <c r="J104" s="287"/>
      <c r="K104" s="632"/>
      <c r="L104" s="19"/>
      <c r="M104" s="289" t="s">
        <v>461</v>
      </c>
      <c r="N104" s="290">
        <v>0.2</v>
      </c>
      <c r="O104" s="290" t="s">
        <v>60</v>
      </c>
      <c r="P104" s="295"/>
      <c r="Q104" s="290" t="s">
        <v>460</v>
      </c>
      <c r="R104" s="290">
        <f>N101+2*(N104/TAN(N105))</f>
        <v>0.96161049033406276</v>
      </c>
      <c r="S104" s="295"/>
      <c r="T104" s="29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</row>
    <row r="105" spans="1:31" ht="15.75" x14ac:dyDescent="0.25">
      <c r="B105" s="767" t="s">
        <v>98</v>
      </c>
      <c r="C105" s="768"/>
      <c r="D105" s="2">
        <v>0</v>
      </c>
      <c r="E105" s="3" t="s">
        <v>43</v>
      </c>
      <c r="F105" s="287"/>
      <c r="G105" s="287"/>
      <c r="H105" s="287"/>
      <c r="I105" s="287"/>
      <c r="J105" s="287"/>
      <c r="K105" s="632"/>
      <c r="L105" s="19"/>
      <c r="M105" s="289" t="s">
        <v>453</v>
      </c>
      <c r="N105" s="290">
        <f>68*PI()/180</f>
        <v>1.1868238913561442</v>
      </c>
      <c r="O105" s="290" t="s">
        <v>452</v>
      </c>
      <c r="P105" s="295"/>
      <c r="Q105" s="290" t="s">
        <v>459</v>
      </c>
      <c r="R105" s="290">
        <f>R104^2</f>
        <v>0.92469473512051659</v>
      </c>
      <c r="S105" s="295"/>
      <c r="T105" s="29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</row>
    <row r="106" spans="1:31" x14ac:dyDescent="0.25">
      <c r="B106" s="767" t="s">
        <v>737</v>
      </c>
      <c r="C106" s="768"/>
      <c r="D106" s="2">
        <v>0.1</v>
      </c>
      <c r="E106" s="3" t="s">
        <v>60</v>
      </c>
      <c r="F106" s="287"/>
      <c r="G106" s="287"/>
      <c r="H106" s="287"/>
      <c r="I106" s="287"/>
      <c r="J106" s="287"/>
      <c r="K106" s="632"/>
      <c r="L106" s="19"/>
      <c r="M106" s="300"/>
      <c r="N106" s="287"/>
      <c r="O106" s="287"/>
      <c r="P106" s="295"/>
      <c r="Q106" s="290" t="s">
        <v>458</v>
      </c>
      <c r="R106" s="290">
        <f>(N104*(R103+R105+SQRT(R103*R105)))/3</f>
        <v>0.14060757642402563</v>
      </c>
      <c r="S106" s="295"/>
      <c r="T106" s="29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</row>
    <row r="107" spans="1:31" x14ac:dyDescent="0.25">
      <c r="B107" s="765" t="s">
        <v>738</v>
      </c>
      <c r="C107" s="766"/>
      <c r="D107" s="589">
        <v>0.17</v>
      </c>
      <c r="E107" s="6" t="s">
        <v>60</v>
      </c>
      <c r="F107" s="287"/>
      <c r="G107" s="287"/>
      <c r="H107" s="287"/>
      <c r="I107" s="287"/>
      <c r="J107" s="287"/>
      <c r="K107" s="632"/>
      <c r="L107" s="19"/>
      <c r="M107" s="292" t="s">
        <v>457</v>
      </c>
      <c r="N107" s="291">
        <f>(PI()*N100^2*(3*N102-N100))/3</f>
        <v>8.95353906273091E-2</v>
      </c>
      <c r="O107" s="291" t="s">
        <v>449</v>
      </c>
      <c r="P107" s="295"/>
      <c r="Q107" s="295"/>
      <c r="R107" s="295"/>
      <c r="S107" s="295"/>
      <c r="T107" s="29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</row>
    <row r="108" spans="1:31" x14ac:dyDescent="0.25">
      <c r="B108" s="765" t="s">
        <v>739</v>
      </c>
      <c r="C108" s="766"/>
      <c r="D108" s="589">
        <v>3</v>
      </c>
      <c r="E108" s="6" t="s">
        <v>43</v>
      </c>
      <c r="F108" s="287"/>
      <c r="G108" s="287"/>
      <c r="H108" s="287"/>
      <c r="I108" s="287"/>
      <c r="J108" s="287"/>
      <c r="K108" s="632"/>
      <c r="L108" s="19"/>
      <c r="M108" s="300"/>
      <c r="N108" s="287"/>
      <c r="O108" s="287"/>
      <c r="P108" s="295"/>
      <c r="Q108" s="295"/>
      <c r="R108" s="295"/>
      <c r="S108" s="295"/>
      <c r="T108" s="29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</row>
    <row r="109" spans="1:31" x14ac:dyDescent="0.25">
      <c r="B109" s="767" t="s">
        <v>740</v>
      </c>
      <c r="C109" s="768"/>
      <c r="D109" s="626">
        <f>6.35/1000</f>
        <v>6.3499999999999997E-3</v>
      </c>
      <c r="E109" s="6" t="s">
        <v>60</v>
      </c>
      <c r="F109" s="287"/>
      <c r="G109" s="287"/>
      <c r="H109" s="287"/>
      <c r="I109" s="287"/>
      <c r="J109" s="287"/>
      <c r="K109" s="632"/>
      <c r="L109" s="19"/>
      <c r="M109" s="289" t="s">
        <v>456</v>
      </c>
      <c r="N109" s="290">
        <f>R106</f>
        <v>0.14060757642402563</v>
      </c>
      <c r="O109" s="290" t="s">
        <v>449</v>
      </c>
      <c r="P109" s="295"/>
      <c r="Q109" s="295"/>
      <c r="R109" s="295"/>
      <c r="S109" s="295"/>
      <c r="T109" s="29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</row>
    <row r="110" spans="1:31" x14ac:dyDescent="0.25">
      <c r="B110" s="767" t="s">
        <v>741</v>
      </c>
      <c r="C110" s="768"/>
      <c r="D110" s="626">
        <f>6.35/1000</f>
        <v>6.3499999999999997E-3</v>
      </c>
      <c r="E110" s="6" t="s">
        <v>60</v>
      </c>
      <c r="F110" s="287"/>
      <c r="G110" s="287"/>
      <c r="H110" s="287"/>
      <c r="I110" s="287"/>
      <c r="J110" s="287"/>
      <c r="K110" s="632"/>
      <c r="L110" s="19"/>
      <c r="M110" s="300"/>
      <c r="N110" s="287"/>
      <c r="O110" s="287"/>
      <c r="P110" s="295"/>
      <c r="Q110" s="295"/>
      <c r="R110" s="295"/>
      <c r="S110" s="295"/>
      <c r="T110" s="29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</row>
    <row r="111" spans="1:31" x14ac:dyDescent="0.25">
      <c r="B111" s="765" t="s">
        <v>742</v>
      </c>
      <c r="C111" s="766"/>
      <c r="D111" s="2">
        <v>0.5</v>
      </c>
      <c r="E111" s="6" t="s">
        <v>60</v>
      </c>
      <c r="F111" s="287"/>
      <c r="G111" s="287"/>
      <c r="H111" s="287"/>
      <c r="I111" s="287"/>
      <c r="J111" s="287"/>
      <c r="K111" s="632"/>
      <c r="L111" s="19"/>
      <c r="M111" s="289" t="s">
        <v>455</v>
      </c>
      <c r="N111" s="290">
        <f>N109+N107</f>
        <v>0.23014296705133475</v>
      </c>
      <c r="O111" s="290" t="s">
        <v>449</v>
      </c>
      <c r="P111" s="295"/>
      <c r="Q111" s="287"/>
      <c r="R111" s="287"/>
      <c r="S111" s="287"/>
      <c r="T111" s="29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</row>
    <row r="112" spans="1:31" x14ac:dyDescent="0.25">
      <c r="B112" s="767" t="s">
        <v>743</v>
      </c>
      <c r="C112" s="768"/>
      <c r="D112" s="2">
        <v>0.8</v>
      </c>
      <c r="E112" s="6" t="s">
        <v>60</v>
      </c>
      <c r="F112" s="287"/>
      <c r="G112" s="287"/>
      <c r="H112" s="287"/>
      <c r="I112" s="287"/>
      <c r="J112" s="287"/>
      <c r="K112" s="632"/>
      <c r="L112" s="19"/>
      <c r="M112" s="300"/>
      <c r="N112" s="287"/>
      <c r="O112" s="287"/>
      <c r="P112" s="295"/>
      <c r="Q112" s="287"/>
      <c r="R112" s="287"/>
      <c r="S112" s="287"/>
      <c r="T112" s="29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</row>
    <row r="113" spans="2:31" ht="15.75" thickBot="1" x14ac:dyDescent="0.3">
      <c r="B113" s="759" t="s">
        <v>715</v>
      </c>
      <c r="C113" s="760"/>
      <c r="D113" s="627">
        <f>((D101*D103)-((PI()/4)*D107^2)*D108)*D104</f>
        <v>0.17592478338675296</v>
      </c>
      <c r="E113" s="657" t="s">
        <v>449</v>
      </c>
      <c r="F113" s="287"/>
      <c r="G113" s="287"/>
      <c r="H113" s="287"/>
      <c r="I113" s="287"/>
      <c r="J113" s="287"/>
      <c r="K113" s="632"/>
      <c r="L113" s="19"/>
      <c r="M113" s="298" t="s">
        <v>454</v>
      </c>
      <c r="N113" s="288">
        <f>2*PI()*N102*N100</f>
        <v>0.78539816339744828</v>
      </c>
      <c r="O113" s="288" t="s">
        <v>448</v>
      </c>
      <c r="P113" s="297"/>
      <c r="Q113" s="297"/>
      <c r="R113" s="297"/>
      <c r="S113" s="297"/>
      <c r="T113" s="296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</row>
    <row r="114" spans="2:31" x14ac:dyDescent="0.25">
      <c r="B114" s="759" t="s">
        <v>744</v>
      </c>
      <c r="C114" s="760"/>
      <c r="D114" s="627">
        <f>D113+(D104*D100*(D103+D100/TAN(D102)))</f>
        <v>0.53484014029365312</v>
      </c>
      <c r="E114" s="657" t="s">
        <v>449</v>
      </c>
      <c r="F114" s="287"/>
      <c r="G114" s="287"/>
      <c r="H114" s="287"/>
      <c r="I114" s="287"/>
      <c r="J114" s="287"/>
      <c r="K114" s="632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</row>
    <row r="115" spans="2:31" x14ac:dyDescent="0.25">
      <c r="B115" s="761" t="s">
        <v>718</v>
      </c>
      <c r="C115" s="762"/>
      <c r="D115" s="627">
        <f>((((D101+D109)*(D103+2*D109))-((PI()/4)*D107^2)*D108)*2+2*(D101*D104)+(D103*D104))+(PI()*D107*D104*D108)+(2*(D104*D106)+2*(D110*D106))*D105</f>
        <v>2.9895550511315183</v>
      </c>
      <c r="E115" s="657" t="s">
        <v>448</v>
      </c>
      <c r="F115" s="287"/>
      <c r="G115" s="287"/>
      <c r="H115" s="287"/>
      <c r="I115" s="287"/>
      <c r="J115" s="287"/>
      <c r="K115" s="632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</row>
    <row r="116" spans="2:31" x14ac:dyDescent="0.25">
      <c r="B116" s="759" t="s">
        <v>745</v>
      </c>
      <c r="C116" s="760"/>
      <c r="D116" s="628">
        <f>2*D112+2*D111+2*(D101+D109)+2*(D106*D105)</f>
        <v>3.2126999999999999</v>
      </c>
      <c r="E116" s="18" t="s">
        <v>60</v>
      </c>
      <c r="F116" s="287"/>
      <c r="G116" s="287"/>
      <c r="H116" s="287"/>
      <c r="I116" s="287"/>
      <c r="J116" s="287"/>
      <c r="K116" s="632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2:31" x14ac:dyDescent="0.25">
      <c r="B117" s="763" t="s">
        <v>746</v>
      </c>
      <c r="C117" s="764"/>
      <c r="D117" s="628">
        <f>(D111*D112)-(((D101+D109)*(D103+2*D109))-((PI()/4)*D107^2)*D108+(D110*D106*D105))</f>
        <v>0.17010737576655882</v>
      </c>
      <c r="E117" s="18" t="s">
        <v>448</v>
      </c>
      <c r="F117" s="287"/>
      <c r="G117" s="287"/>
      <c r="H117" s="287"/>
      <c r="I117" s="287"/>
      <c r="J117" s="287"/>
      <c r="K117" s="632"/>
      <c r="L117" s="19"/>
    </row>
    <row r="118" spans="2:31" ht="15.75" thickBot="1" x14ac:dyDescent="0.3">
      <c r="B118" s="755" t="s">
        <v>111</v>
      </c>
      <c r="C118" s="756"/>
      <c r="D118" s="629">
        <f>4*D117/D116</f>
        <v>0.21179366360576315</v>
      </c>
      <c r="E118" s="658" t="s">
        <v>60</v>
      </c>
      <c r="F118" s="633"/>
      <c r="G118" s="633"/>
      <c r="H118" s="633"/>
      <c r="I118" s="633"/>
      <c r="J118" s="633"/>
      <c r="K118" s="634"/>
      <c r="L118" s="19"/>
    </row>
    <row r="129" spans="12:21" x14ac:dyDescent="0.25">
      <c r="M129" s="587"/>
    </row>
    <row r="130" spans="12:21" x14ac:dyDescent="0.25">
      <c r="L130" s="536"/>
      <c r="M130" s="536"/>
      <c r="N130" s="536"/>
      <c r="O130" s="536"/>
      <c r="P130" s="536"/>
      <c r="Q130" s="536"/>
      <c r="R130" s="536"/>
      <c r="S130" s="536"/>
      <c r="T130" s="536"/>
      <c r="U130" s="536"/>
    </row>
  </sheetData>
  <mergeCells count="225">
    <mergeCell ref="K10:M10"/>
    <mergeCell ref="R2:V2"/>
    <mergeCell ref="R3:V3"/>
    <mergeCell ref="R4:S4"/>
    <mergeCell ref="Y12:Z12"/>
    <mergeCell ref="Y13:Z13"/>
    <mergeCell ref="Y14:Z14"/>
    <mergeCell ref="Y8:Z8"/>
    <mergeCell ref="Y9:Z9"/>
    <mergeCell ref="Y2:AB2"/>
    <mergeCell ref="Y10:AB10"/>
    <mergeCell ref="Y11:Z11"/>
    <mergeCell ref="Y3:AB3"/>
    <mergeCell ref="Y4:Z4"/>
    <mergeCell ref="Y5:Z5"/>
    <mergeCell ref="Y6:Z6"/>
    <mergeCell ref="Y7:Z7"/>
    <mergeCell ref="K27:L27"/>
    <mergeCell ref="R20:S20"/>
    <mergeCell ref="K25:L25"/>
    <mergeCell ref="K12:M12"/>
    <mergeCell ref="K11:M11"/>
    <mergeCell ref="K17:O17"/>
    <mergeCell ref="K20:L20"/>
    <mergeCell ref="K21:L21"/>
    <mergeCell ref="K37:L37"/>
    <mergeCell ref="R22:S22"/>
    <mergeCell ref="K33:L33"/>
    <mergeCell ref="K34:L34"/>
    <mergeCell ref="K35:L35"/>
    <mergeCell ref="K32:O32"/>
    <mergeCell ref="K26:L26"/>
    <mergeCell ref="K28:L28"/>
    <mergeCell ref="K23:L23"/>
    <mergeCell ref="K24:L24"/>
    <mergeCell ref="K36:L36"/>
    <mergeCell ref="K30:L30"/>
    <mergeCell ref="K29:L29"/>
    <mergeCell ref="K22:L22"/>
    <mergeCell ref="K18:L18"/>
    <mergeCell ref="K19:L19"/>
    <mergeCell ref="K2:M2"/>
    <mergeCell ref="K3:M3"/>
    <mergeCell ref="K4:M4"/>
    <mergeCell ref="R18:S18"/>
    <mergeCell ref="R15:V15"/>
    <mergeCell ref="R16:S16"/>
    <mergeCell ref="R17:S17"/>
    <mergeCell ref="R11:V11"/>
    <mergeCell ref="K15:M15"/>
    <mergeCell ref="R5:S5"/>
    <mergeCell ref="R6:S6"/>
    <mergeCell ref="R7:V7"/>
    <mergeCell ref="R12:S12"/>
    <mergeCell ref="R13:S13"/>
    <mergeCell ref="R8:S8"/>
    <mergeCell ref="R9:S9"/>
    <mergeCell ref="K13:M13"/>
    <mergeCell ref="K5:M5"/>
    <mergeCell ref="K6:M6"/>
    <mergeCell ref="K8:M8"/>
    <mergeCell ref="K14:M14"/>
    <mergeCell ref="K9:M9"/>
    <mergeCell ref="R10:S10"/>
    <mergeCell ref="R14:S14"/>
    <mergeCell ref="AH5:AM5"/>
    <mergeCell ref="R24:W24"/>
    <mergeCell ref="N2:O2"/>
    <mergeCell ref="Y32:Z32"/>
    <mergeCell ref="Y33:Z33"/>
    <mergeCell ref="N3:O3"/>
    <mergeCell ref="N4:O4"/>
    <mergeCell ref="N5:O5"/>
    <mergeCell ref="N6:O6"/>
    <mergeCell ref="Y18:Z18"/>
    <mergeCell ref="Y20:Z20"/>
    <mergeCell ref="Y15:Z15"/>
    <mergeCell ref="Y16:Z16"/>
    <mergeCell ref="Y17:Z17"/>
    <mergeCell ref="Y21:Z21"/>
    <mergeCell ref="Y19:Z19"/>
    <mergeCell ref="Y28:Z28"/>
    <mergeCell ref="Y27:Z27"/>
    <mergeCell ref="Y22:Z22"/>
    <mergeCell ref="Y23:Z23"/>
    <mergeCell ref="Y24:Z24"/>
    <mergeCell ref="Y26:Z26"/>
    <mergeCell ref="Y25:Z25"/>
    <mergeCell ref="R21:S21"/>
    <mergeCell ref="B99:K99"/>
    <mergeCell ref="B100:C100"/>
    <mergeCell ref="B101:C101"/>
    <mergeCell ref="B102:C102"/>
    <mergeCell ref="B76:C76"/>
    <mergeCell ref="B77:C77"/>
    <mergeCell ref="B79:I79"/>
    <mergeCell ref="B80:C80"/>
    <mergeCell ref="B72:C72"/>
    <mergeCell ref="B73:C73"/>
    <mergeCell ref="B74:C74"/>
    <mergeCell ref="B75:C75"/>
    <mergeCell ref="B91:C91"/>
    <mergeCell ref="K79:R79"/>
    <mergeCell ref="K80:L80"/>
    <mergeCell ref="K81:L81"/>
    <mergeCell ref="M99:T99"/>
    <mergeCell ref="T93:U93"/>
    <mergeCell ref="B82:C82"/>
    <mergeCell ref="T79:AA79"/>
    <mergeCell ref="T80:U80"/>
    <mergeCell ref="T81:U81"/>
    <mergeCell ref="T82:U82"/>
    <mergeCell ref="T84:U84"/>
    <mergeCell ref="B15:E15"/>
    <mergeCell ref="B16:E16"/>
    <mergeCell ref="B19:E19"/>
    <mergeCell ref="B20:E20"/>
    <mergeCell ref="B21:E21"/>
    <mergeCell ref="B11:E11"/>
    <mergeCell ref="B2:H6"/>
    <mergeCell ref="B12:E12"/>
    <mergeCell ref="B13:E13"/>
    <mergeCell ref="B14:E14"/>
    <mergeCell ref="B8:E8"/>
    <mergeCell ref="B9:E9"/>
    <mergeCell ref="B10:E10"/>
    <mergeCell ref="B31:E31"/>
    <mergeCell ref="B32:E32"/>
    <mergeCell ref="B33:E33"/>
    <mergeCell ref="B34:E34"/>
    <mergeCell ref="B35:E35"/>
    <mergeCell ref="B27:E27"/>
    <mergeCell ref="B18:H18"/>
    <mergeCell ref="B28:E28"/>
    <mergeCell ref="B29:E29"/>
    <mergeCell ref="B30:E30"/>
    <mergeCell ref="B22:E22"/>
    <mergeCell ref="B23:E23"/>
    <mergeCell ref="B24:E24"/>
    <mergeCell ref="B25:E25"/>
    <mergeCell ref="B26:E26"/>
    <mergeCell ref="B36:E36"/>
    <mergeCell ref="B37:E37"/>
    <mergeCell ref="B64:C64"/>
    <mergeCell ref="B65:C65"/>
    <mergeCell ref="B66:C66"/>
    <mergeCell ref="B43:E43"/>
    <mergeCell ref="B44:E44"/>
    <mergeCell ref="B45:E45"/>
    <mergeCell ref="B46:E46"/>
    <mergeCell ref="B47:E47"/>
    <mergeCell ref="B48:E48"/>
    <mergeCell ref="B49:E49"/>
    <mergeCell ref="B50:E50"/>
    <mergeCell ref="B51:E51"/>
    <mergeCell ref="B52:E52"/>
    <mergeCell ref="B53:E53"/>
    <mergeCell ref="B63:I63"/>
    <mergeCell ref="A60:AE60"/>
    <mergeCell ref="A39:AE39"/>
    <mergeCell ref="B54:E54"/>
    <mergeCell ref="B55:E55"/>
    <mergeCell ref="B56:E56"/>
    <mergeCell ref="B57:E57"/>
    <mergeCell ref="B58:E58"/>
    <mergeCell ref="K63:R63"/>
    <mergeCell ref="K64:L64"/>
    <mergeCell ref="T63:AA63"/>
    <mergeCell ref="B41:N41"/>
    <mergeCell ref="T87:U87"/>
    <mergeCell ref="T89:U89"/>
    <mergeCell ref="T91:U91"/>
    <mergeCell ref="B86:C86"/>
    <mergeCell ref="B87:C87"/>
    <mergeCell ref="B88:C88"/>
    <mergeCell ref="B89:C89"/>
    <mergeCell ref="B90:C90"/>
    <mergeCell ref="K91:L91"/>
    <mergeCell ref="T85:U85"/>
    <mergeCell ref="B118:C118"/>
    <mergeCell ref="S61:S63"/>
    <mergeCell ref="B113:C113"/>
    <mergeCell ref="B114:C114"/>
    <mergeCell ref="B115:C115"/>
    <mergeCell ref="B116:C116"/>
    <mergeCell ref="B117:C117"/>
    <mergeCell ref="B108:C108"/>
    <mergeCell ref="B109:C109"/>
    <mergeCell ref="B110:C110"/>
    <mergeCell ref="B111:C111"/>
    <mergeCell ref="B112:C112"/>
    <mergeCell ref="B103:C103"/>
    <mergeCell ref="B104:C104"/>
    <mergeCell ref="B105:C105"/>
    <mergeCell ref="B106:C106"/>
    <mergeCell ref="B107:C107"/>
    <mergeCell ref="B92:C92"/>
    <mergeCell ref="B83:C83"/>
    <mergeCell ref="B84:C84"/>
    <mergeCell ref="B85:C85"/>
    <mergeCell ref="B71:C71"/>
    <mergeCell ref="K65:L65"/>
    <mergeCell ref="K66:L66"/>
    <mergeCell ref="B93:C93"/>
    <mergeCell ref="B81:C81"/>
    <mergeCell ref="B67:C67"/>
    <mergeCell ref="B68:C68"/>
    <mergeCell ref="B69:C69"/>
    <mergeCell ref="B70:C70"/>
    <mergeCell ref="K93:L93"/>
    <mergeCell ref="K82:L82"/>
    <mergeCell ref="K84:L84"/>
    <mergeCell ref="K85:L85"/>
    <mergeCell ref="K87:L87"/>
    <mergeCell ref="K89:L89"/>
    <mergeCell ref="K67:L67"/>
    <mergeCell ref="K68:L68"/>
    <mergeCell ref="K69:L69"/>
    <mergeCell ref="K70:L70"/>
    <mergeCell ref="K71:L71"/>
    <mergeCell ref="K72:L72"/>
    <mergeCell ref="K73:L73"/>
    <mergeCell ref="K74:L74"/>
    <mergeCell ref="K75:L75"/>
    <mergeCell ref="K77:L77"/>
  </mergeCells>
  <conditionalFormatting sqref="R26:W26">
    <cfRule type="expression" priority="1">
      <formula>IF($S$26&gt;$N$15,"si","no")</formula>
    </cfRule>
    <cfRule type="cellIs" dxfId="0" priority="3" stopIfTrue="1" operator="greaterThan">
      <formula>$S$26&gt;$N$15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CCEA-65E4-40F5-B818-0B670FC74DFC}">
  <sheetPr codeName="Hoja2">
    <tabColor theme="4" tint="0.59999389629810485"/>
  </sheetPr>
  <dimension ref="A1:EI295"/>
  <sheetViews>
    <sheetView tabSelected="1" zoomScale="90" zoomScaleNormal="90" workbookViewId="0">
      <selection activeCell="E157" sqref="E157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33" customWidth="1"/>
    <col min="5" max="5" width="10" customWidth="1"/>
    <col min="6" max="6" width="10" style="126" customWidth="1"/>
    <col min="7" max="7" width="13.28515625" bestFit="1" customWidth="1"/>
    <col min="8" max="8" width="13.85546875" bestFit="1" customWidth="1"/>
    <col min="9" max="9" width="11.42578125" customWidth="1"/>
    <col min="10" max="10" width="11.42578125" style="126" customWidth="1"/>
    <col min="11" max="11" width="14.85546875" bestFit="1" customWidth="1"/>
    <col min="12" max="12" width="11.42578125" customWidth="1"/>
    <col min="13" max="16" width="10" customWidth="1"/>
    <col min="17" max="17" width="10" style="353" customWidth="1"/>
    <col min="18" max="21" width="10" customWidth="1"/>
    <col min="22" max="22" width="9.140625" style="466" bestFit="1" customWidth="1"/>
    <col min="24" max="24" width="23" bestFit="1" customWidth="1"/>
    <col min="32" max="32" width="16.140625" bestFit="1" customWidth="1"/>
  </cols>
  <sheetData>
    <row r="1" spans="1:139" ht="15.75" thickBot="1" x14ac:dyDescent="0.3">
      <c r="A1" s="19"/>
      <c r="B1" s="19"/>
      <c r="C1" s="19"/>
      <c r="D1" s="31"/>
      <c r="E1" s="19"/>
      <c r="F1" s="38"/>
      <c r="G1" s="19"/>
      <c r="H1" s="19"/>
      <c r="I1" s="19"/>
      <c r="J1" s="38"/>
      <c r="K1" s="19"/>
      <c r="L1" s="19"/>
      <c r="M1" s="19"/>
      <c r="N1" s="19"/>
      <c r="O1" s="19"/>
      <c r="P1" s="19"/>
      <c r="R1" s="19"/>
      <c r="S1" s="19"/>
      <c r="T1" s="19"/>
      <c r="U1" s="19"/>
      <c r="V1" s="465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</row>
    <row r="2" spans="1:139" ht="15.75" thickBot="1" x14ac:dyDescent="0.3">
      <c r="A2" s="19"/>
      <c r="B2" s="334" t="s">
        <v>0</v>
      </c>
      <c r="C2" s="335"/>
      <c r="D2" s="335"/>
      <c r="E2" s="336"/>
      <c r="F2" s="20"/>
      <c r="G2" s="19"/>
      <c r="H2" s="858" t="s">
        <v>1</v>
      </c>
      <c r="I2" s="859"/>
      <c r="J2" s="859"/>
      <c r="K2" s="859"/>
      <c r="L2" s="860"/>
      <c r="M2" s="19"/>
      <c r="N2" s="898" t="s">
        <v>422</v>
      </c>
      <c r="O2" s="899"/>
      <c r="P2" s="899"/>
      <c r="Q2" s="899"/>
      <c r="R2" s="900"/>
      <c r="S2" s="19"/>
      <c r="T2" s="19"/>
      <c r="U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</row>
    <row r="3" spans="1:139" ht="15.75" thickBot="1" x14ac:dyDescent="0.3">
      <c r="A3" s="19"/>
      <c r="B3" s="1" t="s">
        <v>2</v>
      </c>
      <c r="C3" s="2" t="s">
        <v>3</v>
      </c>
      <c r="D3" s="2">
        <f>+D_Inicial!G19</f>
        <v>102.63272727272727</v>
      </c>
      <c r="E3" s="3" t="s">
        <v>4</v>
      </c>
      <c r="F3" s="20" t="s">
        <v>436</v>
      </c>
      <c r="G3" s="19"/>
      <c r="H3" s="886" t="s">
        <v>397</v>
      </c>
      <c r="I3" s="887"/>
      <c r="J3" s="331" t="s">
        <v>429</v>
      </c>
      <c r="K3" s="262">
        <f>K4/D16</f>
        <v>998.93048128342275</v>
      </c>
      <c r="L3" s="250" t="s">
        <v>4</v>
      </c>
      <c r="M3" s="19"/>
      <c r="N3" s="876" t="s">
        <v>198</v>
      </c>
      <c r="O3" s="877"/>
      <c r="P3" s="877"/>
      <c r="Q3" s="877"/>
      <c r="R3" s="901"/>
      <c r="S3" s="19"/>
      <c r="T3" s="19"/>
      <c r="U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</row>
    <row r="4" spans="1:139" ht="15.75" thickBot="1" x14ac:dyDescent="0.3">
      <c r="A4" s="19"/>
      <c r="B4" s="4" t="s">
        <v>74</v>
      </c>
      <c r="C4" s="349" t="s">
        <v>75</v>
      </c>
      <c r="D4" s="242">
        <v>3.3180065844254458</v>
      </c>
      <c r="E4" s="6" t="s">
        <v>76</v>
      </c>
      <c r="F4" s="244">
        <f>K15/D3</f>
        <v>2.5611851883610601</v>
      </c>
      <c r="G4" s="19"/>
      <c r="H4" s="874" t="s">
        <v>396</v>
      </c>
      <c r="I4" s="875"/>
      <c r="J4" s="327" t="s">
        <v>430</v>
      </c>
      <c r="K4" s="263">
        <f>+K6/(1-D7)</f>
        <v>599.3582887700536</v>
      </c>
      <c r="L4" s="248" t="s">
        <v>4</v>
      </c>
      <c r="M4" s="19"/>
      <c r="N4" s="868" t="s">
        <v>415</v>
      </c>
      <c r="O4" s="869"/>
      <c r="P4" s="249" t="s">
        <v>50</v>
      </c>
      <c r="Q4" s="331">
        <f>997.39+4.46*D9</f>
        <v>1073.21</v>
      </c>
      <c r="R4" s="250" t="s">
        <v>51</v>
      </c>
      <c r="S4" s="19"/>
      <c r="T4" s="19"/>
      <c r="U4" s="19"/>
      <c r="W4" s="19"/>
      <c r="X4" s="19"/>
      <c r="Y4" s="19"/>
      <c r="Z4" s="294"/>
      <c r="AA4" s="294"/>
      <c r="AB4" s="294"/>
      <c r="AC4" s="294"/>
      <c r="AD4" s="294"/>
      <c r="AE4" s="21"/>
      <c r="AF4" s="395" t="s">
        <v>363</v>
      </c>
      <c r="AG4" s="422">
        <v>0.155</v>
      </c>
      <c r="AH4" s="422" t="s">
        <v>364</v>
      </c>
      <c r="AI4" s="422">
        <f>+Q22</f>
        <v>1.1109989116333183</v>
      </c>
      <c r="AJ4" s="423"/>
      <c r="AK4" s="771" t="s">
        <v>365</v>
      </c>
      <c r="AL4" s="772"/>
      <c r="AM4" s="396"/>
      <c r="AN4" s="396"/>
      <c r="AO4" s="396"/>
      <c r="AP4" s="396"/>
      <c r="AQ4" s="396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</row>
    <row r="5" spans="1:139" x14ac:dyDescent="0.25">
      <c r="A5" s="19"/>
      <c r="B5" s="7" t="s">
        <v>77</v>
      </c>
      <c r="C5" s="8" t="s">
        <v>42</v>
      </c>
      <c r="D5" s="479">
        <v>7</v>
      </c>
      <c r="E5" s="9" t="s">
        <v>43</v>
      </c>
      <c r="F5" s="20"/>
      <c r="G5" s="19"/>
      <c r="H5" s="878" t="s">
        <v>413</v>
      </c>
      <c r="I5" s="879"/>
      <c r="J5" s="339" t="s">
        <v>431</v>
      </c>
      <c r="K5" s="265">
        <f>+K4*D7</f>
        <v>11.987165775401072</v>
      </c>
      <c r="L5" s="248" t="s">
        <v>4</v>
      </c>
      <c r="M5" s="19"/>
      <c r="N5" s="861" t="s">
        <v>416</v>
      </c>
      <c r="O5" s="862"/>
      <c r="P5" s="251" t="s">
        <v>54</v>
      </c>
      <c r="Q5" s="327">
        <f>997.39+4.46*D10</f>
        <v>1077.67</v>
      </c>
      <c r="R5" s="248" t="s">
        <v>51</v>
      </c>
      <c r="S5" s="19"/>
      <c r="T5" s="19"/>
      <c r="U5" s="19"/>
      <c r="W5" s="19"/>
      <c r="X5" s="19"/>
      <c r="Y5" s="19"/>
      <c r="Z5" s="294"/>
      <c r="AA5" s="294"/>
      <c r="AB5" s="294"/>
      <c r="AC5" s="294"/>
      <c r="AD5" s="294"/>
      <c r="AE5" s="21"/>
      <c r="AF5" s="397" t="s">
        <v>367</v>
      </c>
      <c r="AG5" s="421">
        <v>0.75</v>
      </c>
      <c r="AH5" s="421">
        <v>1</v>
      </c>
      <c r="AI5" s="421">
        <v>1.25</v>
      </c>
      <c r="AJ5" s="424">
        <v>1.5</v>
      </c>
      <c r="AK5" s="32">
        <f>IF($D$3&lt;40,AL5,IF($AK$11=$AG$11,AG5,IF($AK$11=$AH$11,AH5,IF($AK$11=$AI$11,AI5,AJ5))))</f>
        <v>0.75</v>
      </c>
      <c r="AL5" s="419">
        <v>0.5</v>
      </c>
      <c r="AM5" s="396"/>
      <c r="AN5" s="396"/>
      <c r="AO5" s="396"/>
      <c r="AP5" s="396"/>
      <c r="AQ5" s="396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</row>
    <row r="6" spans="1:139" ht="15.75" thickBot="1" x14ac:dyDescent="0.3">
      <c r="A6" s="19"/>
      <c r="B6" s="16" t="s">
        <v>326</v>
      </c>
      <c r="C6" s="17" t="s">
        <v>5</v>
      </c>
      <c r="D6" s="40">
        <f>+K21/Q21</f>
        <v>0.31870884535146737</v>
      </c>
      <c r="E6" s="18" t="s">
        <v>6</v>
      </c>
      <c r="F6" s="20">
        <f>+F4*D3</f>
        <v>262.86142093200931</v>
      </c>
      <c r="G6" s="19"/>
      <c r="H6" s="878" t="s">
        <v>412</v>
      </c>
      <c r="I6" s="879"/>
      <c r="J6" s="327" t="s">
        <v>432</v>
      </c>
      <c r="K6" s="265">
        <f>+K8/(1-D8)</f>
        <v>587.37112299465252</v>
      </c>
      <c r="L6" s="248" t="s">
        <v>4</v>
      </c>
      <c r="M6" s="19"/>
      <c r="N6" s="856" t="s">
        <v>417</v>
      </c>
      <c r="O6" s="857"/>
      <c r="P6" s="252" t="s">
        <v>57</v>
      </c>
      <c r="Q6" s="329">
        <f>997.39+4.46*D11</f>
        <v>1331.8899999999999</v>
      </c>
      <c r="R6" s="253" t="s">
        <v>51</v>
      </c>
      <c r="S6" s="19"/>
      <c r="T6" s="19"/>
      <c r="U6" s="19"/>
      <c r="W6" s="19"/>
      <c r="X6" s="19" t="s">
        <v>2</v>
      </c>
      <c r="Y6" s="19" t="s">
        <v>610</v>
      </c>
      <c r="Z6" s="531">
        <f>+D3</f>
        <v>102.63272727272727</v>
      </c>
      <c r="AA6" s="294" t="s">
        <v>4</v>
      </c>
      <c r="AB6" s="294"/>
      <c r="AC6" s="294"/>
      <c r="AD6" s="294"/>
      <c r="AE6" s="21"/>
      <c r="AF6" s="397" t="s">
        <v>370</v>
      </c>
      <c r="AG6" s="421">
        <f>ROUNDUP(($AI$4/($AG$4*AG5)),0.001)</f>
        <v>10</v>
      </c>
      <c r="AH6" s="421">
        <f t="shared" ref="AH6:AJ6" si="0">ROUNDUP(($AI$4/($AG$4*AH5)),0.001)</f>
        <v>8</v>
      </c>
      <c r="AI6" s="421">
        <f t="shared" si="0"/>
        <v>6</v>
      </c>
      <c r="AJ6" s="424">
        <f t="shared" si="0"/>
        <v>5</v>
      </c>
      <c r="AK6" s="32">
        <f>IF($D$3&lt;40,AL6,IF($AK$11=$AG$11,AG6,IF($AK$11=$AH$11,AH6,IF($AK$11=$AI$11,AI6,AJ6))))</f>
        <v>10</v>
      </c>
      <c r="AL6" s="399">
        <f>ROUNDUP(($AI$4/($AG$4*AL5)),0.001)</f>
        <v>15</v>
      </c>
      <c r="AM6" s="396"/>
      <c r="AN6" s="396"/>
      <c r="AO6" s="396"/>
      <c r="AP6" s="396"/>
      <c r="AQ6" s="396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</row>
    <row r="7" spans="1:139" ht="15.75" thickBot="1" x14ac:dyDescent="0.3">
      <c r="A7" s="19"/>
      <c r="B7" s="4" t="s">
        <v>10</v>
      </c>
      <c r="C7" s="349" t="s">
        <v>11</v>
      </c>
      <c r="D7" s="5">
        <v>0.02</v>
      </c>
      <c r="E7" s="6" t="s">
        <v>6</v>
      </c>
      <c r="F7" s="20">
        <f>+D4*D3</f>
        <v>340.53606486845007</v>
      </c>
      <c r="G7" s="19"/>
      <c r="H7" s="878" t="s">
        <v>14</v>
      </c>
      <c r="I7" s="879"/>
      <c r="J7" s="339" t="s">
        <v>433</v>
      </c>
      <c r="K7" s="265">
        <f>+K6*D8</f>
        <v>23.4948449197861</v>
      </c>
      <c r="L7" s="248" t="s">
        <v>4</v>
      </c>
      <c r="M7" s="19"/>
      <c r="N7" s="865" t="s">
        <v>402</v>
      </c>
      <c r="O7" s="866"/>
      <c r="P7" s="866"/>
      <c r="Q7" s="866"/>
      <c r="R7" s="867"/>
      <c r="S7" s="19"/>
      <c r="T7" s="19"/>
      <c r="U7" s="19"/>
      <c r="W7" s="19"/>
      <c r="X7" s="19" t="s">
        <v>74</v>
      </c>
      <c r="Y7" s="19" t="s">
        <v>75</v>
      </c>
      <c r="Z7" s="294">
        <v>74.775399466652942</v>
      </c>
      <c r="AA7" s="294" t="s">
        <v>4</v>
      </c>
      <c r="AB7" s="294"/>
      <c r="AC7" s="294"/>
      <c r="AD7" s="294"/>
      <c r="AE7" s="21"/>
      <c r="AF7" s="397" t="s">
        <v>372</v>
      </c>
      <c r="AG7" s="421">
        <f>IF(AG6&gt;7,ROUNDUP(AG6/2,0.1),AG6)</f>
        <v>5</v>
      </c>
      <c r="AH7" s="421">
        <f>IF(AH6&gt;7,ROUNDUP(AH6/2,0.1),AH6)</f>
        <v>4</v>
      </c>
      <c r="AI7" s="421">
        <f>IF(AI6&gt;7,ROUNDUP(AI6/2,0.1),AI6)</f>
        <v>6</v>
      </c>
      <c r="AJ7" s="424">
        <f>IF(AJ6&gt;7,ROUNDUP(AJ6/2,0.1),AJ6)</f>
        <v>5</v>
      </c>
      <c r="AK7" s="32">
        <f>IF($D$3&lt;40,AL7,IF($AK$11=$AG$11,AG7,IF($AK$11=$AH$11,AH7,IF($AK$11=$AI$11,AI7,AJ7))))</f>
        <v>5</v>
      </c>
      <c r="AL7" s="399">
        <f>IF(AL6&gt;7,ROUNDUP(AL6/2,0.1),AL6)</f>
        <v>8</v>
      </c>
      <c r="AM7" s="396"/>
      <c r="AN7" s="396"/>
      <c r="AO7" s="396"/>
      <c r="AP7" s="396"/>
      <c r="AQ7" s="396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</row>
    <row r="8" spans="1:139" x14ac:dyDescent="0.25">
      <c r="A8" s="19"/>
      <c r="B8" s="4" t="s">
        <v>14</v>
      </c>
      <c r="C8" s="349" t="s">
        <v>15</v>
      </c>
      <c r="D8" s="5">
        <v>0.04</v>
      </c>
      <c r="E8" s="6" t="s">
        <v>6</v>
      </c>
      <c r="F8" s="20">
        <f>+F7-F6</f>
        <v>77.674643936440759</v>
      </c>
      <c r="G8" s="19"/>
      <c r="H8" s="878" t="s">
        <v>411</v>
      </c>
      <c r="I8" s="879"/>
      <c r="J8" s="327" t="s">
        <v>434</v>
      </c>
      <c r="K8" s="265">
        <f>+D3*D13/D9</f>
        <v>563.87627807486638</v>
      </c>
      <c r="L8" s="248" t="s">
        <v>4</v>
      </c>
      <c r="M8" s="19"/>
      <c r="N8" s="868" t="s">
        <v>418</v>
      </c>
      <c r="O8" s="869"/>
      <c r="P8" s="331" t="s">
        <v>12</v>
      </c>
      <c r="Q8" s="331">
        <f>D22+0.2209*EXP(0.0557*D10)</f>
        <v>99.621261184486215</v>
      </c>
      <c r="R8" s="250" t="s">
        <v>13</v>
      </c>
      <c r="S8" s="19"/>
      <c r="T8" s="19"/>
      <c r="U8" s="19"/>
      <c r="W8" s="19"/>
      <c r="X8" s="19" t="s">
        <v>144</v>
      </c>
      <c r="Y8" s="19"/>
      <c r="Z8" s="294">
        <v>30</v>
      </c>
      <c r="AA8" s="294" t="s">
        <v>6</v>
      </c>
      <c r="AB8" s="294"/>
      <c r="AC8" s="294"/>
      <c r="AD8" s="294"/>
      <c r="AE8" s="21"/>
      <c r="AF8" s="397" t="s">
        <v>376</v>
      </c>
      <c r="AG8" s="421">
        <f>IF(AG6&lt;7,1,ROUNDUP(AG6/AG7,0.1))</f>
        <v>2</v>
      </c>
      <c r="AH8" s="421">
        <f>IF(AH6&lt;7,1,ROUNDUP(AH6/AH7,0.1))</f>
        <v>2</v>
      </c>
      <c r="AI8" s="421">
        <f>IF(AI6&lt;7,1,ROUNDUP(AI6/AI7,0.1))</f>
        <v>1</v>
      </c>
      <c r="AJ8" s="424">
        <f>IF(AJ6&lt;7,1,ROUNDUP(AJ6/AJ7,0.1))</f>
        <v>1</v>
      </c>
      <c r="AK8" s="32">
        <f>IF($D$3&lt;40,AL8,IF($AK$11=$AG$11,AG8,IF($AK$11=$AH$11,AH8,IF($AK$11=$AI$11,AI8,AJ8))))</f>
        <v>2</v>
      </c>
      <c r="AL8" s="399">
        <f>IF(AL6&lt;7,1,ROUNDUP(AL6/AL7,0.1))</f>
        <v>2</v>
      </c>
      <c r="AM8" s="396"/>
      <c r="AN8" s="396"/>
      <c r="AO8" s="396"/>
      <c r="AP8" s="396"/>
      <c r="AQ8" s="396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</row>
    <row r="9" spans="1:139" x14ac:dyDescent="0.25">
      <c r="A9" s="19"/>
      <c r="B9" s="1" t="s">
        <v>20</v>
      </c>
      <c r="C9" s="2" t="s">
        <v>21</v>
      </c>
      <c r="D9" s="2">
        <v>17</v>
      </c>
      <c r="E9" s="3" t="s">
        <v>22</v>
      </c>
      <c r="F9" s="20">
        <f>+F8*12*6</f>
        <v>5592.5743634237351</v>
      </c>
      <c r="G9" s="19"/>
      <c r="H9" s="874" t="s">
        <v>398</v>
      </c>
      <c r="I9" s="875"/>
      <c r="J9" s="327" t="s">
        <v>435</v>
      </c>
      <c r="K9" s="263">
        <f>K6-D3</f>
        <v>484.73839572192526</v>
      </c>
      <c r="L9" s="248" t="s">
        <v>4</v>
      </c>
      <c r="M9" s="19"/>
      <c r="N9" s="861" t="s">
        <v>419</v>
      </c>
      <c r="O9" s="862"/>
      <c r="P9" s="327" t="s">
        <v>16</v>
      </c>
      <c r="Q9" s="327">
        <f>D22+0.2209*EXP(0.0557*D11)</f>
        <v>113.42249324707475</v>
      </c>
      <c r="R9" s="248" t="s">
        <v>13</v>
      </c>
      <c r="S9" s="19"/>
      <c r="T9" s="19"/>
      <c r="U9" s="19"/>
      <c r="W9" s="19"/>
      <c r="X9" t="s">
        <v>17</v>
      </c>
      <c r="Y9" t="s">
        <v>612</v>
      </c>
      <c r="Z9">
        <v>243.95474075995523</v>
      </c>
      <c r="AA9" s="294" t="s">
        <v>19</v>
      </c>
      <c r="AC9" s="294"/>
      <c r="AD9" s="294"/>
      <c r="AE9" s="21"/>
      <c r="AF9" s="397" t="s">
        <v>379</v>
      </c>
      <c r="AG9" s="421">
        <f>AG7*AG8</f>
        <v>10</v>
      </c>
      <c r="AH9" s="421">
        <f>AH7*AH8</f>
        <v>8</v>
      </c>
      <c r="AI9" s="421">
        <f>AI7*AI8</f>
        <v>6</v>
      </c>
      <c r="AJ9" s="424">
        <f>AJ7*AJ8</f>
        <v>5</v>
      </c>
      <c r="AK9" s="32">
        <f>IF($D$3&lt;40,AL9,IF($AK$11=$AG$11,AG9,IF($AK$11=$AH$11,AH9,IF($AK$11=$AI$11,AI9,AJ9))))</f>
        <v>10</v>
      </c>
      <c r="AL9" s="399">
        <f>AL7*AL8</f>
        <v>16</v>
      </c>
      <c r="AM9" s="396"/>
      <c r="AN9" s="396"/>
      <c r="AO9" s="396"/>
      <c r="AP9" s="396"/>
      <c r="AQ9" s="396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</row>
    <row r="10" spans="1:139" ht="15.75" thickBot="1" x14ac:dyDescent="0.3">
      <c r="A10" s="19"/>
      <c r="B10" s="1" t="s">
        <v>24</v>
      </c>
      <c r="C10" s="2" t="s">
        <v>25</v>
      </c>
      <c r="D10" s="2">
        <v>18</v>
      </c>
      <c r="E10" s="3" t="s">
        <v>22</v>
      </c>
      <c r="F10" s="20"/>
      <c r="G10" s="19"/>
      <c r="H10" s="874" t="s">
        <v>401</v>
      </c>
      <c r="I10" s="875"/>
      <c r="J10" s="327" t="s">
        <v>432</v>
      </c>
      <c r="K10" s="263">
        <f>+K6</f>
        <v>587.37112299465252</v>
      </c>
      <c r="L10" s="248" t="s">
        <v>4</v>
      </c>
      <c r="M10" s="19"/>
      <c r="N10" s="856" t="s">
        <v>420</v>
      </c>
      <c r="O10" s="857"/>
      <c r="P10" s="329" t="s">
        <v>23</v>
      </c>
      <c r="Q10" s="329">
        <f>D22+0.2209*EXP(0.0557*D12)</f>
        <v>139.15768364037788</v>
      </c>
      <c r="R10" s="253" t="s">
        <v>13</v>
      </c>
      <c r="S10" s="19"/>
      <c r="T10" s="19"/>
      <c r="U10" s="19"/>
      <c r="W10" s="19"/>
      <c r="X10" t="s">
        <v>613</v>
      </c>
      <c r="Y10" t="s">
        <v>68</v>
      </c>
      <c r="Z10">
        <v>101.55667402499365</v>
      </c>
      <c r="AA10" s="294" t="s">
        <v>19</v>
      </c>
      <c r="AC10" s="294"/>
      <c r="AD10" s="294"/>
      <c r="AE10" s="21"/>
      <c r="AF10" s="397" t="s">
        <v>380</v>
      </c>
      <c r="AG10" s="421">
        <f>IF($AG$4*AG7&lt;0.62,5,$AG$4*AG7)</f>
        <v>0.77500000000000002</v>
      </c>
      <c r="AH10" s="421">
        <f t="shared" ref="AH10:AJ10" si="1">IF($AG$4*AH7&lt;0.62,5,$AG$4*AH7)</f>
        <v>0.62</v>
      </c>
      <c r="AI10" s="421">
        <f t="shared" si="1"/>
        <v>0.92999999999999994</v>
      </c>
      <c r="AJ10" s="424">
        <f t="shared" si="1"/>
        <v>0.77500000000000002</v>
      </c>
      <c r="AK10" s="32">
        <f>IF($D$3&lt;40,AL10,IF($AK$11=$AG$11,AG10,IF($AK$11=AH11,AH10,IF($AK$11=$AI$11,AI10,AJ10))))</f>
        <v>0.77500000000000002</v>
      </c>
      <c r="AL10" s="399">
        <f>$AG$4*AL7</f>
        <v>1.24</v>
      </c>
      <c r="AM10" s="396"/>
      <c r="AN10" s="396"/>
      <c r="AO10" s="396"/>
      <c r="AP10" s="396"/>
      <c r="AQ10" s="396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</row>
    <row r="11" spans="1:139" ht="15.75" thickBot="1" x14ac:dyDescent="0.3">
      <c r="A11" s="19"/>
      <c r="B11" s="1" t="s">
        <v>29</v>
      </c>
      <c r="C11" s="2" t="s">
        <v>30</v>
      </c>
      <c r="D11" s="2">
        <v>75</v>
      </c>
      <c r="E11" s="3" t="s">
        <v>22</v>
      </c>
      <c r="F11" s="20"/>
      <c r="G11" s="19"/>
      <c r="H11" s="874" t="s">
        <v>399</v>
      </c>
      <c r="I11" s="875"/>
      <c r="J11" s="327" t="s">
        <v>36</v>
      </c>
      <c r="K11" s="263">
        <f>+K8</f>
        <v>563.87627807486638</v>
      </c>
      <c r="L11" s="248" t="s">
        <v>4</v>
      </c>
      <c r="M11" s="19"/>
      <c r="N11" s="858" t="s">
        <v>421</v>
      </c>
      <c r="O11" s="859"/>
      <c r="P11" s="859"/>
      <c r="Q11" s="859"/>
      <c r="R11" s="860"/>
      <c r="S11" s="19"/>
      <c r="T11" s="19"/>
      <c r="U11" s="19"/>
      <c r="W11" s="19"/>
      <c r="X11" s="19" t="s">
        <v>326</v>
      </c>
      <c r="Y11" s="19" t="s">
        <v>611</v>
      </c>
      <c r="Z11" s="294">
        <f>+D6*100</f>
        <v>31.870884535146736</v>
      </c>
      <c r="AA11" s="294" t="s">
        <v>6</v>
      </c>
      <c r="AB11" s="294"/>
      <c r="AC11" s="294"/>
      <c r="AD11" s="294"/>
      <c r="AE11" s="21"/>
      <c r="AF11" s="400" t="s">
        <v>364</v>
      </c>
      <c r="AG11" s="425">
        <f>AG5*AG8*AG10</f>
        <v>1.1625000000000001</v>
      </c>
      <c r="AH11" s="425">
        <f>AH5*AH8*AH10</f>
        <v>1.24</v>
      </c>
      <c r="AI11" s="425">
        <f>AI5*AI8*AI10</f>
        <v>1.1624999999999999</v>
      </c>
      <c r="AJ11" s="426">
        <f>AJ5*AJ8*AJ10</f>
        <v>1.1625000000000001</v>
      </c>
      <c r="AK11" s="420">
        <f>IF(D3&lt;40,AL11,MIN(AG11:AJ11))</f>
        <v>1.1624999999999999</v>
      </c>
      <c r="AL11" s="401">
        <f>(AL5*AL8)*($AG$4*AL7)</f>
        <v>1.24</v>
      </c>
      <c r="AM11" s="396"/>
      <c r="AN11" s="396"/>
      <c r="AO11" s="396"/>
      <c r="AP11" s="396"/>
      <c r="AQ11" s="396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</row>
    <row r="12" spans="1:139" x14ac:dyDescent="0.25">
      <c r="A12" s="19"/>
      <c r="B12" s="1" t="s">
        <v>34</v>
      </c>
      <c r="C12" s="2" t="s">
        <v>35</v>
      </c>
      <c r="D12" s="2">
        <v>93.4</v>
      </c>
      <c r="E12" s="3" t="s">
        <v>22</v>
      </c>
      <c r="F12" s="20"/>
      <c r="G12" s="19"/>
      <c r="H12" s="874" t="s">
        <v>400</v>
      </c>
      <c r="I12" s="875"/>
      <c r="J12" s="327" t="s">
        <v>40</v>
      </c>
      <c r="K12" s="263">
        <f>K11*D10/D11</f>
        <v>135.33030673796793</v>
      </c>
      <c r="L12" s="248" t="s">
        <v>4</v>
      </c>
      <c r="M12" s="19"/>
      <c r="N12" s="861" t="s">
        <v>418</v>
      </c>
      <c r="O12" s="862"/>
      <c r="P12" s="251" t="s">
        <v>32</v>
      </c>
      <c r="Q12" s="327">
        <f>2492.9-2.0523*((D22+Q8)/2)-0.0030752*((D22+Q8)/2)^2</f>
        <v>2258.7297158698739</v>
      </c>
      <c r="R12" s="248" t="s">
        <v>33</v>
      </c>
      <c r="S12" s="19"/>
      <c r="T12" s="19"/>
      <c r="U12" s="19"/>
      <c r="W12" s="19"/>
      <c r="X12" s="19"/>
      <c r="Y12" s="19"/>
      <c r="Z12" s="294"/>
      <c r="AA12" s="294"/>
      <c r="AB12" s="294"/>
      <c r="AC12" s="294"/>
      <c r="AD12" s="294"/>
      <c r="AE12" s="21"/>
      <c r="AF12" s="397"/>
      <c r="AG12" s="398"/>
      <c r="AH12" s="19"/>
      <c r="AI12" s="19"/>
      <c r="AJ12" s="19"/>
      <c r="AK12" s="19"/>
      <c r="AL12" s="19"/>
      <c r="AM12" s="396"/>
      <c r="AN12" s="396"/>
      <c r="AO12" s="396"/>
      <c r="AP12" s="396"/>
      <c r="AQ12" s="396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</row>
    <row r="13" spans="1:139" ht="15.75" thickBot="1" x14ac:dyDescent="0.3">
      <c r="A13" s="19"/>
      <c r="B13" s="1" t="s">
        <v>39</v>
      </c>
      <c r="C13" s="349" t="s">
        <v>35</v>
      </c>
      <c r="D13" s="2">
        <f>D12</f>
        <v>93.4</v>
      </c>
      <c r="E13" s="3" t="s">
        <v>22</v>
      </c>
      <c r="F13" s="20"/>
      <c r="G13" s="19"/>
      <c r="H13" s="882" t="s">
        <v>423</v>
      </c>
      <c r="I13" s="883"/>
      <c r="J13" s="247" t="s">
        <v>406</v>
      </c>
      <c r="K13" s="265">
        <f>D3*D4</f>
        <v>340.53606486845007</v>
      </c>
      <c r="L13" s="248" t="s">
        <v>4</v>
      </c>
      <c r="M13" s="19"/>
      <c r="N13" s="861" t="s">
        <v>419</v>
      </c>
      <c r="O13" s="862"/>
      <c r="P13" s="251" t="s">
        <v>32</v>
      </c>
      <c r="Q13" s="327">
        <f>2492.9-2.0523*((Q8+Q9)/2)-0.0030752*((Q8+Q9)/2)^2</f>
        <v>2239.3911327568489</v>
      </c>
      <c r="R13" s="248" t="s">
        <v>33</v>
      </c>
      <c r="S13" s="110"/>
      <c r="T13" s="19"/>
      <c r="U13" s="19"/>
      <c r="W13" s="19"/>
      <c r="X13" s="19"/>
      <c r="Y13" s="19"/>
      <c r="Z13" s="294"/>
      <c r="AA13" s="294"/>
      <c r="AB13" s="294"/>
      <c r="AC13" s="294"/>
      <c r="AD13" s="294"/>
      <c r="AE13" s="21"/>
      <c r="AF13" s="400"/>
      <c r="AG13" s="403"/>
      <c r="AH13" s="19"/>
      <c r="AI13" s="19"/>
      <c r="AJ13" s="19"/>
      <c r="AK13" s="19"/>
      <c r="AL13" s="19"/>
      <c r="AM13" s="396"/>
      <c r="AN13" s="396"/>
      <c r="AO13" s="396"/>
      <c r="AP13" s="396"/>
      <c r="AQ13" s="396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</row>
    <row r="14" spans="1:139" ht="15.75" thickBot="1" x14ac:dyDescent="0.3">
      <c r="A14" s="19"/>
      <c r="B14" s="4" t="s">
        <v>44</v>
      </c>
      <c r="C14" s="349" t="s">
        <v>45</v>
      </c>
      <c r="D14" s="5">
        <v>0.3</v>
      </c>
      <c r="E14" s="6" t="s">
        <v>6</v>
      </c>
      <c r="F14" s="20"/>
      <c r="G14" s="19"/>
      <c r="H14" s="874" t="s">
        <v>424</v>
      </c>
      <c r="I14" s="875"/>
      <c r="J14" s="327" t="s">
        <v>37</v>
      </c>
      <c r="K14" s="263">
        <f>K3-K4</f>
        <v>399.57219251336915</v>
      </c>
      <c r="L14" s="248" t="s">
        <v>4</v>
      </c>
      <c r="M14" s="19"/>
      <c r="N14" s="856" t="s">
        <v>420</v>
      </c>
      <c r="O14" s="857"/>
      <c r="P14" s="252" t="s">
        <v>32</v>
      </c>
      <c r="Q14" s="329">
        <f>2492.9-2.0523*((Q9+Q10)/2)-0.0030752*((Q9+Q10)/2)^2</f>
        <v>2184.6679133493458</v>
      </c>
      <c r="R14" s="253" t="s">
        <v>33</v>
      </c>
      <c r="S14" s="21"/>
      <c r="T14" s="19"/>
      <c r="U14" s="19"/>
      <c r="W14" s="19"/>
      <c r="X14" s="19"/>
      <c r="Y14" s="19"/>
      <c r="Z14" s="294"/>
      <c r="AA14" s="294"/>
      <c r="AB14" s="294"/>
      <c r="AC14" s="294"/>
      <c r="AD14" s="294"/>
      <c r="AE14" s="21"/>
      <c r="AF14" s="21"/>
      <c r="AG14" s="21"/>
      <c r="AH14" s="21"/>
      <c r="AI14" s="21"/>
      <c r="AJ14" s="21"/>
      <c r="AK14" s="21"/>
      <c r="AL14" s="21"/>
      <c r="AM14" s="396"/>
      <c r="AN14" s="396"/>
      <c r="AO14" s="396"/>
      <c r="AP14" s="396"/>
      <c r="AQ14" s="396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</row>
    <row r="15" spans="1:139" ht="15.75" thickBot="1" x14ac:dyDescent="0.3">
      <c r="A15" s="19"/>
      <c r="B15" s="4" t="s">
        <v>48</v>
      </c>
      <c r="C15" s="10" t="s">
        <v>49</v>
      </c>
      <c r="D15" s="11">
        <v>1.8</v>
      </c>
      <c r="E15" s="6"/>
      <c r="F15" s="20"/>
      <c r="G15" s="19"/>
      <c r="H15" s="884" t="s">
        <v>425</v>
      </c>
      <c r="I15" s="885"/>
      <c r="J15" s="330" t="s">
        <v>405</v>
      </c>
      <c r="K15" s="264">
        <f>K14*((100%-D20)/(100%-D14))</f>
        <v>262.86142093200931</v>
      </c>
      <c r="L15" s="253" t="s">
        <v>4</v>
      </c>
      <c r="M15" s="19"/>
      <c r="N15" s="858" t="s">
        <v>403</v>
      </c>
      <c r="O15" s="859"/>
      <c r="P15" s="859"/>
      <c r="Q15" s="859"/>
      <c r="R15" s="860"/>
      <c r="S15" s="21"/>
      <c r="T15" s="19"/>
      <c r="U15" s="19"/>
      <c r="W15" s="19"/>
      <c r="X15" s="19"/>
      <c r="Y15" s="19"/>
      <c r="Z15" s="294"/>
      <c r="AA15" s="294"/>
      <c r="AB15" s="294"/>
      <c r="AC15" s="294"/>
      <c r="AD15" s="294"/>
      <c r="AE15" s="21"/>
      <c r="AF15" s="21"/>
      <c r="AG15" s="21"/>
      <c r="AH15" s="21"/>
      <c r="AI15" s="21"/>
      <c r="AJ15" s="21"/>
      <c r="AK15" s="21"/>
      <c r="AL15" s="21"/>
      <c r="AM15" s="396"/>
      <c r="AN15" s="396"/>
      <c r="AO15" s="396"/>
      <c r="AP15" s="396"/>
      <c r="AQ15" s="396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</row>
    <row r="16" spans="1:139" ht="15.75" thickBot="1" x14ac:dyDescent="0.3">
      <c r="A16" s="19"/>
      <c r="B16" s="1" t="s">
        <v>52</v>
      </c>
      <c r="C16" s="2" t="s">
        <v>53</v>
      </c>
      <c r="D16" s="12">
        <v>0.6</v>
      </c>
      <c r="E16" s="3" t="s">
        <v>6</v>
      </c>
      <c r="F16" s="20"/>
      <c r="G16" s="19"/>
      <c r="H16" s="23"/>
      <c r="I16" s="23"/>
      <c r="J16" s="23"/>
      <c r="K16" s="122"/>
      <c r="L16" s="122"/>
      <c r="M16" s="19"/>
      <c r="N16" s="861" t="s">
        <v>426</v>
      </c>
      <c r="O16" s="862"/>
      <c r="P16" s="327" t="s">
        <v>46</v>
      </c>
      <c r="Q16" s="327">
        <f>4.18*(1-0.006*D9)</f>
        <v>3.7536399999999999</v>
      </c>
      <c r="R16" s="248" t="s">
        <v>47</v>
      </c>
      <c r="S16" s="21"/>
      <c r="T16" s="294"/>
      <c r="U16" s="19"/>
      <c r="W16" s="19"/>
      <c r="X16" s="19"/>
      <c r="Y16" s="19"/>
      <c r="Z16" s="294"/>
      <c r="AA16" s="294"/>
      <c r="AB16" s="294"/>
      <c r="AC16" s="294"/>
      <c r="AD16" s="294"/>
      <c r="AE16" s="21"/>
      <c r="AF16" s="21"/>
      <c r="AG16" s="21"/>
      <c r="AH16" s="21"/>
      <c r="AI16" s="21"/>
      <c r="AJ16" s="21">
        <f>Q102^(1/3)</f>
        <v>1.5471441977335516</v>
      </c>
      <c r="AK16" s="21"/>
      <c r="AL16" s="21"/>
      <c r="AM16" s="396"/>
      <c r="AN16" s="396"/>
      <c r="AO16" s="396"/>
      <c r="AP16" s="396"/>
      <c r="AQ16" s="396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</row>
    <row r="17" spans="1:139" ht="15.75" thickBot="1" x14ac:dyDescent="0.3">
      <c r="A17" s="19"/>
      <c r="B17" s="1" t="s">
        <v>55</v>
      </c>
      <c r="C17" s="2" t="s">
        <v>56</v>
      </c>
      <c r="D17" s="12">
        <v>0.14000000000000001</v>
      </c>
      <c r="E17" s="3" t="s">
        <v>6</v>
      </c>
      <c r="F17" s="20"/>
      <c r="G17" s="19"/>
      <c r="H17" s="865" t="s">
        <v>414</v>
      </c>
      <c r="I17" s="866"/>
      <c r="J17" s="866"/>
      <c r="K17" s="866"/>
      <c r="L17" s="867"/>
      <c r="M17" s="19"/>
      <c r="N17" s="861" t="s">
        <v>427</v>
      </c>
      <c r="O17" s="862"/>
      <c r="P17" s="327" t="s">
        <v>46</v>
      </c>
      <c r="Q17" s="327">
        <f>4.18*(1-0.006*D10)</f>
        <v>3.7285599999999999</v>
      </c>
      <c r="R17" s="248" t="s">
        <v>47</v>
      </c>
      <c r="S17" s="20"/>
      <c r="T17" s="19"/>
      <c r="U17" s="19"/>
      <c r="W17" s="19"/>
      <c r="X17" s="19"/>
      <c r="Y17" s="19"/>
      <c r="Z17" s="19"/>
      <c r="AA17" s="19"/>
      <c r="AB17" s="19"/>
      <c r="AC17" s="294"/>
      <c r="AD17" s="294"/>
      <c r="AE17" s="21"/>
      <c r="AF17" s="21"/>
      <c r="AG17" s="21"/>
      <c r="AH17" s="21"/>
      <c r="AI17" s="21"/>
      <c r="AJ17" s="21"/>
      <c r="AK17" s="21"/>
      <c r="AL17" s="21"/>
      <c r="AM17" s="396"/>
      <c r="AN17" s="396"/>
      <c r="AO17" s="396"/>
      <c r="AP17" s="396"/>
      <c r="AQ17" s="396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</row>
    <row r="18" spans="1:139" ht="15.75" thickBot="1" x14ac:dyDescent="0.3">
      <c r="A18" s="19"/>
      <c r="B18" s="1" t="s">
        <v>58</v>
      </c>
      <c r="C18" s="2" t="s">
        <v>59</v>
      </c>
      <c r="D18" s="2">
        <v>300</v>
      </c>
      <c r="E18" s="3" t="s">
        <v>60</v>
      </c>
      <c r="F18" s="20"/>
      <c r="G18" s="19"/>
      <c r="H18" s="868" t="s">
        <v>404</v>
      </c>
      <c r="I18" s="869"/>
      <c r="J18" s="331" t="s">
        <v>61</v>
      </c>
      <c r="K18" s="331">
        <f>(K10*Q16*(Q8-D19)+(K10-K11)*Q12)/3600</f>
        <v>57.38001407508672</v>
      </c>
      <c r="L18" s="250" t="s">
        <v>19</v>
      </c>
      <c r="M18" s="19"/>
      <c r="N18" s="856" t="s">
        <v>428</v>
      </c>
      <c r="O18" s="857"/>
      <c r="P18" s="329" t="s">
        <v>46</v>
      </c>
      <c r="Q18" s="329">
        <f>4.18*(1-0.006*D11)</f>
        <v>2.2989999999999999</v>
      </c>
      <c r="R18" s="253" t="s">
        <v>47</v>
      </c>
      <c r="S18" s="110"/>
      <c r="T18" s="19"/>
      <c r="U18" s="19"/>
      <c r="W18" s="19"/>
      <c r="X18" s="19"/>
      <c r="Y18" s="19"/>
      <c r="Z18" s="19"/>
      <c r="AA18" s="19"/>
      <c r="AB18" s="19"/>
      <c r="AC18" s="294"/>
      <c r="AD18" s="294"/>
      <c r="AE18" s="21"/>
      <c r="AF18" s="21"/>
      <c r="AG18" s="21"/>
      <c r="AH18" s="21"/>
      <c r="AI18" s="21"/>
      <c r="AJ18" s="21"/>
      <c r="AK18" s="21"/>
      <c r="AL18" s="21"/>
      <c r="AM18" s="396"/>
      <c r="AN18" s="396"/>
      <c r="AO18" s="396"/>
      <c r="AP18" s="396"/>
      <c r="AQ18" s="396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</row>
    <row r="19" spans="1:139" ht="15.75" thickBot="1" x14ac:dyDescent="0.3">
      <c r="A19" s="19"/>
      <c r="B19" s="13" t="s">
        <v>62</v>
      </c>
      <c r="C19" s="14" t="s">
        <v>63</v>
      </c>
      <c r="D19" s="14">
        <v>30</v>
      </c>
      <c r="E19" s="15" t="s">
        <v>13</v>
      </c>
      <c r="F19" s="20"/>
      <c r="G19" s="19"/>
      <c r="H19" s="861" t="s">
        <v>407</v>
      </c>
      <c r="I19" s="862"/>
      <c r="J19" s="327" t="s">
        <v>64</v>
      </c>
      <c r="K19" s="327">
        <f>(K11*Q17*(Q9-Q8)+(K11-K12)*Q13)/3600</f>
        <v>274.63844464568598</v>
      </c>
      <c r="L19" s="248" t="s">
        <v>19</v>
      </c>
      <c r="M19" s="19"/>
      <c r="N19" s="122"/>
      <c r="O19" s="23"/>
      <c r="P19" s="23"/>
      <c r="Q19" s="23"/>
      <c r="R19" s="23"/>
      <c r="S19" s="110"/>
      <c r="T19" s="19"/>
      <c r="U19" s="19"/>
      <c r="W19" s="19"/>
      <c r="X19" s="19"/>
      <c r="Y19" s="19"/>
      <c r="Z19" s="19"/>
      <c r="AA19" s="19"/>
      <c r="AB19" s="19"/>
      <c r="AC19" s="396"/>
      <c r="AD19" s="396"/>
      <c r="AE19" s="396"/>
      <c r="AF19" s="396"/>
      <c r="AG19" s="396"/>
      <c r="AH19" s="396"/>
      <c r="AI19" s="396"/>
      <c r="AJ19" s="396"/>
      <c r="AK19" s="396"/>
      <c r="AL19" s="396"/>
      <c r="AM19" s="396"/>
      <c r="AN19" s="396"/>
      <c r="AO19" s="396"/>
      <c r="AP19" s="396"/>
      <c r="AQ19" s="396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</row>
    <row r="20" spans="1:139" x14ac:dyDescent="0.25">
      <c r="A20" s="19"/>
      <c r="B20" s="254" t="s">
        <v>65</v>
      </c>
      <c r="C20" s="255" t="s">
        <v>66</v>
      </c>
      <c r="D20" s="256">
        <f>((K4-K4*(D16+D17))-(K4-K4*(D16+D17))*(D9/100))/(K4*(1-D16))</f>
        <v>0.53949999999999998</v>
      </c>
      <c r="E20" s="257" t="s">
        <v>6</v>
      </c>
      <c r="F20" s="20"/>
      <c r="G20" s="19"/>
      <c r="H20" s="861" t="s">
        <v>408</v>
      </c>
      <c r="I20" s="862"/>
      <c r="J20" s="327" t="s">
        <v>67</v>
      </c>
      <c r="K20" s="327">
        <f>(K12*Q18*(Q10-Q9)+(K12-D3)*Q14)/3600</f>
        <v>22.066721592619167</v>
      </c>
      <c r="L20" s="248" t="s">
        <v>19</v>
      </c>
      <c r="M20" s="19"/>
      <c r="N20" s="876" t="s">
        <v>7</v>
      </c>
      <c r="O20" s="877"/>
      <c r="P20" s="326" t="s">
        <v>8</v>
      </c>
      <c r="Q20" s="326">
        <f>17.85-20.35*D14</f>
        <v>11.745000000000001</v>
      </c>
      <c r="R20" s="340" t="s">
        <v>9</v>
      </c>
      <c r="S20" s="20"/>
      <c r="T20" s="19"/>
      <c r="U20" s="19"/>
      <c r="W20" s="19"/>
      <c r="X20" s="19"/>
      <c r="Y20" s="19"/>
      <c r="Z20" s="19"/>
      <c r="AA20" s="19"/>
      <c r="AB20" s="19"/>
      <c r="AC20" s="396"/>
      <c r="AD20" s="396"/>
      <c r="AE20" s="396"/>
      <c r="AF20" s="396"/>
      <c r="AG20" s="396"/>
      <c r="AH20" s="396"/>
      <c r="AI20" s="396"/>
      <c r="AJ20" s="396"/>
      <c r="AK20" s="396"/>
      <c r="AL20" s="396"/>
      <c r="AM20" s="396"/>
      <c r="AN20" s="396"/>
      <c r="AO20" s="396"/>
      <c r="AP20" s="396"/>
      <c r="AQ20" s="396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</row>
    <row r="21" spans="1:139" x14ac:dyDescent="0.25">
      <c r="A21" s="19"/>
      <c r="B21" s="254" t="s">
        <v>69</v>
      </c>
      <c r="C21" s="255" t="s">
        <v>70</v>
      </c>
      <c r="D21" s="258">
        <f>760*EXP(-0.0001158*D18)</f>
        <v>734.05094479262482</v>
      </c>
      <c r="E21" s="257" t="s">
        <v>71</v>
      </c>
      <c r="F21" s="20"/>
      <c r="G21" s="19"/>
      <c r="H21" s="861" t="s">
        <v>409</v>
      </c>
      <c r="I21" s="862"/>
      <c r="J21" s="327" t="s">
        <v>68</v>
      </c>
      <c r="K21" s="327">
        <f>SUM(K18:K20)</f>
        <v>354.08518031339185</v>
      </c>
      <c r="L21" s="248" t="s">
        <v>19</v>
      </c>
      <c r="M21" s="19"/>
      <c r="N21" s="872" t="s">
        <v>17</v>
      </c>
      <c r="O21" s="873"/>
      <c r="P21" s="328" t="s">
        <v>18</v>
      </c>
      <c r="Q21" s="328">
        <f>(D4*D3)*Q20/3.6</f>
        <v>1110.9989116333184</v>
      </c>
      <c r="R21" s="266" t="s">
        <v>19</v>
      </c>
      <c r="S21" s="20"/>
      <c r="T21" s="19"/>
      <c r="U21" s="19"/>
      <c r="W21" s="19"/>
      <c r="X21" s="19"/>
      <c r="Y21" s="19"/>
      <c r="Z21" s="19"/>
      <c r="AA21" s="19"/>
      <c r="AB21" s="19"/>
      <c r="AC21" s="396"/>
      <c r="AD21" s="396"/>
      <c r="AE21" s="396"/>
      <c r="AF21" s="396"/>
      <c r="AG21" s="396"/>
      <c r="AH21" s="396"/>
      <c r="AI21" s="396"/>
      <c r="AJ21" s="396"/>
      <c r="AK21" s="396"/>
      <c r="AL21" s="396"/>
      <c r="AM21" s="396"/>
      <c r="AN21" s="396"/>
      <c r="AO21" s="396"/>
      <c r="AP21" s="396"/>
      <c r="AQ21" s="396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</row>
    <row r="22" spans="1:139" ht="15.75" thickBot="1" x14ac:dyDescent="0.3">
      <c r="A22" s="19"/>
      <c r="B22" s="259" t="s">
        <v>72</v>
      </c>
      <c r="C22" s="260" t="s">
        <v>73</v>
      </c>
      <c r="D22" s="260">
        <f>-227.03+3816.44/(18.3036-LN(7.5*(D21*133.3224/1000)))</f>
        <v>99.019229479250754</v>
      </c>
      <c r="E22" s="261" t="s">
        <v>13</v>
      </c>
      <c r="F22" s="20"/>
      <c r="G22" s="19"/>
      <c r="H22" s="856" t="s">
        <v>410</v>
      </c>
      <c r="I22" s="857"/>
      <c r="J22" s="329" t="s">
        <v>68</v>
      </c>
      <c r="K22" s="329">
        <f>(K8*(Q10-D19)*Q16+K9*((Q12+Q14)/2))/3600</f>
        <v>363.32906188180164</v>
      </c>
      <c r="L22" s="253" t="s">
        <v>19</v>
      </c>
      <c r="M22" s="19"/>
      <c r="N22" s="880" t="s">
        <v>26</v>
      </c>
      <c r="O22" s="881"/>
      <c r="P22" s="330" t="s">
        <v>27</v>
      </c>
      <c r="Q22" s="330">
        <f>Q21/1000</f>
        <v>1.1109989116333183</v>
      </c>
      <c r="R22" s="267" t="s">
        <v>28</v>
      </c>
      <c r="S22" s="20"/>
      <c r="T22" s="19"/>
      <c r="U22" s="19"/>
      <c r="W22" s="19"/>
      <c r="X22" s="19"/>
      <c r="Y22" s="19"/>
      <c r="Z22" s="19"/>
      <c r="AA22" s="19"/>
      <c r="AB22" s="19"/>
      <c r="AC22" s="396"/>
      <c r="AD22" s="396"/>
      <c r="AE22" s="396"/>
      <c r="AF22" s="396"/>
      <c r="AG22" s="396"/>
      <c r="AH22" s="396"/>
      <c r="AI22" s="396"/>
      <c r="AJ22" s="396"/>
      <c r="AK22" s="396"/>
      <c r="AL22" s="396"/>
      <c r="AM22" s="396"/>
      <c r="AN22" s="396"/>
      <c r="AO22" s="396"/>
      <c r="AP22" s="396"/>
      <c r="AQ22" s="396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</row>
    <row r="23" spans="1:139" ht="15.75" thickBot="1" x14ac:dyDescent="0.3">
      <c r="A23" s="19"/>
      <c r="B23" s="243"/>
      <c r="C23" s="243"/>
      <c r="D23" s="243"/>
      <c r="E23" s="243"/>
      <c r="F23" s="20"/>
      <c r="G23" s="19"/>
      <c r="H23" s="19"/>
      <c r="I23" s="19"/>
      <c r="J23" s="38"/>
      <c r="K23" s="19"/>
      <c r="L23" s="21"/>
      <c r="M23" s="21"/>
      <c r="N23" s="21"/>
      <c r="O23" s="21"/>
      <c r="P23" s="21"/>
      <c r="R23" s="21"/>
      <c r="S23" s="21"/>
      <c r="T23" s="19"/>
      <c r="U23" s="19"/>
      <c r="W23" s="19"/>
      <c r="X23" s="19"/>
      <c r="Y23" s="19"/>
      <c r="Z23" s="19"/>
      <c r="AA23" s="19"/>
      <c r="AB23" s="19"/>
      <c r="AC23" s="396"/>
      <c r="AD23" s="396"/>
      <c r="AE23" s="396"/>
      <c r="AF23" s="396"/>
      <c r="AG23" s="396"/>
      <c r="AH23" s="396"/>
      <c r="AI23" s="396"/>
      <c r="AJ23" s="396"/>
      <c r="AK23" s="396"/>
      <c r="AL23" s="396"/>
      <c r="AM23" s="396"/>
      <c r="AN23" s="396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</row>
    <row r="24" spans="1:139" ht="15.75" thickBot="1" x14ac:dyDescent="0.3">
      <c r="A24" s="919" t="s">
        <v>514</v>
      </c>
      <c r="B24" s="920"/>
      <c r="C24" s="920"/>
      <c r="D24" s="920"/>
      <c r="E24" s="920"/>
      <c r="F24" s="920"/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920"/>
      <c r="R24" s="920"/>
      <c r="S24" s="920"/>
      <c r="T24" s="920"/>
      <c r="U24" s="921"/>
      <c r="W24" s="19"/>
      <c r="X24" s="19"/>
      <c r="Y24" s="19"/>
      <c r="Z24" s="19"/>
      <c r="AA24" s="19"/>
      <c r="AB24" s="19"/>
      <c r="AC24" s="396"/>
      <c r="AD24" s="396"/>
      <c r="AE24" s="396"/>
      <c r="AF24" s="396"/>
      <c r="AG24" s="396"/>
      <c r="AH24" s="396"/>
      <c r="AI24" s="396"/>
      <c r="AJ24" s="396"/>
      <c r="AK24" s="396"/>
      <c r="AL24" s="396"/>
      <c r="AM24" s="396"/>
      <c r="AN24" s="396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</row>
    <row r="25" spans="1:139" ht="15.75" thickBot="1" x14ac:dyDescent="0.3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W25" s="19"/>
      <c r="X25" s="880" t="s">
        <v>26</v>
      </c>
      <c r="Y25" s="881"/>
      <c r="Z25" s="689" t="s">
        <v>27</v>
      </c>
      <c r="AA25" s="689">
        <f>AA24/1000</f>
        <v>0</v>
      </c>
      <c r="AB25" s="267" t="s">
        <v>28</v>
      </c>
      <c r="AC25" s="396"/>
      <c r="AD25" s="396"/>
      <c r="AE25" s="396"/>
      <c r="AF25" s="396"/>
      <c r="AG25" s="396"/>
      <c r="AH25" s="396"/>
      <c r="AI25" s="396"/>
      <c r="AJ25" s="396"/>
      <c r="AK25" s="396"/>
      <c r="AL25" s="396"/>
      <c r="AM25" s="396"/>
      <c r="AN25" s="396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</row>
    <row r="26" spans="1:139" ht="15.75" thickBot="1" x14ac:dyDescent="0.3">
      <c r="A26" s="37"/>
      <c r="B26" s="490" t="s">
        <v>476</v>
      </c>
      <c r="C26" s="184" t="s">
        <v>475</v>
      </c>
      <c r="D26" s="405" t="s">
        <v>43</v>
      </c>
      <c r="E26" s="671">
        <v>1</v>
      </c>
      <c r="F26" s="653">
        <v>1</v>
      </c>
      <c r="G26" s="653">
        <v>2</v>
      </c>
      <c r="H26" s="653">
        <v>3</v>
      </c>
      <c r="I26" s="653">
        <v>4</v>
      </c>
      <c r="J26" s="653">
        <v>5</v>
      </c>
      <c r="K26" s="670">
        <v>6</v>
      </c>
      <c r="L26" s="404"/>
      <c r="M26" s="37"/>
      <c r="N26" s="19"/>
      <c r="O26" s="19"/>
      <c r="P26" s="19"/>
      <c r="Q26" s="37"/>
      <c r="R26" s="37"/>
      <c r="S26" s="37"/>
      <c r="T26" s="37"/>
      <c r="U26" s="37"/>
      <c r="W26" s="19"/>
      <c r="X26" s="19"/>
      <c r="Y26" s="19"/>
      <c r="Z26" s="19"/>
      <c r="AA26" s="19"/>
      <c r="AB26" s="19"/>
      <c r="AC26" s="396"/>
      <c r="AD26" s="396"/>
      <c r="AE26" s="396"/>
      <c r="AF26" s="396"/>
      <c r="AG26" s="396"/>
      <c r="AH26" s="396"/>
      <c r="AI26" s="396"/>
      <c r="AJ26" s="396"/>
      <c r="AK26" s="396"/>
      <c r="AL26" s="396"/>
      <c r="AM26" s="396"/>
      <c r="AN26" s="396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</row>
    <row r="27" spans="1:139" x14ac:dyDescent="0.25">
      <c r="A27" s="37"/>
      <c r="B27" s="586" t="s">
        <v>82</v>
      </c>
      <c r="C27" s="582" t="s">
        <v>474</v>
      </c>
      <c r="D27" s="406" t="s">
        <v>43</v>
      </c>
      <c r="E27" s="672" t="s">
        <v>473</v>
      </c>
      <c r="F27" s="651" t="s">
        <v>473</v>
      </c>
      <c r="G27" s="651" t="s">
        <v>473</v>
      </c>
      <c r="H27" s="651" t="s">
        <v>749</v>
      </c>
      <c r="I27" s="651" t="s">
        <v>748</v>
      </c>
      <c r="J27" s="651" t="s">
        <v>747</v>
      </c>
      <c r="K27" s="652" t="s">
        <v>750</v>
      </c>
      <c r="L27" s="404"/>
      <c r="M27" s="19"/>
      <c r="N27" s="904" t="s">
        <v>516</v>
      </c>
      <c r="O27" s="905"/>
      <c r="P27" s="905"/>
      <c r="Q27" s="905"/>
      <c r="R27" s="906"/>
      <c r="S27" s="37"/>
      <c r="T27" s="37"/>
      <c r="U27" s="37"/>
      <c r="W27" s="19"/>
      <c r="X27" s="19"/>
      <c r="Y27" s="19"/>
      <c r="Z27" s="19"/>
      <c r="AA27" s="19"/>
      <c r="AB27" s="19"/>
      <c r="AC27" s="396"/>
      <c r="AD27" s="396"/>
      <c r="AE27" s="396"/>
      <c r="AF27" s="396"/>
      <c r="AG27" s="396"/>
      <c r="AH27" s="396"/>
      <c r="AI27" s="396"/>
      <c r="AJ27" s="396"/>
      <c r="AK27" s="396"/>
      <c r="AL27" s="396"/>
      <c r="AM27" s="396"/>
      <c r="AN27" s="396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</row>
    <row r="28" spans="1:139" ht="15" customHeight="1" thickBot="1" x14ac:dyDescent="0.3">
      <c r="A28" s="37"/>
      <c r="B28" s="487" t="s">
        <v>121</v>
      </c>
      <c r="C28" s="73" t="s">
        <v>122</v>
      </c>
      <c r="D28" s="369" t="s">
        <v>43</v>
      </c>
      <c r="E28" s="487">
        <v>6</v>
      </c>
      <c r="F28" s="723">
        <v>5</v>
      </c>
      <c r="G28" s="486">
        <v>4</v>
      </c>
      <c r="H28" s="73">
        <v>3</v>
      </c>
      <c r="I28" s="73">
        <v>2</v>
      </c>
      <c r="J28" s="73">
        <v>1</v>
      </c>
      <c r="K28" s="488">
        <v>1</v>
      </c>
      <c r="L28" s="404"/>
      <c r="M28" s="19"/>
      <c r="N28" s="907"/>
      <c r="O28" s="908"/>
      <c r="P28" s="908"/>
      <c r="Q28" s="908"/>
      <c r="R28" s="909"/>
      <c r="S28" s="37"/>
      <c r="T28" s="37"/>
      <c r="U28" s="37"/>
      <c r="W28" s="19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6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</row>
    <row r="29" spans="1:139" ht="15.75" customHeight="1" x14ac:dyDescent="0.25">
      <c r="A29" s="37"/>
      <c r="B29" s="489" t="s">
        <v>123</v>
      </c>
      <c r="C29" s="314" t="s">
        <v>138</v>
      </c>
      <c r="D29" s="591" t="s">
        <v>124</v>
      </c>
      <c r="E29" s="673">
        <f>+F30</f>
        <v>75</v>
      </c>
      <c r="F29" s="313">
        <f>+G30</f>
        <v>56</v>
      </c>
      <c r="G29" s="313">
        <f>+H30</f>
        <v>37</v>
      </c>
      <c r="H29" s="312">
        <f>+I30</f>
        <v>18</v>
      </c>
      <c r="I29" s="312">
        <f>+J30</f>
        <v>17</v>
      </c>
      <c r="J29" s="312">
        <f>+D9</f>
        <v>17</v>
      </c>
      <c r="K29" s="495">
        <f>+D9</f>
        <v>17</v>
      </c>
      <c r="L29" s="404"/>
      <c r="M29" s="19"/>
      <c r="N29" s="910" t="s">
        <v>752</v>
      </c>
      <c r="O29" s="911"/>
      <c r="P29" s="911"/>
      <c r="Q29" s="911"/>
      <c r="R29" s="912"/>
      <c r="S29" s="37"/>
      <c r="T29" s="37"/>
      <c r="U29" s="37"/>
      <c r="W29" s="19"/>
      <c r="AC29" s="396"/>
      <c r="AD29" s="396"/>
      <c r="AE29" s="396"/>
      <c r="AF29" s="396"/>
      <c r="AG29" s="396"/>
      <c r="AH29" s="396"/>
      <c r="AI29" s="396"/>
      <c r="AJ29" s="396"/>
      <c r="AK29" s="396"/>
      <c r="AL29" s="396"/>
      <c r="AM29" s="396"/>
      <c r="AN29" s="396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</row>
    <row r="30" spans="1:139" ht="15.75" customHeight="1" x14ac:dyDescent="0.25">
      <c r="A30" s="37"/>
      <c r="B30" s="489" t="s">
        <v>125</v>
      </c>
      <c r="C30" s="314" t="s">
        <v>139</v>
      </c>
      <c r="D30" s="591" t="s">
        <v>124</v>
      </c>
      <c r="E30" s="673">
        <f>+D12</f>
        <v>93.4</v>
      </c>
      <c r="F30" s="313">
        <f>+D11</f>
        <v>75</v>
      </c>
      <c r="G30" s="313">
        <f>+G29+19</f>
        <v>56</v>
      </c>
      <c r="H30" s="312">
        <f>+H29+19</f>
        <v>37</v>
      </c>
      <c r="I30" s="312">
        <f>+D10</f>
        <v>18</v>
      </c>
      <c r="J30" s="312">
        <f>+D9</f>
        <v>17</v>
      </c>
      <c r="K30" s="495">
        <v>18</v>
      </c>
      <c r="L30" s="404"/>
      <c r="M30" s="19"/>
      <c r="N30" s="913"/>
      <c r="O30" s="914"/>
      <c r="P30" s="914"/>
      <c r="Q30" s="914"/>
      <c r="R30" s="915"/>
      <c r="S30" s="37"/>
      <c r="T30" s="37"/>
      <c r="U30" s="37"/>
      <c r="W30" s="19"/>
      <c r="AC30" s="396"/>
      <c r="AD30" s="396"/>
      <c r="AE30" s="396"/>
      <c r="AF30" s="396"/>
      <c r="AG30" s="396"/>
      <c r="AH30" s="396"/>
      <c r="AI30" s="396"/>
      <c r="AJ30" s="396"/>
      <c r="AK30" s="396"/>
      <c r="AL30" s="396"/>
      <c r="AM30" s="396"/>
      <c r="AN30" s="396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</row>
    <row r="31" spans="1:139" ht="15.75" thickBot="1" x14ac:dyDescent="0.3">
      <c r="A31" s="37"/>
      <c r="B31" s="485" t="s">
        <v>126</v>
      </c>
      <c r="C31" s="73" t="s">
        <v>140</v>
      </c>
      <c r="D31" s="369" t="s">
        <v>124</v>
      </c>
      <c r="E31" s="487">
        <f>(E29+E30)/2</f>
        <v>84.2</v>
      </c>
      <c r="F31" s="723">
        <f>(F29+F30)/2</f>
        <v>65.5</v>
      </c>
      <c r="G31" s="486">
        <f>(G29+G30)/2</f>
        <v>46.5</v>
      </c>
      <c r="H31" s="73">
        <f t="shared" ref="H31:I31" si="2">(H29+H30)/2</f>
        <v>27.5</v>
      </c>
      <c r="I31" s="73">
        <f t="shared" si="2"/>
        <v>17.5</v>
      </c>
      <c r="J31" s="73">
        <f t="shared" ref="J31:K31" si="3">(J29+J30)/2</f>
        <v>17</v>
      </c>
      <c r="K31" s="488">
        <f t="shared" si="3"/>
        <v>17.5</v>
      </c>
      <c r="L31" s="404"/>
      <c r="M31" s="19"/>
      <c r="N31" s="916"/>
      <c r="O31" s="917"/>
      <c r="P31" s="917"/>
      <c r="Q31" s="917"/>
      <c r="R31" s="918"/>
      <c r="S31" s="37"/>
      <c r="T31" s="37"/>
      <c r="U31" s="37"/>
      <c r="W31" s="19"/>
      <c r="AC31" s="396"/>
      <c r="AD31" s="396"/>
      <c r="AE31" s="396"/>
      <c r="AF31" s="396"/>
      <c r="AG31" s="396"/>
      <c r="AH31" s="396"/>
      <c r="AI31" s="396"/>
      <c r="AJ31" s="396"/>
      <c r="AK31" s="396"/>
      <c r="AL31" s="396"/>
      <c r="AM31" s="396"/>
      <c r="AN31" s="396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</row>
    <row r="32" spans="1:139" ht="15.75" thickBot="1" x14ac:dyDescent="0.3">
      <c r="A32" s="37"/>
      <c r="B32" s="487" t="s">
        <v>319</v>
      </c>
      <c r="C32" s="73" t="s">
        <v>127</v>
      </c>
      <c r="D32" s="369" t="s">
        <v>38</v>
      </c>
      <c r="E32" s="150">
        <f>+((F32*F29)/F30)/2</f>
        <v>63.905978181818185</v>
      </c>
      <c r="F32" s="311">
        <f>+(G32*G29)/G30</f>
        <v>171.17672727272728</v>
      </c>
      <c r="G32" s="311">
        <f>+(H32*H29)/H30</f>
        <v>259.07828992628993</v>
      </c>
      <c r="H32" s="311">
        <f>+((I32-K7)*I29)/I30</f>
        <v>532.54981818181818</v>
      </c>
      <c r="I32" s="311">
        <f>+J32</f>
        <v>587.37112299465252</v>
      </c>
      <c r="J32" s="311">
        <f>+K6</f>
        <v>587.37112299465252</v>
      </c>
      <c r="K32" s="74">
        <f>+K7*5</f>
        <v>117.4742245989305</v>
      </c>
      <c r="L32" s="404"/>
      <c r="M32" s="37"/>
      <c r="N32" s="19"/>
      <c r="O32" s="19"/>
      <c r="P32" s="19"/>
      <c r="Q32" s="19"/>
      <c r="R32" s="19"/>
      <c r="S32" s="37"/>
      <c r="T32" s="37"/>
      <c r="U32" s="37"/>
      <c r="W32" s="19"/>
      <c r="AC32" s="396"/>
      <c r="AD32" s="396"/>
      <c r="AE32" s="396"/>
      <c r="AF32" s="396"/>
      <c r="AG32" s="396"/>
      <c r="AH32" s="396"/>
      <c r="AI32" s="396"/>
      <c r="AJ32" s="396"/>
      <c r="AK32" s="396"/>
      <c r="AL32" s="396"/>
      <c r="AM32" s="396"/>
      <c r="AN32" s="396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</row>
    <row r="33" spans="1:139" ht="15.75" thickBot="1" x14ac:dyDescent="0.3">
      <c r="A33" s="37"/>
      <c r="B33" s="487" t="s">
        <v>128</v>
      </c>
      <c r="C33" s="73" t="s">
        <v>129</v>
      </c>
      <c r="D33" s="369" t="s">
        <v>47</v>
      </c>
      <c r="E33" s="206">
        <f t="shared" ref="E33" si="4">4.18*(1-0.006*E31)</f>
        <v>2.0682640000000001</v>
      </c>
      <c r="F33" s="311">
        <f>4.18*(1-0.006*F31)</f>
        <v>2.5372599999999998</v>
      </c>
      <c r="G33" s="311">
        <f>4.18*(1-0.006*G31)</f>
        <v>3.0137799999999997</v>
      </c>
      <c r="H33" s="148">
        <f>4.18*(1-0.006*H31)</f>
        <v>3.4902999999999995</v>
      </c>
      <c r="I33" s="148">
        <f>4.18*(1-0.006*I31)</f>
        <v>3.7410999999999999</v>
      </c>
      <c r="J33" s="148">
        <f t="shared" ref="J33:K33" si="5">4.18*(1-0.006*J31)</f>
        <v>3.7536399999999999</v>
      </c>
      <c r="K33" s="149">
        <f t="shared" si="5"/>
        <v>3.7410999999999999</v>
      </c>
      <c r="L33" s="404"/>
      <c r="M33" s="37"/>
      <c r="N33" s="858" t="s">
        <v>517</v>
      </c>
      <c r="O33" s="859"/>
      <c r="P33" s="332" t="s">
        <v>68</v>
      </c>
      <c r="Q33" s="354">
        <f>+SUM(E41:K41)</f>
        <v>345.98172420883088</v>
      </c>
      <c r="R33" s="333" t="s">
        <v>19</v>
      </c>
      <c r="S33" s="37"/>
      <c r="T33" s="37"/>
      <c r="U33" s="37"/>
      <c r="W33" s="19"/>
      <c r="AC33" s="396"/>
      <c r="AD33" s="396"/>
      <c r="AE33" s="396"/>
      <c r="AF33" s="396"/>
      <c r="AG33" s="396"/>
      <c r="AH33" s="396"/>
      <c r="AI33" s="396"/>
      <c r="AJ33" s="396"/>
      <c r="AK33" s="396"/>
      <c r="AL33" s="396"/>
      <c r="AM33" s="396"/>
      <c r="AN33" s="396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</row>
    <row r="34" spans="1:139" x14ac:dyDescent="0.25">
      <c r="A34" s="37"/>
      <c r="B34" s="487" t="s">
        <v>472</v>
      </c>
      <c r="C34" s="310" t="s">
        <v>471</v>
      </c>
      <c r="D34" s="592" t="s">
        <v>51</v>
      </c>
      <c r="E34" s="674">
        <f t="shared" ref="E34" si="6">997.39+4.46*E31</f>
        <v>1372.922</v>
      </c>
      <c r="F34" s="163">
        <f>997.39+4.46*F31</f>
        <v>1289.52</v>
      </c>
      <c r="G34" s="163">
        <f>997.39+4.46*G31</f>
        <v>1204.78</v>
      </c>
      <c r="H34" s="163">
        <f>997.39+4.46*H31</f>
        <v>1120.04</v>
      </c>
      <c r="I34" s="163">
        <f>997.39+4.46*I31</f>
        <v>1075.44</v>
      </c>
      <c r="J34" s="163">
        <f t="shared" ref="J34:K34" si="7">997.39+4.46*J31</f>
        <v>1073.21</v>
      </c>
      <c r="K34" s="309">
        <f t="shared" si="7"/>
        <v>1075.44</v>
      </c>
      <c r="L34" s="404"/>
      <c r="M34" s="37"/>
      <c r="N34" s="19"/>
      <c r="O34" s="19"/>
      <c r="P34" s="19"/>
      <c r="Q34" s="37"/>
      <c r="R34" s="19"/>
      <c r="S34" s="37"/>
      <c r="T34" s="37"/>
      <c r="U34" s="37"/>
      <c r="W34" s="19"/>
      <c r="AC34" s="396"/>
      <c r="AD34" s="396"/>
      <c r="AE34" s="396"/>
      <c r="AF34" s="396"/>
      <c r="AG34" s="396"/>
      <c r="AH34" s="396"/>
      <c r="AI34" s="396"/>
      <c r="AJ34" s="396"/>
      <c r="AK34" s="396"/>
      <c r="AL34" s="396"/>
      <c r="AM34" s="396"/>
      <c r="AN34" s="396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</row>
    <row r="35" spans="1:139" ht="15.75" thickBot="1" x14ac:dyDescent="0.3">
      <c r="A35" s="37"/>
      <c r="B35" s="308" t="s">
        <v>450</v>
      </c>
      <c r="C35" s="307" t="s">
        <v>470</v>
      </c>
      <c r="D35" s="593" t="s">
        <v>469</v>
      </c>
      <c r="E35" s="675">
        <f t="shared" ref="E35" si="8">+E32/E34</f>
        <v>4.6547420889036802E-2</v>
      </c>
      <c r="F35" s="161">
        <f>+F32/F34</f>
        <v>0.13274453073448048</v>
      </c>
      <c r="G35" s="161">
        <f>+G32/G34</f>
        <v>0.2150419910077275</v>
      </c>
      <c r="H35" s="161">
        <f>+H32/H34</f>
        <v>0.47547392787919912</v>
      </c>
      <c r="I35" s="161">
        <f>+I32/I34</f>
        <v>0.54616819440847697</v>
      </c>
      <c r="J35" s="161">
        <f t="shared" ref="J35:K35" si="9">+J32/J34</f>
        <v>0.54730306556466346</v>
      </c>
      <c r="K35" s="162">
        <f t="shared" si="9"/>
        <v>0.10923363888169539</v>
      </c>
      <c r="L35" s="404"/>
      <c r="M35" s="37"/>
      <c r="N35" s="19"/>
      <c r="O35" s="19"/>
      <c r="P35" s="19"/>
      <c r="Q35" s="37"/>
      <c r="R35" s="37"/>
      <c r="S35" s="37"/>
      <c r="T35" s="37"/>
      <c r="U35" s="37"/>
      <c r="W35" s="19"/>
      <c r="AC35" s="396"/>
      <c r="AD35" s="396"/>
      <c r="AE35" s="396"/>
      <c r="AF35" s="396"/>
      <c r="AG35" s="396"/>
      <c r="AH35" s="396"/>
      <c r="AI35" s="396"/>
      <c r="AJ35" s="396"/>
      <c r="AK35" s="396"/>
      <c r="AL35" s="396"/>
      <c r="AM35" s="396"/>
      <c r="AN35" s="396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</row>
    <row r="36" spans="1:139" ht="15.75" thickBot="1" x14ac:dyDescent="0.3">
      <c r="A36" s="37"/>
      <c r="B36" s="77" t="s">
        <v>450</v>
      </c>
      <c r="C36" s="78" t="s">
        <v>468</v>
      </c>
      <c r="D36" s="594" t="s">
        <v>451</v>
      </c>
      <c r="E36" s="676">
        <f t="shared" ref="E36" si="10">+E35*1000</f>
        <v>46.5474208890368</v>
      </c>
      <c r="F36" s="366">
        <f>+F35*1000</f>
        <v>132.74453073448046</v>
      </c>
      <c r="G36" s="366">
        <f>+G35*1000</f>
        <v>215.04199100772749</v>
      </c>
      <c r="H36" s="366">
        <f>+H35*1000</f>
        <v>475.4739278791991</v>
      </c>
      <c r="I36" s="366">
        <f>+I35*1000</f>
        <v>546.16819440847701</v>
      </c>
      <c r="J36" s="366">
        <f t="shared" ref="J36:K36" si="11">+J35*1000</f>
        <v>547.30306556466348</v>
      </c>
      <c r="K36" s="367">
        <f t="shared" si="11"/>
        <v>109.23363888169538</v>
      </c>
      <c r="L36" s="404"/>
      <c r="M36" s="37"/>
      <c r="N36" s="19"/>
      <c r="O36" s="19"/>
      <c r="P36" s="19"/>
      <c r="Q36" s="37"/>
      <c r="R36" s="19"/>
      <c r="S36" s="37"/>
      <c r="T36" s="37"/>
      <c r="U36" s="37"/>
      <c r="W36" s="19"/>
      <c r="X36" s="19"/>
      <c r="Y36" s="19"/>
      <c r="Z36" s="246"/>
      <c r="AA36" s="19"/>
      <c r="AB36" s="19"/>
      <c r="AC36" s="396"/>
      <c r="AD36" s="396"/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</row>
    <row r="37" spans="1:139" x14ac:dyDescent="0.25">
      <c r="A37" s="37"/>
      <c r="B37" s="487" t="s">
        <v>467</v>
      </c>
      <c r="C37" s="73" t="s">
        <v>130</v>
      </c>
      <c r="D37" s="369" t="s">
        <v>131</v>
      </c>
      <c r="E37" s="206">
        <f>+D9</f>
        <v>17</v>
      </c>
      <c r="F37" s="148">
        <f>$D$22+0.2209*EXP(0.0557*F29)</f>
        <v>104.01781427461815</v>
      </c>
      <c r="G37" s="148">
        <f>$D$22+0.2209*EXP(0.0557*G29)</f>
        <v>100.75396476975449</v>
      </c>
      <c r="H37" s="148">
        <f t="shared" ref="H37" si="12">$D$22+0.2209*EXP(0.0557*H29)</f>
        <v>99.621261184486215</v>
      </c>
      <c r="I37" s="148">
        <f>+J38</f>
        <v>60</v>
      </c>
      <c r="J37" s="148">
        <f>+D19</f>
        <v>30</v>
      </c>
      <c r="K37" s="149">
        <f>+D19</f>
        <v>30</v>
      </c>
      <c r="L37" s="404"/>
      <c r="M37" s="37"/>
      <c r="N37" s="19"/>
      <c r="O37" s="19"/>
      <c r="P37" s="19"/>
      <c r="Q37" s="37"/>
      <c r="R37" s="37"/>
      <c r="S37" s="37"/>
      <c r="T37" s="37"/>
      <c r="U37" s="37"/>
      <c r="W37" s="19"/>
      <c r="X37" s="19"/>
      <c r="Y37" s="19"/>
      <c r="Z37" s="246"/>
      <c r="AA37" s="19"/>
      <c r="AB37" s="19"/>
      <c r="AC37" s="396"/>
      <c r="AD37" s="396"/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</row>
    <row r="38" spans="1:139" x14ac:dyDescent="0.25">
      <c r="A38" s="37"/>
      <c r="B38" s="487" t="s">
        <v>466</v>
      </c>
      <c r="C38" s="73" t="s">
        <v>130</v>
      </c>
      <c r="D38" s="369" t="s">
        <v>131</v>
      </c>
      <c r="E38" s="206">
        <f>$D$22+0.2209*EXP(0.0557*E30)</f>
        <v>139.15768364037788</v>
      </c>
      <c r="F38" s="148">
        <f>$D$22+0.2209*EXP(0.0557*F30)</f>
        <v>113.42249324707475</v>
      </c>
      <c r="G38" s="148">
        <f>$D$22+0.2209*EXP(0.0557*G30)</f>
        <v>104.01781427461815</v>
      </c>
      <c r="H38" s="148">
        <f>$D$22+0.2209*EXP(0.0557*H30)</f>
        <v>100.75396476975449</v>
      </c>
      <c r="I38" s="148">
        <f>$D$22+0.2209*EXP(0.0557*I30)</f>
        <v>99.621261184486215</v>
      </c>
      <c r="J38" s="148">
        <v>60</v>
      </c>
      <c r="K38" s="149">
        <f t="shared" ref="K38" si="13">$D$22+0.2209*EXP(0.0557*K30)</f>
        <v>99.621261184486215</v>
      </c>
      <c r="L38" s="404"/>
      <c r="M38" s="37"/>
      <c r="N38" s="19"/>
      <c r="O38" s="19"/>
      <c r="P38" s="19"/>
      <c r="Q38" s="37"/>
      <c r="R38" s="37"/>
      <c r="S38" s="37"/>
      <c r="T38" s="37"/>
      <c r="U38" s="37"/>
      <c r="W38" s="19"/>
      <c r="X38" s="19"/>
      <c r="Y38" s="19"/>
      <c r="Z38" s="246"/>
      <c r="AA38" s="19"/>
      <c r="AB38" s="19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</row>
    <row r="39" spans="1:139" x14ac:dyDescent="0.25">
      <c r="A39" s="37"/>
      <c r="B39" s="487" t="s">
        <v>132</v>
      </c>
      <c r="C39" s="75" t="s">
        <v>133</v>
      </c>
      <c r="D39" s="369" t="s">
        <v>33</v>
      </c>
      <c r="E39" s="206">
        <f t="shared" ref="E39" si="14">2492.9-2.0523*E37-0.0030752*E37^2</f>
        <v>2457.1221672000001</v>
      </c>
      <c r="F39" s="148">
        <f>2492.9-2.0523*F37-0.0030752*F37^2</f>
        <v>2246.1514808371721</v>
      </c>
      <c r="G39" s="148">
        <f>2492.9-2.0523*G37-0.0030752*G37^2</f>
        <v>2254.9051714740126</v>
      </c>
      <c r="H39" s="148">
        <f>2492.9-2.0523*H37-0.0030752*H37^2</f>
        <v>2257.927784075981</v>
      </c>
      <c r="I39" s="148">
        <f>2492.9-2.0523*I37-0.0030752*I37^2</f>
        <v>2358.69128</v>
      </c>
      <c r="J39" s="148">
        <f t="shared" ref="J39:K39" si="15">2492.9-2.0523*J37-0.0030752*J37^2</f>
        <v>2428.5633200000002</v>
      </c>
      <c r="K39" s="149">
        <f t="shared" si="15"/>
        <v>2428.5633200000002</v>
      </c>
      <c r="L39" s="404"/>
      <c r="M39" s="37"/>
      <c r="N39" s="19"/>
      <c r="O39" s="19"/>
      <c r="P39" s="19"/>
      <c r="Q39" s="37"/>
      <c r="R39" s="19"/>
      <c r="S39" s="37"/>
      <c r="T39" s="37"/>
      <c r="U39" s="37"/>
      <c r="W39" s="19"/>
      <c r="X39" s="19"/>
      <c r="Y39" s="19"/>
      <c r="Z39" s="246"/>
      <c r="AA39" s="19"/>
      <c r="AB39" s="19"/>
      <c r="AC39" s="396"/>
      <c r="AD39" s="396"/>
      <c r="AE39" s="396"/>
      <c r="AF39" s="396"/>
      <c r="AG39" s="396"/>
      <c r="AH39" s="396"/>
      <c r="AI39" s="396"/>
      <c r="AJ39" s="396"/>
      <c r="AK39" s="396"/>
      <c r="AL39" s="396"/>
      <c r="AM39" s="396"/>
      <c r="AN39" s="396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</row>
    <row r="40" spans="1:139" ht="15.75" thickBot="1" x14ac:dyDescent="0.3">
      <c r="A40" s="37"/>
      <c r="B40" s="491" t="s">
        <v>134</v>
      </c>
      <c r="C40" s="76" t="s">
        <v>135</v>
      </c>
      <c r="D40" s="370" t="s">
        <v>38</v>
      </c>
      <c r="E40" s="677">
        <f>+E32-(E32*E29/E30)</f>
        <v>12.589614545454552</v>
      </c>
      <c r="F40" s="124">
        <f>+F32-(F32*F29/F30)</f>
        <v>43.364770909090907</v>
      </c>
      <c r="G40" s="124">
        <f>+G32-(G32*G29/G30)</f>
        <v>87.90156265356265</v>
      </c>
      <c r="H40" s="124">
        <f t="shared" ref="H40:I40" si="16">+H32-(H32*H29/H30)</f>
        <v>273.47152825552826</v>
      </c>
      <c r="I40" s="124">
        <f t="shared" si="16"/>
        <v>32.631729055258461</v>
      </c>
      <c r="J40" s="124">
        <f t="shared" ref="J40:K40" si="17">+J32-(J32*J29/J30)</f>
        <v>0</v>
      </c>
      <c r="K40" s="304">
        <f t="shared" si="17"/>
        <v>6.5263458110516979</v>
      </c>
      <c r="L40" s="404"/>
      <c r="M40" s="356"/>
      <c r="N40" s="355"/>
      <c r="O40" s="37"/>
      <c r="P40" s="37"/>
      <c r="Q40" s="37"/>
      <c r="R40" s="37"/>
      <c r="S40" s="37"/>
      <c r="T40" s="37"/>
      <c r="U40" s="37"/>
      <c r="W40" s="19"/>
      <c r="X40" s="19"/>
      <c r="Y40" s="19"/>
      <c r="Z40" s="246"/>
      <c r="AA40" s="19"/>
      <c r="AB40" s="19"/>
      <c r="AC40" s="396"/>
      <c r="AD40" s="396"/>
      <c r="AE40" s="396"/>
      <c r="AF40" s="396"/>
      <c r="AG40" s="396"/>
      <c r="AH40" s="396"/>
      <c r="AI40" s="396"/>
      <c r="AJ40" s="396"/>
      <c r="AK40" s="396"/>
      <c r="AL40" s="396"/>
      <c r="AM40" s="396"/>
      <c r="AN40" s="396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</row>
    <row r="41" spans="1:139" ht="15.75" thickBot="1" x14ac:dyDescent="0.3">
      <c r="A41" s="37"/>
      <c r="B41" s="77" t="s">
        <v>136</v>
      </c>
      <c r="C41" s="78" t="s">
        <v>137</v>
      </c>
      <c r="D41" s="594" t="s">
        <v>19</v>
      </c>
      <c r="E41" s="77">
        <f t="shared" ref="E41" si="18">(E32*E33*(E38- E37)+E40*E39)/3600</f>
        <v>13.077873243659003</v>
      </c>
      <c r="F41" s="720">
        <f>(F32*F33*(F38- F37)+F40*F39)/3600</f>
        <v>28.191245354686608</v>
      </c>
      <c r="G41" s="78">
        <f>(G32*G33*(G38- G37)+G40*G39)/3600</f>
        <v>55.766143921769839</v>
      </c>
      <c r="H41" s="78">
        <f>(H32*H33*(H38- H37)+H40*H39)/3600</f>
        <v>172.1067734351887</v>
      </c>
      <c r="I41" s="78">
        <f>(I32*I33*(I38- I37)+I40*I39)/3600</f>
        <v>45.564581413007289</v>
      </c>
      <c r="J41" s="78">
        <f t="shared" ref="J41:K41" si="19">(J32*J33*(J38- J37)+J40*J39)/3600</f>
        <v>18.373164517647059</v>
      </c>
      <c r="K41" s="79">
        <f t="shared" si="19"/>
        <v>12.901942322872406</v>
      </c>
      <c r="L41" s="404"/>
      <c r="M41" s="19">
        <f>+SUM(E41:K41)</f>
        <v>345.98172420883088</v>
      </c>
      <c r="N41" s="19"/>
      <c r="O41" s="19"/>
      <c r="P41" s="19"/>
      <c r="Q41" s="37"/>
      <c r="R41" s="19"/>
      <c r="S41" s="37"/>
      <c r="T41" s="37"/>
      <c r="U41" s="37"/>
      <c r="W41" s="19"/>
      <c r="X41" s="19"/>
      <c r="Y41" s="19"/>
      <c r="Z41" s="246"/>
      <c r="AA41" s="19"/>
      <c r="AB41" s="19"/>
      <c r="AC41" s="396"/>
      <c r="AD41" s="396"/>
      <c r="AE41" s="396"/>
      <c r="AF41" s="396"/>
      <c r="AG41" s="396"/>
      <c r="AH41" s="396"/>
      <c r="AI41" s="396"/>
      <c r="AJ41" s="396"/>
      <c r="AK41" s="396"/>
      <c r="AL41" s="396"/>
      <c r="AM41" s="396"/>
      <c r="AN41" s="396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</row>
    <row r="42" spans="1:139" ht="15.75" thickBot="1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W42" s="19"/>
      <c r="X42" s="19"/>
      <c r="Y42" s="19"/>
      <c r="Z42" s="246"/>
      <c r="AA42" s="19"/>
      <c r="AB42" s="19"/>
      <c r="AC42" s="396"/>
      <c r="AD42" s="396"/>
      <c r="AE42" s="396"/>
      <c r="AF42" s="396"/>
      <c r="AG42" s="396"/>
      <c r="AH42" s="396"/>
      <c r="AI42" s="396"/>
      <c r="AJ42" s="396"/>
      <c r="AK42" s="396"/>
      <c r="AL42" s="396"/>
      <c r="AM42" s="396"/>
      <c r="AN42" s="396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</row>
    <row r="43" spans="1:139" ht="15.75" thickBot="1" x14ac:dyDescent="0.3">
      <c r="A43" s="919" t="s">
        <v>515</v>
      </c>
      <c r="B43" s="920"/>
      <c r="C43" s="920"/>
      <c r="D43" s="920"/>
      <c r="E43" s="920"/>
      <c r="F43" s="920"/>
      <c r="G43" s="920"/>
      <c r="H43" s="920"/>
      <c r="I43" s="920"/>
      <c r="J43" s="920"/>
      <c r="K43" s="920"/>
      <c r="L43" s="920"/>
      <c r="M43" s="920"/>
      <c r="N43" s="920"/>
      <c r="O43" s="920"/>
      <c r="P43" s="920"/>
      <c r="Q43" s="920"/>
      <c r="R43" s="920"/>
      <c r="S43" s="920"/>
      <c r="T43" s="920"/>
      <c r="U43" s="921"/>
      <c r="W43" s="19"/>
      <c r="X43" s="19"/>
      <c r="Y43" s="19"/>
      <c r="Z43" s="246"/>
      <c r="AA43" s="19"/>
      <c r="AB43" s="19"/>
      <c r="AC43" s="396"/>
      <c r="AD43" s="396"/>
      <c r="AE43" s="396"/>
      <c r="AF43" s="396"/>
      <c r="AG43" s="396"/>
      <c r="AH43" s="396"/>
      <c r="AI43" s="396"/>
      <c r="AJ43" s="396"/>
      <c r="AK43" s="396"/>
      <c r="AL43" s="396"/>
      <c r="AM43" s="396"/>
      <c r="AN43" s="396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</row>
    <row r="44" spans="1:139" ht="15.75" thickBot="1" x14ac:dyDescent="0.3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109"/>
      <c r="L44" s="109"/>
      <c r="M44" s="37"/>
      <c r="N44" s="37"/>
      <c r="O44" s="37"/>
      <c r="P44" s="37"/>
      <c r="Q44" s="37"/>
      <c r="R44" s="37"/>
      <c r="S44" s="37"/>
      <c r="T44" s="37"/>
      <c r="U44" s="37"/>
      <c r="W44" s="19"/>
      <c r="X44" s="19"/>
      <c r="Y44" s="19"/>
      <c r="Z44" s="246"/>
      <c r="AA44" s="19"/>
      <c r="AB44" s="19"/>
      <c r="AC44" s="396"/>
      <c r="AD44" s="396"/>
      <c r="AE44" s="396"/>
      <c r="AF44" s="396"/>
      <c r="AG44" s="396"/>
      <c r="AH44" s="396"/>
      <c r="AI44" s="396"/>
      <c r="AJ44" s="396"/>
      <c r="AK44" s="396"/>
      <c r="AL44" s="396"/>
      <c r="AM44" s="396"/>
      <c r="AN44" s="396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</row>
    <row r="45" spans="1:139" ht="15" customHeight="1" x14ac:dyDescent="0.25">
      <c r="A45" s="37"/>
      <c r="B45" s="357" t="s">
        <v>78</v>
      </c>
      <c r="C45" s="337" t="s">
        <v>79</v>
      </c>
      <c r="D45" s="358" t="s">
        <v>43</v>
      </c>
      <c r="E45" s="718">
        <v>1</v>
      </c>
      <c r="F45" s="719">
        <v>2</v>
      </c>
      <c r="G45" s="719">
        <v>3</v>
      </c>
      <c r="H45" s="719">
        <v>4</v>
      </c>
      <c r="I45" s="719">
        <v>5</v>
      </c>
      <c r="J45" s="719">
        <v>6</v>
      </c>
      <c r="K45" s="484">
        <v>7</v>
      </c>
      <c r="L45" s="37"/>
      <c r="M45" s="37"/>
      <c r="N45" s="37"/>
      <c r="O45" s="37"/>
      <c r="P45" s="37"/>
      <c r="Q45" s="37"/>
      <c r="R45" s="37"/>
      <c r="S45" s="37"/>
      <c r="T45" s="37"/>
      <c r="U45" s="37"/>
      <c r="W45" s="19"/>
      <c r="X45" s="19"/>
      <c r="Y45" s="19"/>
      <c r="Z45" s="246"/>
      <c r="AA45" s="19"/>
      <c r="AB45" s="19"/>
      <c r="AC45" s="396"/>
      <c r="AD45" s="396"/>
      <c r="AE45" s="396"/>
      <c r="AF45" s="396"/>
      <c r="AG45" s="396"/>
      <c r="AH45" s="396"/>
      <c r="AI45" s="396"/>
      <c r="AJ45" s="396"/>
      <c r="AK45" s="396"/>
      <c r="AL45" s="396"/>
      <c r="AM45" s="396"/>
      <c r="AN45" s="396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</row>
    <row r="46" spans="1:139" ht="15" customHeight="1" x14ac:dyDescent="0.25">
      <c r="A46" s="37"/>
      <c r="B46" s="338" t="s">
        <v>80</v>
      </c>
      <c r="C46" s="323" t="s">
        <v>81</v>
      </c>
      <c r="D46" s="359" t="s">
        <v>43</v>
      </c>
      <c r="E46" s="713">
        <v>6</v>
      </c>
      <c r="F46" s="714">
        <v>5</v>
      </c>
      <c r="G46" s="714">
        <v>4</v>
      </c>
      <c r="H46" s="714">
        <v>3</v>
      </c>
      <c r="I46" s="714">
        <v>2</v>
      </c>
      <c r="J46" s="714">
        <v>1</v>
      </c>
      <c r="K46" s="715" t="s">
        <v>753</v>
      </c>
      <c r="L46" s="37"/>
      <c r="M46" s="37"/>
      <c r="N46" s="37"/>
      <c r="O46" s="37"/>
      <c r="P46" s="37"/>
      <c r="Q46" s="37"/>
      <c r="R46" s="37"/>
      <c r="S46" s="37"/>
      <c r="T46" s="37"/>
      <c r="U46" s="37"/>
      <c r="W46" s="19"/>
      <c r="X46" s="19"/>
      <c r="Y46" s="19"/>
      <c r="Z46" s="246"/>
      <c r="AA46" s="19"/>
      <c r="AB46" s="19"/>
      <c r="AC46" s="396"/>
      <c r="AD46" s="396"/>
      <c r="AE46" s="396"/>
      <c r="AF46" s="396"/>
      <c r="AG46" s="396"/>
      <c r="AH46" s="396"/>
      <c r="AI46" s="396"/>
      <c r="AJ46" s="396"/>
      <c r="AK46" s="396"/>
      <c r="AL46" s="396"/>
      <c r="AM46" s="396"/>
      <c r="AN46" s="396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</row>
    <row r="47" spans="1:139" ht="15" customHeight="1" thickBot="1" x14ac:dyDescent="0.3">
      <c r="A47" s="37"/>
      <c r="B47" s="360" t="s">
        <v>82</v>
      </c>
      <c r="C47" s="325" t="s">
        <v>83</v>
      </c>
      <c r="D47" s="361" t="s">
        <v>43</v>
      </c>
      <c r="E47" s="716" t="str">
        <f t="shared" ref="E47:K47" si="20">+E27</f>
        <v>Semiesferica</v>
      </c>
      <c r="F47" s="717" t="str">
        <f t="shared" si="20"/>
        <v>Semiesferica</v>
      </c>
      <c r="G47" s="717" t="str">
        <f t="shared" si="20"/>
        <v>Semiesferica</v>
      </c>
      <c r="H47" s="717" t="str">
        <f t="shared" si="20"/>
        <v>Semicilindrica</v>
      </c>
      <c r="I47" s="717" t="str">
        <f t="shared" si="20"/>
        <v>Pirotubular</v>
      </c>
      <c r="J47" s="717" t="str">
        <f t="shared" si="20"/>
        <v>Plana</v>
      </c>
      <c r="K47" s="365" t="str">
        <f t="shared" si="20"/>
        <v>Plana A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W47" s="246"/>
      <c r="X47" s="246"/>
      <c r="Y47" s="246"/>
      <c r="Z47" s="246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</row>
    <row r="48" spans="1:139" ht="15" customHeight="1" x14ac:dyDescent="0.25">
      <c r="A48" s="37"/>
      <c r="B48" s="362" t="s">
        <v>84</v>
      </c>
      <c r="C48" s="363" t="s">
        <v>85</v>
      </c>
      <c r="D48" s="364" t="s">
        <v>60</v>
      </c>
      <c r="E48" s="443">
        <v>0.4</v>
      </c>
      <c r="F48" s="444">
        <v>0.5</v>
      </c>
      <c r="G48" s="444">
        <v>0.5</v>
      </c>
      <c r="H48" s="445">
        <v>0.3</v>
      </c>
      <c r="I48" s="445">
        <v>0.3</v>
      </c>
      <c r="J48" s="445">
        <v>0.3</v>
      </c>
      <c r="K48" s="680">
        <v>0.3</v>
      </c>
      <c r="L48" s="37"/>
      <c r="M48" s="37"/>
      <c r="N48" s="37"/>
      <c r="O48" s="37"/>
      <c r="P48" s="37"/>
      <c r="Q48" s="37"/>
      <c r="R48" s="37"/>
      <c r="S48" s="37"/>
      <c r="T48" s="37"/>
      <c r="U48" s="37"/>
      <c r="W48" s="246"/>
      <c r="X48" s="246"/>
      <c r="Y48" s="246"/>
      <c r="Z48" s="246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</row>
    <row r="49" spans="1:139" ht="15" customHeight="1" x14ac:dyDescent="0.25">
      <c r="A49" s="37"/>
      <c r="B49" s="338" t="s">
        <v>86</v>
      </c>
      <c r="C49" s="323" t="s">
        <v>87</v>
      </c>
      <c r="D49" s="359" t="s">
        <v>60</v>
      </c>
      <c r="E49" s="446">
        <v>1.2</v>
      </c>
      <c r="F49" s="447">
        <v>1.2</v>
      </c>
      <c r="G49" s="447">
        <v>1.2</v>
      </c>
      <c r="H49" s="448">
        <v>0.8</v>
      </c>
      <c r="I49" s="448">
        <v>0.8</v>
      </c>
      <c r="J49" s="448">
        <v>0.8</v>
      </c>
      <c r="K49" s="681">
        <v>0.8</v>
      </c>
      <c r="L49" s="37"/>
      <c r="M49" s="37"/>
      <c r="N49" s="37"/>
      <c r="O49" s="37"/>
      <c r="P49" s="37"/>
      <c r="Q49" s="37"/>
      <c r="R49" s="37"/>
      <c r="S49" s="37"/>
      <c r="T49" s="37"/>
      <c r="U49" s="37"/>
      <c r="W49" s="246"/>
      <c r="X49" s="246"/>
      <c r="Y49" s="246"/>
      <c r="Z49" s="246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</row>
    <row r="50" spans="1:139" ht="15" customHeight="1" x14ac:dyDescent="0.25">
      <c r="A50" s="37"/>
      <c r="B50" s="338" t="s">
        <v>88</v>
      </c>
      <c r="C50" s="323" t="s">
        <v>89</v>
      </c>
      <c r="D50" s="359" t="s">
        <v>60</v>
      </c>
      <c r="E50" s="446">
        <v>0.5</v>
      </c>
      <c r="F50" s="447">
        <v>0.5</v>
      </c>
      <c r="G50" s="447">
        <v>0.5</v>
      </c>
      <c r="H50" s="448">
        <v>0.3</v>
      </c>
      <c r="I50" s="448">
        <v>0.3</v>
      </c>
      <c r="J50" s="448">
        <v>0.3</v>
      </c>
      <c r="K50" s="681">
        <v>0.3</v>
      </c>
      <c r="L50" s="37"/>
      <c r="M50" s="37"/>
      <c r="N50" s="37"/>
      <c r="O50" s="37"/>
      <c r="P50" s="37"/>
      <c r="Q50" s="37"/>
      <c r="R50" s="37"/>
      <c r="S50" s="37"/>
      <c r="T50" s="37"/>
      <c r="U50" s="37"/>
      <c r="W50" s="246"/>
      <c r="X50" s="246"/>
      <c r="Y50" s="246"/>
      <c r="Z50" s="246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</row>
    <row r="51" spans="1:139" ht="15" customHeight="1" x14ac:dyDescent="0.25">
      <c r="A51" s="37"/>
      <c r="B51" s="338" t="s">
        <v>90</v>
      </c>
      <c r="C51" s="323" t="s">
        <v>91</v>
      </c>
      <c r="D51" s="359" t="s">
        <v>119</v>
      </c>
      <c r="E51" s="446">
        <v>68</v>
      </c>
      <c r="F51" s="447">
        <v>68</v>
      </c>
      <c r="G51" s="447">
        <v>68</v>
      </c>
      <c r="H51" s="447">
        <v>68</v>
      </c>
      <c r="I51" s="447">
        <v>68</v>
      </c>
      <c r="J51" s="447">
        <v>68</v>
      </c>
      <c r="K51" s="682">
        <v>68</v>
      </c>
      <c r="L51" s="37"/>
      <c r="M51" s="37"/>
      <c r="N51" s="37"/>
      <c r="O51" s="37"/>
      <c r="P51" s="37"/>
      <c r="Q51" s="37"/>
      <c r="R51" s="37"/>
      <c r="S51" s="37"/>
      <c r="T51" s="37"/>
      <c r="U51" s="37"/>
      <c r="W51" s="246"/>
      <c r="X51" s="246"/>
      <c r="Y51" s="246"/>
      <c r="Z51" s="246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</row>
    <row r="52" spans="1:139" x14ac:dyDescent="0.25">
      <c r="A52" s="37"/>
      <c r="B52" s="338" t="s">
        <v>92</v>
      </c>
      <c r="C52" s="323" t="s">
        <v>93</v>
      </c>
      <c r="D52" s="359" t="s">
        <v>60</v>
      </c>
      <c r="E52" s="446">
        <v>1.5</v>
      </c>
      <c r="F52" s="447">
        <v>1.2</v>
      </c>
      <c r="G52" s="447">
        <v>1.2</v>
      </c>
      <c r="H52" s="448">
        <v>0.8</v>
      </c>
      <c r="I52" s="448">
        <v>0.8</v>
      </c>
      <c r="J52" s="448">
        <v>0.8</v>
      </c>
      <c r="K52" s="681">
        <v>0.8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W52" s="246"/>
      <c r="X52" s="246"/>
      <c r="Y52" s="246"/>
      <c r="Z52" s="246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</row>
    <row r="53" spans="1:139" x14ac:dyDescent="0.25">
      <c r="A53" s="37"/>
      <c r="B53" s="338" t="s">
        <v>94</v>
      </c>
      <c r="C53" s="323" t="s">
        <v>95</v>
      </c>
      <c r="D53" s="359" t="s">
        <v>120</v>
      </c>
      <c r="E53" s="446" t="s">
        <v>96</v>
      </c>
      <c r="F53" s="447" t="s">
        <v>96</v>
      </c>
      <c r="G53" s="447" t="s">
        <v>96</v>
      </c>
      <c r="H53" s="447" t="s">
        <v>96</v>
      </c>
      <c r="I53" s="447" t="s">
        <v>96</v>
      </c>
      <c r="J53" s="447" t="s">
        <v>96</v>
      </c>
      <c r="K53" s="682" t="s">
        <v>96</v>
      </c>
      <c r="L53" s="37"/>
      <c r="M53" s="37"/>
      <c r="N53" s="37"/>
      <c r="O53" s="37"/>
      <c r="P53" s="37"/>
      <c r="Q53" s="37"/>
      <c r="R53" s="37"/>
      <c r="S53" s="37"/>
      <c r="T53" s="37"/>
      <c r="U53" s="37"/>
      <c r="W53" s="246"/>
      <c r="X53" s="394"/>
      <c r="Y53" s="394"/>
      <c r="Z53" s="394"/>
      <c r="AA53" s="394"/>
      <c r="AB53" s="394"/>
      <c r="AD53" s="394"/>
      <c r="AE53" s="394"/>
      <c r="AF53" s="394"/>
      <c r="AG53" s="394"/>
      <c r="AH53" s="394"/>
      <c r="AI53" s="394"/>
      <c r="AJ53" s="394"/>
      <c r="AK53" s="394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</row>
    <row r="54" spans="1:139" x14ac:dyDescent="0.25">
      <c r="A54" s="37"/>
      <c r="B54" s="338" t="s">
        <v>97</v>
      </c>
      <c r="C54" s="323" t="s">
        <v>98</v>
      </c>
      <c r="D54" s="359" t="s">
        <v>120</v>
      </c>
      <c r="E54" s="446" t="s">
        <v>520</v>
      </c>
      <c r="F54" s="447" t="s">
        <v>520</v>
      </c>
      <c r="G54" s="447" t="s">
        <v>520</v>
      </c>
      <c r="H54" s="447" t="s">
        <v>520</v>
      </c>
      <c r="I54" s="447" t="s">
        <v>520</v>
      </c>
      <c r="J54" s="447" t="s">
        <v>520</v>
      </c>
      <c r="K54" s="682" t="s">
        <v>520</v>
      </c>
      <c r="L54" s="37"/>
      <c r="M54" s="37"/>
      <c r="N54" s="37"/>
      <c r="O54" s="37"/>
      <c r="P54" s="37"/>
      <c r="Q54" s="37"/>
      <c r="R54" s="37"/>
      <c r="S54" s="37"/>
      <c r="T54" s="37"/>
      <c r="U54" s="37"/>
      <c r="W54" s="19"/>
      <c r="X54" s="394"/>
      <c r="Y54" s="394"/>
      <c r="Z54" s="394"/>
      <c r="AA54" s="394"/>
      <c r="AB54" s="394"/>
      <c r="AC54" s="394"/>
      <c r="AD54" s="394"/>
      <c r="AE54" s="394"/>
      <c r="AF54" s="394"/>
      <c r="AG54" s="394"/>
      <c r="AH54" s="394"/>
      <c r="AI54" s="394"/>
      <c r="AJ54" s="394"/>
      <c r="AK54" s="394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</row>
    <row r="55" spans="1:139" x14ac:dyDescent="0.25">
      <c r="A55" s="37"/>
      <c r="B55" s="338" t="s">
        <v>99</v>
      </c>
      <c r="C55" s="323" t="s">
        <v>100</v>
      </c>
      <c r="D55" s="359" t="s">
        <v>60</v>
      </c>
      <c r="E55" s="446">
        <v>0</v>
      </c>
      <c r="F55" s="447">
        <v>0</v>
      </c>
      <c r="G55" s="447">
        <v>0</v>
      </c>
      <c r="H55" s="448">
        <v>0</v>
      </c>
      <c r="I55" s="448">
        <v>0</v>
      </c>
      <c r="J55" s="448">
        <v>0</v>
      </c>
      <c r="K55" s="681">
        <v>0</v>
      </c>
      <c r="L55" s="37"/>
      <c r="M55" s="37"/>
      <c r="N55" s="37"/>
      <c r="O55" s="37"/>
      <c r="P55" s="37"/>
      <c r="Q55" s="37"/>
      <c r="R55" s="37"/>
      <c r="S55" s="37"/>
      <c r="T55" s="37"/>
      <c r="U55" s="37"/>
      <c r="W55" s="19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</row>
    <row r="56" spans="1:139" x14ac:dyDescent="0.25">
      <c r="A56" s="37"/>
      <c r="B56" s="338" t="s">
        <v>101</v>
      </c>
      <c r="C56" s="323" t="s">
        <v>102</v>
      </c>
      <c r="D56" s="359" t="s">
        <v>60</v>
      </c>
      <c r="E56" s="446">
        <v>0.18</v>
      </c>
      <c r="F56" s="447">
        <v>0</v>
      </c>
      <c r="G56" s="447">
        <v>0</v>
      </c>
      <c r="H56" s="448">
        <v>0</v>
      </c>
      <c r="I56" s="448">
        <v>0</v>
      </c>
      <c r="J56" s="448">
        <v>0</v>
      </c>
      <c r="K56" s="681">
        <v>0</v>
      </c>
      <c r="L56" s="37"/>
      <c r="M56" s="37"/>
      <c r="N56" s="37"/>
      <c r="O56" s="37"/>
      <c r="P56" s="37"/>
      <c r="Q56" s="37"/>
      <c r="R56" s="37"/>
      <c r="S56" s="37"/>
      <c r="T56" s="37"/>
      <c r="U56" s="37"/>
      <c r="W56" s="19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</row>
    <row r="57" spans="1:139" x14ac:dyDescent="0.25">
      <c r="A57" s="37"/>
      <c r="B57" s="338" t="s">
        <v>103</v>
      </c>
      <c r="C57" s="323" t="s">
        <v>104</v>
      </c>
      <c r="D57" s="359" t="s">
        <v>60</v>
      </c>
      <c r="E57" s="446">
        <v>0</v>
      </c>
      <c r="F57" s="447">
        <v>0</v>
      </c>
      <c r="G57" s="447">
        <v>0</v>
      </c>
      <c r="H57" s="448">
        <v>0</v>
      </c>
      <c r="I57" s="448">
        <v>0</v>
      </c>
      <c r="J57" s="448">
        <v>0</v>
      </c>
      <c r="K57" s="681">
        <v>0</v>
      </c>
      <c r="L57" s="37"/>
      <c r="M57" s="37"/>
      <c r="N57" s="37"/>
      <c r="O57" s="37"/>
      <c r="P57" s="37"/>
      <c r="Q57" s="37"/>
      <c r="R57" s="37"/>
      <c r="S57" s="37"/>
      <c r="T57" s="37"/>
      <c r="U57" s="37"/>
      <c r="W57" s="19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</row>
    <row r="58" spans="1:139" x14ac:dyDescent="0.25">
      <c r="A58" s="37"/>
      <c r="B58" s="338" t="s">
        <v>105</v>
      </c>
      <c r="C58" s="323" t="s">
        <v>106</v>
      </c>
      <c r="D58" s="359" t="s">
        <v>60</v>
      </c>
      <c r="E58" s="446">
        <v>0</v>
      </c>
      <c r="F58" s="447">
        <v>0</v>
      </c>
      <c r="G58" s="447">
        <v>0</v>
      </c>
      <c r="H58" s="448">
        <v>0</v>
      </c>
      <c r="I58" s="448">
        <v>0</v>
      </c>
      <c r="J58" s="448">
        <v>0</v>
      </c>
      <c r="K58" s="681">
        <v>0</v>
      </c>
      <c r="L58" s="37"/>
      <c r="M58" s="37"/>
      <c r="N58" s="37"/>
      <c r="O58" s="37"/>
      <c r="P58" s="37"/>
      <c r="Q58" s="37"/>
      <c r="R58" s="37"/>
      <c r="S58" s="37"/>
      <c r="T58" s="37"/>
      <c r="U58" s="37"/>
      <c r="W58" s="19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</row>
    <row r="59" spans="1:139" ht="15.75" thickBot="1" x14ac:dyDescent="0.3">
      <c r="A59" s="37"/>
      <c r="B59" s="360" t="s">
        <v>289</v>
      </c>
      <c r="C59" s="325" t="s">
        <v>290</v>
      </c>
      <c r="D59" s="361" t="s">
        <v>60</v>
      </c>
      <c r="E59" s="449">
        <f>+(3/4*25.4)/1000</f>
        <v>1.9049999999999997E-2</v>
      </c>
      <c r="F59" s="450">
        <f>+(5/8*25.4)/1000</f>
        <v>1.5875E-2</v>
      </c>
      <c r="G59" s="450">
        <f>+(5/8*25.4)/1000</f>
        <v>1.5875E-2</v>
      </c>
      <c r="H59" s="451">
        <f>+(1/2*25.4)/1000</f>
        <v>1.2699999999999999E-2</v>
      </c>
      <c r="I59" s="451">
        <f>+(1/2*25.4)/1000</f>
        <v>1.2699999999999999E-2</v>
      </c>
      <c r="J59" s="451">
        <f>+(1/2*25.4)/1000</f>
        <v>1.2699999999999999E-2</v>
      </c>
      <c r="K59" s="683">
        <f>+(1/2*25.4)/1000</f>
        <v>1.2699999999999999E-2</v>
      </c>
      <c r="L59" s="37"/>
      <c r="M59" s="37"/>
      <c r="N59" s="37"/>
      <c r="O59" s="37"/>
      <c r="P59" s="37"/>
      <c r="Q59" s="37"/>
      <c r="R59" s="37"/>
      <c r="S59" s="37"/>
      <c r="T59" s="37"/>
      <c r="U59" s="37"/>
      <c r="W59" s="19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</row>
    <row r="60" spans="1:139" ht="15.75" thickBot="1" x14ac:dyDescent="0.3">
      <c r="A60" s="37"/>
      <c r="B60" s="19"/>
      <c r="C60" s="19"/>
      <c r="D60" s="31"/>
      <c r="E60" s="19"/>
      <c r="G60" s="38"/>
      <c r="H60" s="19"/>
      <c r="I60" s="19"/>
      <c r="J60" s="19"/>
      <c r="K60" s="38"/>
      <c r="L60" s="37"/>
      <c r="M60" s="37"/>
      <c r="N60" s="37"/>
      <c r="O60" s="37"/>
      <c r="P60" s="37"/>
      <c r="Q60" s="37"/>
      <c r="R60" s="37"/>
      <c r="S60" s="37"/>
      <c r="T60" s="37"/>
      <c r="U60" s="37"/>
      <c r="W60" s="19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</row>
    <row r="61" spans="1:139" x14ac:dyDescent="0.25">
      <c r="A61" s="37"/>
      <c r="B61" s="588" t="s">
        <v>107</v>
      </c>
      <c r="C61" s="114" t="s">
        <v>108</v>
      </c>
      <c r="D61" s="115" t="s">
        <v>521</v>
      </c>
      <c r="E61" s="371">
        <v>1.1499999999999999</v>
      </c>
      <c r="F61" s="371">
        <v>1.1499999999999999</v>
      </c>
      <c r="G61" s="371">
        <v>1.1499999999999999</v>
      </c>
      <c r="H61" s="372">
        <v>0.86899999999999999</v>
      </c>
      <c r="I61" s="372">
        <v>0.82399999999999995</v>
      </c>
      <c r="J61" s="372">
        <v>0.82399999999999995</v>
      </c>
      <c r="K61" s="373">
        <v>0.82399999999999995</v>
      </c>
      <c r="L61" s="37"/>
      <c r="M61" s="37"/>
      <c r="N61" s="37"/>
      <c r="O61" s="37"/>
      <c r="P61" s="37"/>
      <c r="Q61" s="37"/>
      <c r="R61" s="37"/>
      <c r="S61" s="37"/>
      <c r="T61" s="37"/>
      <c r="U61" s="37"/>
      <c r="W61" s="19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</row>
    <row r="62" spans="1:139" x14ac:dyDescent="0.25">
      <c r="A62" s="37"/>
      <c r="B62" s="118" t="s">
        <v>109</v>
      </c>
      <c r="C62" s="87" t="s">
        <v>110</v>
      </c>
      <c r="D62" s="86" t="s">
        <v>60</v>
      </c>
      <c r="E62" s="684">
        <v>3.2</v>
      </c>
      <c r="F62" s="374">
        <v>3.2</v>
      </c>
      <c r="G62" s="374">
        <v>5.085</v>
      </c>
      <c r="H62" s="375">
        <v>3.9790000000000001</v>
      </c>
      <c r="I62" s="375">
        <v>3.8889999999999998</v>
      </c>
      <c r="J62" s="375">
        <v>3.8889999999999998</v>
      </c>
      <c r="K62" s="376">
        <v>3.8889999999999998</v>
      </c>
      <c r="L62" s="37"/>
      <c r="M62" s="37"/>
      <c r="N62" s="37"/>
      <c r="O62" s="37"/>
      <c r="P62" s="37"/>
      <c r="Q62" s="37"/>
      <c r="R62" s="37"/>
      <c r="S62" s="37"/>
      <c r="T62" s="37"/>
      <c r="U62" s="37"/>
      <c r="W62" s="19"/>
      <c r="X62" s="394"/>
      <c r="Y62" s="394"/>
      <c r="Z62" s="394"/>
      <c r="AA62" s="394"/>
      <c r="AB62" s="394"/>
      <c r="AC62" s="394"/>
      <c r="AD62" s="394"/>
      <c r="AE62" s="394"/>
      <c r="AF62" s="394"/>
      <c r="AG62" s="394"/>
      <c r="AH62" s="394"/>
      <c r="AI62" s="394"/>
      <c r="AJ62" s="394"/>
      <c r="AK62" s="394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</row>
    <row r="63" spans="1:139" x14ac:dyDescent="0.25">
      <c r="A63" s="37"/>
      <c r="B63" s="118" t="s">
        <v>113</v>
      </c>
      <c r="C63" s="87" t="s">
        <v>114</v>
      </c>
      <c r="D63" s="86" t="s">
        <v>60</v>
      </c>
      <c r="E63" s="685">
        <v>0.6</v>
      </c>
      <c r="F63" s="377">
        <v>0.6</v>
      </c>
      <c r="G63" s="377">
        <v>0.55000000000000004</v>
      </c>
      <c r="H63" s="378">
        <v>0.5</v>
      </c>
      <c r="I63" s="378">
        <v>0.5</v>
      </c>
      <c r="J63" s="378">
        <v>0.4</v>
      </c>
      <c r="K63" s="379">
        <v>0.3</v>
      </c>
      <c r="L63" s="37"/>
      <c r="M63" s="37"/>
      <c r="N63" s="37"/>
      <c r="O63" s="37"/>
      <c r="P63" s="37"/>
      <c r="Q63" s="37"/>
      <c r="R63" s="37"/>
      <c r="S63" s="37"/>
      <c r="T63" s="37"/>
      <c r="U63" s="37"/>
      <c r="W63" s="19"/>
      <c r="X63" s="394"/>
      <c r="Y63" s="394">
        <v>1.7999999999999999E-2</v>
      </c>
      <c r="Z63" s="394"/>
      <c r="AA63" s="394"/>
      <c r="AB63" s="394"/>
      <c r="AC63" s="394"/>
      <c r="AD63" s="394"/>
      <c r="AE63" s="394"/>
      <c r="AF63" s="394"/>
      <c r="AG63" s="394"/>
      <c r="AH63" s="394"/>
      <c r="AI63" s="394"/>
      <c r="AJ63" s="394"/>
      <c r="AK63" s="394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</row>
    <row r="64" spans="1:139" x14ac:dyDescent="0.25">
      <c r="A64" s="37"/>
      <c r="B64" s="487" t="s">
        <v>518</v>
      </c>
      <c r="C64" s="73" t="s">
        <v>115</v>
      </c>
      <c r="D64" s="369" t="s">
        <v>28</v>
      </c>
      <c r="E64" s="692">
        <v>1.88</v>
      </c>
      <c r="F64" s="693">
        <v>2.2000000000000002</v>
      </c>
      <c r="G64" s="693">
        <v>2.2909999999999999</v>
      </c>
      <c r="H64" s="693">
        <v>2.1619999999999999</v>
      </c>
      <c r="I64" s="693">
        <v>2.1619999999999999</v>
      </c>
      <c r="J64" s="693">
        <v>1.6214999999999999</v>
      </c>
      <c r="K64" s="694">
        <v>1.2161249999999999</v>
      </c>
      <c r="L64" s="37"/>
      <c r="M64" s="37"/>
      <c r="N64" s="37"/>
      <c r="O64" s="37"/>
      <c r="P64" s="37"/>
      <c r="Q64" s="37"/>
      <c r="R64" s="37"/>
      <c r="S64" s="37"/>
      <c r="T64" s="37"/>
      <c r="U64" s="37"/>
      <c r="W64" s="19"/>
      <c r="X64" s="394"/>
      <c r="Y64" s="394">
        <v>8.9999999999999993E-3</v>
      </c>
      <c r="Z64" s="394"/>
      <c r="AA64" s="394"/>
      <c r="AB64" s="394"/>
      <c r="AC64" s="394"/>
      <c r="AD64" s="394"/>
      <c r="AE64" s="394"/>
      <c r="AF64" s="394"/>
      <c r="AG64" s="394"/>
      <c r="AH64" s="394"/>
      <c r="AI64" s="394"/>
      <c r="AJ64" s="394"/>
      <c r="AK64" s="394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</row>
    <row r="65" spans="1:139" x14ac:dyDescent="0.25">
      <c r="A65" s="37"/>
      <c r="B65" s="487" t="s">
        <v>519</v>
      </c>
      <c r="C65" s="73" t="s">
        <v>116</v>
      </c>
      <c r="D65" s="369" t="s">
        <v>28</v>
      </c>
      <c r="E65" s="699">
        <v>0.8</v>
      </c>
      <c r="F65" s="377">
        <v>0.80299999999999994</v>
      </c>
      <c r="G65" s="377">
        <v>0.80299999999999994</v>
      </c>
      <c r="H65" s="378">
        <v>1.238</v>
      </c>
      <c r="I65" s="378">
        <v>1.238</v>
      </c>
      <c r="J65" s="378">
        <v>1.238</v>
      </c>
      <c r="K65" s="379">
        <v>1.238</v>
      </c>
      <c r="L65" s="37"/>
      <c r="M65" s="37"/>
      <c r="N65" s="37"/>
      <c r="O65" s="37"/>
      <c r="P65" s="37"/>
      <c r="Q65" s="37"/>
      <c r="R65" s="37"/>
      <c r="S65" s="37"/>
      <c r="T65" s="37"/>
      <c r="U65" s="37"/>
      <c r="W65" s="19"/>
      <c r="X65" s="394"/>
      <c r="Y65" s="394">
        <f>+Y63+Y64</f>
        <v>2.6999999999999996E-2</v>
      </c>
      <c r="Z65" s="394"/>
      <c r="AA65" s="394"/>
      <c r="AB65" s="394"/>
      <c r="AC65" s="394"/>
      <c r="AD65" s="394"/>
      <c r="AE65" s="394"/>
      <c r="AF65" s="394"/>
      <c r="AG65" s="394"/>
      <c r="AH65" s="394"/>
      <c r="AI65" s="394"/>
      <c r="AJ65" s="394"/>
      <c r="AK65" s="394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</row>
    <row r="66" spans="1:139" x14ac:dyDescent="0.25">
      <c r="A66" s="37"/>
      <c r="B66" s="452" t="s">
        <v>522</v>
      </c>
      <c r="C66" s="73" t="s">
        <v>115</v>
      </c>
      <c r="D66" s="369" t="s">
        <v>28</v>
      </c>
      <c r="E66" s="685">
        <f>+E64+E65</f>
        <v>2.6799999999999997</v>
      </c>
      <c r="F66" s="378">
        <f t="shared" ref="F66" si="21">+F64+F65</f>
        <v>3.0030000000000001</v>
      </c>
      <c r="G66" s="378">
        <f t="shared" ref="G66:K66" si="22">+G64+G65</f>
        <v>3.0939999999999999</v>
      </c>
      <c r="H66" s="378">
        <f t="shared" si="22"/>
        <v>3.4</v>
      </c>
      <c r="I66" s="378">
        <f t="shared" si="22"/>
        <v>3.4</v>
      </c>
      <c r="J66" s="378">
        <f t="shared" si="22"/>
        <v>2.8594999999999997</v>
      </c>
      <c r="K66" s="379">
        <f t="shared" si="22"/>
        <v>2.4541249999999999</v>
      </c>
      <c r="L66" s="37"/>
      <c r="M66" s="37"/>
      <c r="N66" s="37"/>
      <c r="O66" s="37"/>
      <c r="P66" s="37"/>
      <c r="Q66" s="37"/>
      <c r="R66" s="37"/>
      <c r="S66" s="37"/>
      <c r="T66" s="37"/>
      <c r="U66" s="37"/>
      <c r="W66" s="19"/>
      <c r="X66" s="394"/>
      <c r="Y66" s="394">
        <f>+Y65/2*9</f>
        <v>0.12149999999999998</v>
      </c>
      <c r="Z66" s="394"/>
      <c r="AA66" s="394"/>
      <c r="AB66" s="394"/>
      <c r="AC66" s="394"/>
      <c r="AD66" s="394"/>
      <c r="AE66" s="394"/>
      <c r="AF66" s="394"/>
      <c r="AG66" s="394"/>
      <c r="AH66" s="394"/>
      <c r="AI66" s="394"/>
      <c r="AJ66" s="394"/>
      <c r="AK66" s="394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</row>
    <row r="67" spans="1:139" x14ac:dyDescent="0.25">
      <c r="A67" s="37"/>
      <c r="B67" s="454"/>
      <c r="C67" s="455"/>
      <c r="D67" s="455"/>
      <c r="E67" s="696"/>
      <c r="F67" s="697"/>
      <c r="G67" s="697"/>
      <c r="H67" s="697"/>
      <c r="I67" s="697"/>
      <c r="J67" s="697"/>
      <c r="K67" s="698"/>
      <c r="L67" s="37"/>
      <c r="M67" s="37"/>
      <c r="N67" s="37"/>
      <c r="O67" s="37"/>
      <c r="P67" s="37"/>
      <c r="Q67" s="37"/>
      <c r="R67" s="37"/>
      <c r="S67" s="37"/>
      <c r="T67" s="37"/>
      <c r="U67" s="37"/>
      <c r="W67" s="19"/>
      <c r="X67" s="394"/>
      <c r="Y67" s="394">
        <f>+X81+Y66</f>
        <v>0.90249999999999986</v>
      </c>
      <c r="Z67" s="394"/>
      <c r="AA67" s="394"/>
      <c r="AB67" s="394"/>
      <c r="AC67" s="394"/>
      <c r="AD67" s="394"/>
      <c r="AE67" s="394"/>
      <c r="AF67" s="394"/>
      <c r="AG67" s="394"/>
      <c r="AH67" s="394"/>
      <c r="AI67" s="394"/>
      <c r="AJ67" s="394"/>
      <c r="AK67" s="394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</row>
    <row r="68" spans="1:139" x14ac:dyDescent="0.25">
      <c r="A68" s="37"/>
      <c r="B68" s="118" t="s">
        <v>345</v>
      </c>
      <c r="C68" s="87" t="s">
        <v>345</v>
      </c>
      <c r="D68" s="369" t="s">
        <v>28</v>
      </c>
      <c r="E68" s="427">
        <v>0.61399999999999999</v>
      </c>
      <c r="F68" s="428">
        <v>0.99</v>
      </c>
      <c r="G68" s="428">
        <v>1.8</v>
      </c>
      <c r="H68" s="428">
        <v>2.1760000000000002</v>
      </c>
      <c r="I68" s="428">
        <v>2.9</v>
      </c>
      <c r="J68" s="428">
        <v>5</v>
      </c>
      <c r="K68" s="429">
        <v>1.36</v>
      </c>
      <c r="L68" s="37"/>
      <c r="M68" s="37"/>
      <c r="N68" s="37"/>
      <c r="O68" s="37"/>
      <c r="P68" s="37"/>
      <c r="Q68" s="37"/>
      <c r="R68" s="37"/>
      <c r="S68" s="37"/>
      <c r="T68" s="37"/>
      <c r="U68" s="37"/>
      <c r="W68" s="19"/>
      <c r="X68" s="394"/>
      <c r="Y68" s="394"/>
      <c r="Z68" s="394"/>
      <c r="AA68" s="394"/>
      <c r="AB68" s="394"/>
      <c r="AC68" s="394"/>
      <c r="AD68" s="394"/>
      <c r="AE68" s="394"/>
      <c r="AF68" s="394"/>
      <c r="AG68" s="394"/>
      <c r="AH68" s="394"/>
      <c r="AI68" s="394"/>
      <c r="AJ68" s="394"/>
      <c r="AK68" s="394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</row>
    <row r="69" spans="1:139" ht="15.75" thickBot="1" x14ac:dyDescent="0.3">
      <c r="A69" s="37"/>
      <c r="B69" s="491" t="s">
        <v>344</v>
      </c>
      <c r="C69" s="368" t="s">
        <v>118</v>
      </c>
      <c r="D69" s="370" t="s">
        <v>28</v>
      </c>
      <c r="E69" s="528">
        <f>+E68</f>
        <v>0.61399999999999999</v>
      </c>
      <c r="F69" s="678">
        <v>0.99</v>
      </c>
      <c r="G69" s="678">
        <v>1.8</v>
      </c>
      <c r="H69" s="678">
        <f>+H68</f>
        <v>2.1760000000000002</v>
      </c>
      <c r="I69" s="380">
        <f>+I68</f>
        <v>2.9</v>
      </c>
      <c r="J69" s="380">
        <f>+J68</f>
        <v>5</v>
      </c>
      <c r="K69" s="381">
        <f>+K68</f>
        <v>1.36</v>
      </c>
      <c r="L69" s="37"/>
      <c r="M69" s="37"/>
      <c r="N69" s="37"/>
      <c r="O69" s="37"/>
      <c r="P69" s="37"/>
      <c r="Q69" s="37"/>
      <c r="R69" s="37"/>
      <c r="S69" s="37"/>
      <c r="T69" s="37"/>
      <c r="U69" s="37"/>
      <c r="W69" s="19"/>
      <c r="X69" s="394"/>
      <c r="Y69" s="394"/>
      <c r="Z69" s="394"/>
      <c r="AA69" s="394"/>
      <c r="AB69" s="394"/>
      <c r="AC69" s="394"/>
      <c r="AD69" s="394"/>
      <c r="AE69" s="394"/>
      <c r="AF69" s="394"/>
      <c r="AG69" s="394"/>
      <c r="AH69" s="394"/>
      <c r="AI69" s="394"/>
      <c r="AJ69" s="394"/>
      <c r="AK69" s="394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</row>
    <row r="70" spans="1:139" ht="15.75" thickBot="1" x14ac:dyDescent="0.3">
      <c r="A70" s="268"/>
      <c r="B70" s="268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8"/>
      <c r="R70" s="268"/>
      <c r="S70" s="268"/>
      <c r="T70" s="268"/>
      <c r="U70" s="268"/>
      <c r="W70" s="19"/>
      <c r="X70" s="394"/>
      <c r="Y70" s="394"/>
      <c r="Z70" s="394"/>
      <c r="AA70" s="394"/>
      <c r="AB70" s="394"/>
      <c r="AC70" s="394"/>
      <c r="AD70" s="394"/>
      <c r="AE70" s="394"/>
      <c r="AF70" s="394"/>
      <c r="AG70" s="394"/>
      <c r="AH70" s="394"/>
      <c r="AI70" s="394"/>
      <c r="AJ70" s="394"/>
      <c r="AK70" s="394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</row>
    <row r="71" spans="1:139" ht="15.75" thickBot="1" x14ac:dyDescent="0.3">
      <c r="A71" s="799" t="s">
        <v>318</v>
      </c>
      <c r="B71" s="800"/>
      <c r="C71" s="800"/>
      <c r="D71" s="800"/>
      <c r="E71" s="800"/>
      <c r="F71" s="800"/>
      <c r="G71" s="800"/>
      <c r="H71" s="800"/>
      <c r="I71" s="800"/>
      <c r="J71" s="800"/>
      <c r="K71" s="800"/>
      <c r="L71" s="800"/>
      <c r="M71" s="800"/>
      <c r="N71" s="800"/>
      <c r="O71" s="800"/>
      <c r="P71" s="800"/>
      <c r="Q71" s="800"/>
      <c r="R71" s="800"/>
      <c r="S71" s="800"/>
      <c r="T71" s="800"/>
      <c r="U71" s="801"/>
      <c r="W71" s="19"/>
      <c r="X71" s="394">
        <v>1.7999999999999999E-2</v>
      </c>
      <c r="Y71" s="394"/>
      <c r="Z71" s="394"/>
      <c r="AA71" s="394"/>
      <c r="AB71" s="394"/>
      <c r="AC71" s="394"/>
      <c r="AD71" s="394"/>
      <c r="AE71" s="394"/>
      <c r="AF71" s="394"/>
      <c r="AG71" s="394"/>
      <c r="AH71" s="394"/>
      <c r="AI71" s="394"/>
      <c r="AJ71" s="394"/>
      <c r="AK71" s="394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</row>
    <row r="72" spans="1:139" ht="15.75" thickBot="1" x14ac:dyDescent="0.3">
      <c r="A72" s="32"/>
      <c r="B72" s="19"/>
      <c r="C72" s="19"/>
      <c r="D72" s="31"/>
      <c r="E72" s="19"/>
      <c r="F72" s="38"/>
      <c r="G72" s="19"/>
      <c r="H72" s="19"/>
      <c r="I72" s="19"/>
      <c r="J72" s="123"/>
      <c r="K72" s="686"/>
      <c r="L72" s="686"/>
      <c r="M72" s="686"/>
      <c r="N72" s="32"/>
      <c r="O72" s="32"/>
      <c r="P72" s="32"/>
      <c r="Q72" s="37"/>
      <c r="R72" s="19"/>
      <c r="S72" s="19"/>
      <c r="T72" s="19"/>
      <c r="U72" s="514"/>
      <c r="W72" s="19"/>
      <c r="X72" s="394">
        <v>6.4000000000000001E-2</v>
      </c>
      <c r="Y72" s="394"/>
      <c r="Z72" s="394"/>
      <c r="AA72" s="394"/>
      <c r="AB72" s="394"/>
      <c r="AC72" s="394"/>
      <c r="AD72" s="394"/>
      <c r="AE72" s="394"/>
      <c r="AF72" s="394"/>
      <c r="AG72" s="394"/>
      <c r="AH72" s="394"/>
      <c r="AI72" s="394"/>
      <c r="AJ72" s="394"/>
      <c r="AK72" s="394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</row>
    <row r="73" spans="1:139" x14ac:dyDescent="0.25">
      <c r="A73" s="19"/>
      <c r="B73" s="195" t="s">
        <v>121</v>
      </c>
      <c r="C73" s="196" t="s">
        <v>122</v>
      </c>
      <c r="D73" s="457" t="s">
        <v>43</v>
      </c>
      <c r="E73" s="195">
        <f>+E46</f>
        <v>6</v>
      </c>
      <c r="F73" s="202">
        <f t="shared" ref="F73:I73" si="23">+F46</f>
        <v>5</v>
      </c>
      <c r="G73" s="202">
        <f t="shared" si="23"/>
        <v>4</v>
      </c>
      <c r="H73" s="202">
        <f t="shared" si="23"/>
        <v>3</v>
      </c>
      <c r="I73" s="202">
        <f t="shared" si="23"/>
        <v>2</v>
      </c>
      <c r="J73" s="202">
        <f>+J46</f>
        <v>1</v>
      </c>
      <c r="K73" s="430" t="str">
        <f>+K46</f>
        <v>Melotera</v>
      </c>
      <c r="L73" s="513"/>
      <c r="M73" s="513"/>
      <c r="N73" s="513"/>
      <c r="O73" s="513"/>
      <c r="P73" s="513"/>
      <c r="Q73" s="513"/>
      <c r="R73" s="513"/>
      <c r="S73" s="513"/>
      <c r="T73" s="513"/>
      <c r="U73" s="513"/>
      <c r="V73" s="521"/>
      <c r="W73" s="513"/>
      <c r="X73" s="513">
        <v>7.0999999999999994E-2</v>
      </c>
      <c r="Y73" s="394"/>
      <c r="Z73" s="394"/>
      <c r="AH73" s="394"/>
      <c r="AI73" s="394"/>
      <c r="AJ73" s="394"/>
      <c r="AK73" s="394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</row>
    <row r="74" spans="1:139" x14ac:dyDescent="0.25">
      <c r="A74" s="19"/>
      <c r="B74" s="197" t="s">
        <v>311</v>
      </c>
      <c r="C74" s="35" t="s">
        <v>312</v>
      </c>
      <c r="D74" s="456" t="s">
        <v>188</v>
      </c>
      <c r="E74" s="125">
        <f>+E114</f>
        <v>47.13546138022717</v>
      </c>
      <c r="F74" s="125">
        <f t="shared" ref="F74:K74" si="24">+F114</f>
        <v>59.739548987285978</v>
      </c>
      <c r="G74" s="125">
        <f t="shared" si="24"/>
        <v>78.742888474567636</v>
      </c>
      <c r="H74" s="125">
        <f t="shared" si="24"/>
        <v>64.602673513703735</v>
      </c>
      <c r="I74" s="125">
        <f t="shared" si="24"/>
        <v>57.385435775374617</v>
      </c>
      <c r="J74" s="125">
        <f t="shared" si="24"/>
        <v>62.502567792725692</v>
      </c>
      <c r="K74" s="125">
        <f t="shared" si="24"/>
        <v>10.596263546780705</v>
      </c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21"/>
      <c r="W74" s="513"/>
      <c r="X74" s="513">
        <v>7.9000000000000001E-2</v>
      </c>
      <c r="Y74" s="394"/>
      <c r="Z74" s="394"/>
      <c r="AA74" s="394"/>
      <c r="AB74" s="394"/>
      <c r="AC74" s="394"/>
      <c r="AD74" s="394"/>
      <c r="AE74" s="394"/>
      <c r="AF74" s="394"/>
      <c r="AG74" s="394"/>
      <c r="AH74" s="394"/>
      <c r="AI74" s="394"/>
      <c r="AJ74" s="394"/>
      <c r="AK74" s="394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</row>
    <row r="75" spans="1:139" x14ac:dyDescent="0.25">
      <c r="A75" s="19"/>
      <c r="B75" s="197" t="s">
        <v>123</v>
      </c>
      <c r="C75" s="35" t="s">
        <v>138</v>
      </c>
      <c r="D75" s="456" t="s">
        <v>124</v>
      </c>
      <c r="E75" s="125">
        <f t="shared" ref="E75:F75" si="25">+F76</f>
        <v>53.893026519172686</v>
      </c>
      <c r="F75" s="125">
        <f t="shared" si="25"/>
        <v>34.476478312699314</v>
      </c>
      <c r="G75" s="125">
        <f>+H76</f>
        <v>23.33017849203037</v>
      </c>
      <c r="H75" s="39">
        <f>+I76</f>
        <v>19.024138792792325</v>
      </c>
      <c r="I75" s="39">
        <f>+J75</f>
        <v>17</v>
      </c>
      <c r="J75" s="39">
        <f>+D9</f>
        <v>17</v>
      </c>
      <c r="K75" s="431">
        <f>+D9</f>
        <v>17</v>
      </c>
      <c r="L75" s="513"/>
      <c r="M75" s="513"/>
      <c r="N75" s="513"/>
      <c r="O75" s="513"/>
      <c r="P75" s="513"/>
      <c r="Q75" s="513"/>
      <c r="R75" s="513"/>
      <c r="S75" s="513"/>
      <c r="T75" s="513"/>
      <c r="U75" s="513"/>
      <c r="V75" s="521"/>
      <c r="W75" s="513"/>
      <c r="X75" s="513">
        <v>8.6999999999999994E-2</v>
      </c>
      <c r="Y75" s="394"/>
      <c r="Z75" s="394"/>
      <c r="AA75" s="394"/>
      <c r="AB75" s="394"/>
      <c r="AC75" s="394"/>
      <c r="AD75" s="394"/>
      <c r="AE75" s="394"/>
      <c r="AF75" s="394"/>
      <c r="AG75" s="394"/>
      <c r="AH75" s="394"/>
      <c r="AI75" s="394"/>
      <c r="AJ75" s="394"/>
      <c r="AK75" s="394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</row>
    <row r="76" spans="1:139" x14ac:dyDescent="0.25">
      <c r="A76" s="19"/>
      <c r="B76" s="197" t="s">
        <v>125</v>
      </c>
      <c r="C76" s="36" t="s">
        <v>139</v>
      </c>
      <c r="D76" s="456" t="s">
        <v>124</v>
      </c>
      <c r="E76" s="191">
        <f t="shared" ref="E76:F76" si="26">+XbrixCl(E78,E75,0,E74,$D$9,$D$21/760,F79)</f>
        <v>93.400117211153443</v>
      </c>
      <c r="F76" s="191">
        <f t="shared" si="26"/>
        <v>53.893026519172686</v>
      </c>
      <c r="G76" s="191">
        <f>+XbrixCl(G78,G75,0,G74,$D$9,$D$21/760,H79)</f>
        <v>34.476478312699314</v>
      </c>
      <c r="H76" s="191">
        <f>+XbrixCl(H78,H75,0,H74,$D$9,$D$21/760,I79)</f>
        <v>23.33017849203037</v>
      </c>
      <c r="I76" s="191">
        <f>+XbrixCl(I78,I75,0,I74,$D$9,$D$21/760,J79)</f>
        <v>19.024138792792325</v>
      </c>
      <c r="J76" s="191">
        <f>+XbrixCl(J78,J75,0,J74,$D$9,$D$21/760,D19)</f>
        <v>18.006127100617348</v>
      </c>
      <c r="K76" s="432">
        <f>+XbrixCl(K78,K75,0,K74,$D$9,$D$21/760,D19)</f>
        <v>17.525994243937461</v>
      </c>
      <c r="L76" s="513"/>
      <c r="M76" s="513"/>
      <c r="N76" s="513">
        <v>1.7870000000000001</v>
      </c>
      <c r="O76" s="513">
        <v>1.151</v>
      </c>
      <c r="P76" s="513">
        <v>0.95199999999999996</v>
      </c>
      <c r="Q76" s="513">
        <v>0.85899999999999999</v>
      </c>
      <c r="R76" s="513"/>
      <c r="S76" s="513"/>
      <c r="T76" s="513"/>
      <c r="U76" s="513"/>
      <c r="V76" s="521"/>
      <c r="W76" s="513"/>
      <c r="X76" s="513">
        <v>9.4E-2</v>
      </c>
      <c r="Y76" s="394"/>
      <c r="Z76" s="394"/>
      <c r="AA76" s="394"/>
      <c r="AB76" s="394"/>
      <c r="AC76" s="394"/>
      <c r="AD76" s="394"/>
      <c r="AE76" s="394"/>
      <c r="AF76" s="394"/>
      <c r="AG76" s="394"/>
      <c r="AH76" s="394"/>
      <c r="AI76" s="394"/>
      <c r="AJ76" s="394"/>
      <c r="AK76" s="394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</row>
    <row r="77" spans="1:139" x14ac:dyDescent="0.25">
      <c r="A77" s="19"/>
      <c r="B77" s="197" t="s">
        <v>126</v>
      </c>
      <c r="C77" s="36" t="s">
        <v>140</v>
      </c>
      <c r="D77" s="456" t="s">
        <v>124</v>
      </c>
      <c r="E77" s="193">
        <f t="shared" ref="E77:F77" si="27">+AVERAGE(E75:E76)</f>
        <v>73.646571865163068</v>
      </c>
      <c r="F77" s="193">
        <f t="shared" si="27"/>
        <v>44.184752415936003</v>
      </c>
      <c r="G77" s="193">
        <f>+AVERAGE(G75:G76)</f>
        <v>28.903328402364842</v>
      </c>
      <c r="H77" s="192">
        <f>+AVERAGE(H75:H76)</f>
        <v>21.177158642411349</v>
      </c>
      <c r="I77" s="192">
        <f>+AVERAGE(I75:I76)</f>
        <v>18.012069396396164</v>
      </c>
      <c r="J77" s="192">
        <f>+AVERAGE(J75:J76)</f>
        <v>17.503063550308674</v>
      </c>
      <c r="K77" s="433">
        <f>+AVERAGE(K75:K76)</f>
        <v>17.262997121968731</v>
      </c>
      <c r="L77" s="513"/>
      <c r="M77" s="513"/>
      <c r="N77" s="513"/>
      <c r="O77" s="513"/>
      <c r="P77" s="513"/>
      <c r="Q77" s="513"/>
      <c r="R77" s="513"/>
      <c r="S77" s="513"/>
      <c r="T77" s="513"/>
      <c r="U77" s="513"/>
      <c r="V77" s="521"/>
      <c r="W77" s="513"/>
      <c r="X77" s="513">
        <v>0.10199999999999999</v>
      </c>
      <c r="Y77" s="394"/>
      <c r="Z77" s="394"/>
      <c r="AA77" s="394"/>
      <c r="AB77" s="394"/>
      <c r="AC77" s="394"/>
      <c r="AD77" s="394"/>
      <c r="AE77" s="394"/>
      <c r="AF77" s="394"/>
      <c r="AG77" s="394"/>
      <c r="AH77" s="394"/>
      <c r="AI77" s="394"/>
      <c r="AJ77" s="394"/>
      <c r="AK77" s="394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</row>
    <row r="78" spans="1:139" x14ac:dyDescent="0.25">
      <c r="A78" s="19"/>
      <c r="B78" s="197" t="s">
        <v>313</v>
      </c>
      <c r="C78" s="35" t="s">
        <v>315</v>
      </c>
      <c r="D78" s="458" t="s">
        <v>38</v>
      </c>
      <c r="E78" s="192">
        <f t="shared" ref="E78:F78" si="28">+F78*F75/F76</f>
        <v>167.93019121331275</v>
      </c>
      <c r="F78" s="192">
        <f t="shared" si="28"/>
        <v>262.50553105637721</v>
      </c>
      <c r="G78" s="192">
        <f>+H78*H75/H76</f>
        <v>387.92100332710237</v>
      </c>
      <c r="H78" s="192">
        <f>+I78*I75/I76</f>
        <v>475.72541112124765</v>
      </c>
      <c r="I78" s="192">
        <f>+J78*J75/J76-4%*(J78*J75/J76)</f>
        <v>532.3686028487532</v>
      </c>
      <c r="J78" s="192">
        <f>+K6</f>
        <v>587.37112299465252</v>
      </c>
      <c r="K78" s="433">
        <f>+K32</f>
        <v>117.4742245989305</v>
      </c>
      <c r="L78" s="513"/>
      <c r="M78" s="513"/>
      <c r="N78" s="513">
        <v>2.238</v>
      </c>
      <c r="O78" s="513">
        <v>1.3029999999999999</v>
      </c>
      <c r="P78" s="513">
        <v>0.86099999999999999</v>
      </c>
      <c r="Q78" s="513">
        <v>0.93700000000000006</v>
      </c>
      <c r="R78" s="513"/>
      <c r="S78" s="513"/>
      <c r="T78" s="513"/>
      <c r="U78" s="513"/>
      <c r="V78" s="521"/>
      <c r="W78" s="513"/>
      <c r="X78" s="513">
        <v>0.11</v>
      </c>
      <c r="Y78" s="394"/>
      <c r="Z78" s="394"/>
      <c r="AA78" s="394"/>
      <c r="AB78" s="394"/>
      <c r="AC78" s="394"/>
      <c r="AD78" s="394"/>
      <c r="AE78" s="394"/>
      <c r="AF78" s="394"/>
      <c r="AG78" s="394"/>
      <c r="AH78" s="394"/>
      <c r="AI78" s="394"/>
      <c r="AJ78" s="394"/>
      <c r="AK78" s="394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</row>
    <row r="79" spans="1:139" x14ac:dyDescent="0.25">
      <c r="A79" s="19"/>
      <c r="B79" s="197" t="s">
        <v>316</v>
      </c>
      <c r="C79" s="35" t="s">
        <v>317</v>
      </c>
      <c r="D79" s="458" t="s">
        <v>131</v>
      </c>
      <c r="E79" s="193">
        <f t="shared" ref="E79:F79" si="29">+Tjugo($D$21/760,E77)</f>
        <v>112.09532245798447</v>
      </c>
      <c r="F79" s="193">
        <f t="shared" si="29"/>
        <v>101.32635909046596</v>
      </c>
      <c r="G79" s="193">
        <f>+Tjugo($D$21/760,G77)</f>
        <v>99.842972053991772</v>
      </c>
      <c r="H79" s="193">
        <f>+Tjugo($D$21/760,H77)</f>
        <v>99.456525129906922</v>
      </c>
      <c r="I79" s="193">
        <v>80</v>
      </c>
      <c r="J79" s="193">
        <v>60</v>
      </c>
      <c r="K79" s="688">
        <f t="shared" ref="K79" si="30">+Tjugo($D$21/760,K77)</f>
        <v>99.315762615389133</v>
      </c>
      <c r="L79" s="513"/>
      <c r="M79" s="513"/>
      <c r="N79" s="513">
        <f>+N78-0.5</f>
        <v>1.738</v>
      </c>
      <c r="O79" s="513">
        <f t="shared" ref="O79:Q79" si="31">+O78-0.5</f>
        <v>0.80299999999999994</v>
      </c>
      <c r="P79" s="513">
        <f t="shared" si="31"/>
        <v>0.36099999999999999</v>
      </c>
      <c r="Q79" s="513">
        <f t="shared" si="31"/>
        <v>0.43700000000000006</v>
      </c>
      <c r="R79" s="513"/>
      <c r="S79" s="513"/>
      <c r="T79" s="513"/>
      <c r="U79" s="513"/>
      <c r="V79" s="521"/>
      <c r="W79" s="513"/>
      <c r="X79" s="513">
        <v>0.11700000000000001</v>
      </c>
      <c r="Y79" s="394"/>
      <c r="Z79" s="394"/>
      <c r="AA79" s="394"/>
      <c r="AB79" s="394"/>
      <c r="AC79" s="394"/>
      <c r="AD79" s="394"/>
      <c r="AE79" s="394"/>
      <c r="AF79" s="394"/>
      <c r="AG79" s="394"/>
      <c r="AH79" s="394"/>
      <c r="AI79" s="394"/>
      <c r="AJ79" s="394"/>
      <c r="AK79" s="394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</row>
    <row r="80" spans="1:139" x14ac:dyDescent="0.25">
      <c r="A80" s="19"/>
      <c r="B80" s="197" t="s">
        <v>269</v>
      </c>
      <c r="C80" s="35" t="s">
        <v>272</v>
      </c>
      <c r="D80" s="456" t="s">
        <v>270</v>
      </c>
      <c r="E80" s="205">
        <f t="shared" ref="E80:F80" si="32">+(EXP(-11.229+(3257.5/(E79+273.15))+(0.07572*E77)))/1000</f>
        <v>1.6496849640313935E-2</v>
      </c>
      <c r="F80" s="205">
        <f t="shared" si="32"/>
        <v>2.2602669637777234E-3</v>
      </c>
      <c r="G80" s="205">
        <f t="shared" ref="G80:I80" si="33">+(EXP(-11.229+(3257.5/(G79+273.15))+(0.07572*G77)))/1000</f>
        <v>7.3562746250655084E-4</v>
      </c>
      <c r="H80" s="205">
        <f t="shared" si="33"/>
        <v>4.1354075084208772E-4</v>
      </c>
      <c r="I80" s="205">
        <f t="shared" si="33"/>
        <v>5.2676519516850679E-4</v>
      </c>
      <c r="J80" s="205">
        <f t="shared" ref="J80:K80" si="34">+(EXP(-11.229+(3257.5/(J79+273.15))+(0.07572*J77)))/1000</f>
        <v>8.817998332478602E-4</v>
      </c>
      <c r="K80" s="434">
        <f t="shared" si="34"/>
        <v>3.0848700186348932E-4</v>
      </c>
      <c r="L80" s="513"/>
      <c r="M80" s="513"/>
      <c r="N80" s="513"/>
      <c r="O80" s="513"/>
      <c r="P80" s="513"/>
      <c r="Q80" s="513"/>
      <c r="R80" s="513"/>
      <c r="S80" s="513"/>
      <c r="T80" s="513"/>
      <c r="U80" s="513"/>
      <c r="V80" s="521"/>
      <c r="W80" s="513"/>
      <c r="X80" s="513">
        <v>3.9E-2</v>
      </c>
      <c r="Y80" s="394"/>
      <c r="Z80" s="394"/>
      <c r="AA80" s="394"/>
      <c r="AB80" s="394"/>
      <c r="AC80" s="394"/>
      <c r="AD80" s="394"/>
      <c r="AE80" s="394"/>
      <c r="AF80" s="394"/>
      <c r="AG80" s="394"/>
      <c r="AH80" s="394"/>
      <c r="AI80" s="394"/>
      <c r="AJ80" s="394"/>
      <c r="AK80" s="394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</row>
    <row r="81" spans="1:139" x14ac:dyDescent="0.25">
      <c r="A81" s="19"/>
      <c r="B81" s="198" t="s">
        <v>271</v>
      </c>
      <c r="C81" s="35" t="s">
        <v>273</v>
      </c>
      <c r="D81" s="456" t="s">
        <v>274</v>
      </c>
      <c r="E81" s="39">
        <v>5.5460000000000002E-2</v>
      </c>
      <c r="F81" s="39">
        <v>5.5460000000000002E-2</v>
      </c>
      <c r="G81" s="39">
        <v>5.5460000000000002E-2</v>
      </c>
      <c r="H81" s="39">
        <v>5.5460000000000002E-2</v>
      </c>
      <c r="I81" s="39">
        <v>5.5460000000000002E-2</v>
      </c>
      <c r="J81" s="39">
        <v>5.5460000000000002E-2</v>
      </c>
      <c r="K81" s="39">
        <v>5.5460000000000002E-2</v>
      </c>
      <c r="L81" s="513"/>
      <c r="M81" s="513"/>
      <c r="N81" s="513"/>
      <c r="O81" s="513"/>
      <c r="P81" s="513"/>
      <c r="Q81" s="513"/>
      <c r="R81" s="513"/>
      <c r="S81" s="513"/>
      <c r="T81" s="513"/>
      <c r="U81" s="513"/>
      <c r="V81" s="521"/>
      <c r="W81" s="513"/>
      <c r="X81" s="513">
        <f>+SUM(X71:X80)</f>
        <v>0.78099999999999992</v>
      </c>
      <c r="Y81" s="394"/>
      <c r="Z81" s="394"/>
      <c r="AA81" s="394"/>
      <c r="AB81" s="394"/>
      <c r="AC81" s="394"/>
      <c r="AD81" s="394"/>
      <c r="AE81" s="394"/>
      <c r="AF81" s="394"/>
      <c r="AG81" s="394"/>
      <c r="AH81" s="394"/>
      <c r="AI81" s="394"/>
      <c r="AJ81" s="394"/>
      <c r="AK81" s="394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</row>
    <row r="82" spans="1:139" x14ac:dyDescent="0.25">
      <c r="A82" s="19"/>
      <c r="B82" s="198" t="s">
        <v>198</v>
      </c>
      <c r="C82" s="35" t="s">
        <v>276</v>
      </c>
      <c r="D82" s="456" t="s">
        <v>275</v>
      </c>
      <c r="E82" s="125">
        <f t="shared" ref="E82:F82" si="35">1043+4.854*E77-1.07*E79</f>
        <v>1280.5384648034581</v>
      </c>
      <c r="F82" s="125">
        <f t="shared" si="35"/>
        <v>1149.0535840001546</v>
      </c>
      <c r="G82" s="125">
        <f t="shared" ref="G82:I82" si="36">1043+4.854*G77-1.07*G79</f>
        <v>1076.4647759673076</v>
      </c>
      <c r="H82" s="39">
        <f t="shared" si="36"/>
        <v>1039.3754461612643</v>
      </c>
      <c r="I82" s="39">
        <f t="shared" si="36"/>
        <v>1044.830584850107</v>
      </c>
      <c r="J82" s="39">
        <f t="shared" ref="J82:K82" si="37">1043+4.854*J77-1.07*J79</f>
        <v>1063.7598704731984</v>
      </c>
      <c r="K82" s="431">
        <f t="shared" si="37"/>
        <v>1020.5267220315699</v>
      </c>
      <c r="L82" s="513"/>
      <c r="M82" s="513"/>
      <c r="N82" s="513"/>
      <c r="O82" s="513"/>
      <c r="P82" s="513"/>
      <c r="Q82" s="513"/>
      <c r="R82" s="513"/>
      <c r="S82" s="513"/>
      <c r="T82" s="513"/>
      <c r="U82" s="513"/>
      <c r="V82" s="521"/>
      <c r="W82" s="513"/>
      <c r="X82" s="513"/>
      <c r="Y82" s="394"/>
      <c r="Z82" s="394"/>
      <c r="AA82" s="394"/>
      <c r="AB82" s="394"/>
      <c r="AC82" s="394"/>
      <c r="AD82" s="394"/>
      <c r="AE82" s="394"/>
      <c r="AF82" s="394"/>
      <c r="AG82" s="394"/>
      <c r="AH82" s="394"/>
      <c r="AI82" s="394"/>
      <c r="AJ82" s="394"/>
      <c r="AK82" s="394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</row>
    <row r="83" spans="1:139" x14ac:dyDescent="0.25">
      <c r="A83" s="19"/>
      <c r="B83" s="197" t="s">
        <v>525</v>
      </c>
      <c r="C83" s="35" t="s">
        <v>129</v>
      </c>
      <c r="D83" s="456" t="s">
        <v>47</v>
      </c>
      <c r="E83" s="192">
        <f t="shared" ref="E83:F83" si="38">4.18*(1-0.006*E77)</f>
        <v>2.33294397762171</v>
      </c>
      <c r="F83" s="192">
        <f t="shared" si="38"/>
        <v>3.0718464094083249</v>
      </c>
      <c r="G83" s="192">
        <f t="shared" ref="G83:I83" si="39">4.18*(1-0.006*G77)</f>
        <v>3.4551045236686897</v>
      </c>
      <c r="H83" s="192">
        <f t="shared" si="39"/>
        <v>3.6488768612483229</v>
      </c>
      <c r="I83" s="192">
        <f t="shared" si="39"/>
        <v>3.728257299538384</v>
      </c>
      <c r="J83" s="192">
        <f t="shared" ref="J83:K83" si="40">4.18*(1-0.006*J77)</f>
        <v>3.741023166158258</v>
      </c>
      <c r="K83" s="433">
        <f t="shared" si="40"/>
        <v>3.7470440321810239</v>
      </c>
      <c r="L83" s="513"/>
      <c r="M83" s="513"/>
      <c r="N83" s="513"/>
      <c r="O83" s="513"/>
      <c r="P83" s="513"/>
      <c r="Q83" s="513"/>
      <c r="R83" s="513"/>
      <c r="S83" s="513"/>
      <c r="T83" s="513"/>
      <c r="U83" s="513"/>
      <c r="V83" s="521"/>
      <c r="W83" s="513"/>
      <c r="X83" s="513"/>
      <c r="Y83" s="394"/>
      <c r="Z83" s="394"/>
      <c r="AA83" s="394"/>
      <c r="AB83" s="394"/>
      <c r="AC83" s="394"/>
      <c r="AD83" s="394"/>
      <c r="AE83" s="394"/>
      <c r="AF83" s="394"/>
      <c r="AG83" s="394"/>
      <c r="AH83" s="394"/>
      <c r="AI83" s="394"/>
      <c r="AJ83" s="394"/>
      <c r="AK83" s="394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</row>
    <row r="84" spans="1:139" x14ac:dyDescent="0.25">
      <c r="A84" s="19"/>
      <c r="B84" s="197" t="s">
        <v>132</v>
      </c>
      <c r="C84" s="194" t="s">
        <v>133</v>
      </c>
      <c r="D84" s="456" t="s">
        <v>33</v>
      </c>
      <c r="E84" s="192">
        <f t="shared" ref="E84:F84" si="41">2492.9-2.0523*E79-0.0030752*E79^2</f>
        <v>2224.2057705975649</v>
      </c>
      <c r="F84" s="192">
        <f t="shared" si="41"/>
        <v>2253.3747393643475</v>
      </c>
      <c r="G84" s="192">
        <f t="shared" ref="G84:I84" si="42">2492.9-2.0523*G79-0.0030752*G79^2</f>
        <v>2257.3367710939133</v>
      </c>
      <c r="H84" s="192">
        <f t="shared" si="42"/>
        <v>2258.3667239537476</v>
      </c>
      <c r="I84" s="192">
        <f t="shared" si="42"/>
        <v>2309.0347200000006</v>
      </c>
      <c r="J84" s="192">
        <f t="shared" ref="J84:K84" si="43">2492.9-2.0523*J79-0.0030752*J79^2</f>
        <v>2358.69128</v>
      </c>
      <c r="K84" s="433">
        <f t="shared" si="43"/>
        <v>2258.7416539958763</v>
      </c>
      <c r="L84" s="513"/>
      <c r="M84" s="513"/>
      <c r="N84" s="513"/>
      <c r="O84" s="513"/>
      <c r="P84" s="513"/>
      <c r="Q84" s="513"/>
      <c r="R84" s="513"/>
      <c r="S84" s="513"/>
      <c r="T84" s="513"/>
      <c r="U84" s="513"/>
      <c r="V84" s="521"/>
      <c r="W84" s="513"/>
      <c r="X84" s="513"/>
      <c r="Y84" s="394"/>
      <c r="Z84" s="394"/>
      <c r="AA84" s="394"/>
      <c r="AB84" s="394"/>
      <c r="AC84" s="394"/>
      <c r="AD84" s="394"/>
      <c r="AE84" s="394"/>
      <c r="AF84" s="394"/>
      <c r="AG84" s="394"/>
      <c r="AH84" s="394"/>
      <c r="AI84" s="394"/>
      <c r="AJ84" s="394"/>
      <c r="AK84" s="394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</row>
    <row r="85" spans="1:139" x14ac:dyDescent="0.25">
      <c r="A85" s="19"/>
      <c r="B85" s="198" t="s">
        <v>341</v>
      </c>
      <c r="C85" s="35" t="s">
        <v>314</v>
      </c>
      <c r="D85" s="456" t="s">
        <v>277</v>
      </c>
      <c r="E85" s="125">
        <f t="shared" ref="E85:F85" si="44">0.3815-0.0051*E77+0.001866*E79</f>
        <v>0.21507235519426732</v>
      </c>
      <c r="F85" s="125">
        <f t="shared" si="44"/>
        <v>0.34523274874153587</v>
      </c>
      <c r="G85" s="125">
        <f>0.3815-0.0051*G77+0.001866*G79</f>
        <v>0.42040001100068797</v>
      </c>
      <c r="H85" s="39">
        <f>0.3815-0.0051*H77+0.001866*H79</f>
        <v>0.45908236681610842</v>
      </c>
      <c r="I85" s="39">
        <f>0.3815-0.0051*I77+0.001866*I79</f>
        <v>0.4389184460783796</v>
      </c>
      <c r="J85" s="39">
        <f t="shared" ref="J85:K85" si="45">0.3815-0.0051*J77+0.001866*J79</f>
        <v>0.40419437589342577</v>
      </c>
      <c r="K85" s="431">
        <f t="shared" si="45"/>
        <v>0.4787819277182756</v>
      </c>
      <c r="L85" s="513"/>
      <c r="M85" s="513"/>
      <c r="N85" s="513"/>
      <c r="O85" s="513"/>
      <c r="P85" s="513"/>
      <c r="Q85" s="513"/>
      <c r="R85" s="513"/>
      <c r="S85" s="513"/>
      <c r="T85" s="513"/>
      <c r="U85" s="513"/>
      <c r="V85" s="521"/>
      <c r="W85" s="513"/>
      <c r="X85" s="513"/>
      <c r="Y85" s="394"/>
      <c r="Z85" s="394"/>
      <c r="AA85" s="394"/>
      <c r="AB85" s="394"/>
      <c r="AC85" s="394"/>
      <c r="AD85" s="394"/>
      <c r="AE85" s="394"/>
      <c r="AF85" s="394"/>
      <c r="AG85" s="394"/>
      <c r="AH85" s="394"/>
      <c r="AI85" s="394"/>
      <c r="AJ85" s="394"/>
      <c r="AK85" s="394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</row>
    <row r="86" spans="1:139" x14ac:dyDescent="0.25">
      <c r="A86" s="19"/>
      <c r="B86" s="197" t="s">
        <v>281</v>
      </c>
      <c r="C86" s="35" t="s">
        <v>283</v>
      </c>
      <c r="D86" s="456" t="s">
        <v>28</v>
      </c>
      <c r="E86" s="39">
        <f t="shared" ref="E86:F86" si="46">+E68</f>
        <v>0.61399999999999999</v>
      </c>
      <c r="F86" s="39">
        <f t="shared" si="46"/>
        <v>0.99</v>
      </c>
      <c r="G86" s="39">
        <f>+G68</f>
        <v>1.8</v>
      </c>
      <c r="H86" s="39">
        <f>+H68</f>
        <v>2.1760000000000002</v>
      </c>
      <c r="I86" s="39">
        <f>+I68</f>
        <v>2.9</v>
      </c>
      <c r="J86" s="39">
        <f>+J68</f>
        <v>5</v>
      </c>
      <c r="K86" s="431">
        <f>+K68</f>
        <v>1.36</v>
      </c>
      <c r="L86" s="513"/>
      <c r="M86" s="513"/>
      <c r="N86" s="513"/>
      <c r="O86" s="513"/>
      <c r="P86" s="513"/>
      <c r="Q86" s="513"/>
      <c r="R86" s="513"/>
      <c r="S86" s="513"/>
      <c r="T86" s="513"/>
      <c r="U86" s="513"/>
      <c r="V86" s="521"/>
      <c r="W86" s="513"/>
      <c r="X86" s="513"/>
      <c r="Y86" s="394"/>
      <c r="Z86" s="394"/>
      <c r="AB86" s="394"/>
      <c r="AC86" s="394"/>
      <c r="AD86" s="394"/>
      <c r="AE86" s="394"/>
      <c r="AF86" s="394"/>
      <c r="AG86" s="394"/>
      <c r="AH86" s="394"/>
      <c r="AI86" s="394"/>
      <c r="AJ86" s="394"/>
      <c r="AK86" s="394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</row>
    <row r="87" spans="1:139" x14ac:dyDescent="0.25">
      <c r="A87" s="19"/>
      <c r="B87" s="197" t="s">
        <v>280</v>
      </c>
      <c r="C87" s="35" t="s">
        <v>282</v>
      </c>
      <c r="D87" s="456" t="s">
        <v>284</v>
      </c>
      <c r="E87" s="125">
        <f>+(E74/E86)*1000</f>
        <v>76767.852410793435</v>
      </c>
      <c r="F87" s="125">
        <f t="shared" ref="F87" si="47">+F74/F86*1000</f>
        <v>60342.978775036347</v>
      </c>
      <c r="G87" s="125">
        <f>+G74/G86*1000</f>
        <v>43746.049152537576</v>
      </c>
      <c r="H87" s="39">
        <f>+H74/H86*1000</f>
        <v>29688.728636812375</v>
      </c>
      <c r="I87" s="39">
        <f>+I74/I86*1000</f>
        <v>19788.081301853319</v>
      </c>
      <c r="J87" s="39">
        <f t="shared" ref="J87:K87" si="48">+J74/J86*1000</f>
        <v>12500.513558545139</v>
      </c>
      <c r="K87" s="431">
        <f t="shared" si="48"/>
        <v>7791.3702549858117</v>
      </c>
      <c r="L87" s="513"/>
      <c r="M87" s="513"/>
      <c r="N87" s="513"/>
      <c r="O87" s="513"/>
      <c r="P87" s="513"/>
      <c r="Q87" s="513"/>
      <c r="R87" s="513"/>
      <c r="S87" s="513"/>
      <c r="T87" s="513"/>
      <c r="U87" s="513"/>
      <c r="V87" s="521"/>
      <c r="W87" s="513"/>
      <c r="X87" s="513"/>
      <c r="Y87" s="394"/>
      <c r="Z87" s="394"/>
      <c r="AA87" s="394"/>
      <c r="AB87" s="394"/>
      <c r="AC87" s="394"/>
      <c r="AD87" s="394"/>
      <c r="AE87" s="394"/>
      <c r="AF87" s="394"/>
      <c r="AG87" s="394"/>
      <c r="AH87" s="394"/>
      <c r="AI87" s="394"/>
      <c r="AJ87" s="394"/>
      <c r="AK87" s="394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</row>
    <row r="88" spans="1:139" x14ac:dyDescent="0.25">
      <c r="A88" s="19"/>
      <c r="B88" s="197" t="s">
        <v>278</v>
      </c>
      <c r="C88" s="35" t="s">
        <v>279</v>
      </c>
      <c r="D88" s="456" t="s">
        <v>131</v>
      </c>
      <c r="E88" s="39">
        <f t="shared" ref="E88:F88" si="49">+tw(E87,E80,E84,E81,E82,E83,E85,E79)</f>
        <v>227.52703134043244</v>
      </c>
      <c r="F88" s="39">
        <f t="shared" si="49"/>
        <v>119.44269659330392</v>
      </c>
      <c r="G88" s="39">
        <f>+tw(G87,G80,G84,G81,G82,G83,G85,G79)</f>
        <v>106.24312102602461</v>
      </c>
      <c r="H88" s="39">
        <f>+tw(H87,H80,H84,H81,H82,H83,H85,H79)</f>
        <v>102.98638867835588</v>
      </c>
      <c r="I88" s="39">
        <f>+tw(I87,I80,I84,I81,I82,I83,I85,I79)</f>
        <v>83.842785437468137</v>
      </c>
      <c r="J88" s="39">
        <f>+tw(J87,J80,J84,J81,J82,J83,J85,J79)</f>
        <v>65.104774320588859</v>
      </c>
      <c r="K88" s="431">
        <f>+tw(K87,K80,K84,K81,K82,K83,K85,K79)</f>
        <v>101.10377551153148</v>
      </c>
      <c r="L88" s="513"/>
      <c r="M88" s="513"/>
      <c r="N88" s="513"/>
      <c r="O88" s="513"/>
      <c r="P88" s="513"/>
      <c r="Q88" s="513"/>
      <c r="R88" s="513"/>
      <c r="S88" s="513"/>
      <c r="T88" s="513"/>
      <c r="U88" s="513"/>
      <c r="V88" s="521"/>
      <c r="W88" s="513"/>
      <c r="X88" s="513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</row>
    <row r="89" spans="1:139" ht="15.75" thickBot="1" x14ac:dyDescent="0.3">
      <c r="A89" s="19"/>
      <c r="B89" s="199" t="s">
        <v>291</v>
      </c>
      <c r="C89" s="200" t="s">
        <v>292</v>
      </c>
      <c r="D89" s="459" t="s">
        <v>131</v>
      </c>
      <c r="E89" s="201">
        <f t="shared" ref="E89:F89" si="50">+twg(E59,E87,E88)</f>
        <v>295.54691917418199</v>
      </c>
      <c r="F89" s="201">
        <f t="shared" si="50"/>
        <v>163.9982681306854</v>
      </c>
      <c r="G89" s="201">
        <f>+twg(G59,G87,G88)</f>
        <v>138.543982900282</v>
      </c>
      <c r="H89" s="201">
        <f>+twg(H59,H87,H88)</f>
        <v>120.52345164056598</v>
      </c>
      <c r="I89" s="201">
        <f>+twg(I59,I87,I88)</f>
        <v>95.531559043679167</v>
      </c>
      <c r="J89" s="201">
        <f>+twg(J59,J87,J88)</f>
        <v>72.488798608659707</v>
      </c>
      <c r="K89" s="435">
        <f>+twg(K59,K87,K88)</f>
        <v>105.70611980168589</v>
      </c>
      <c r="L89" s="513"/>
      <c r="M89" s="513"/>
      <c r="N89" s="513"/>
      <c r="O89" s="513"/>
      <c r="P89" s="513"/>
      <c r="Q89" s="513"/>
      <c r="R89" s="513"/>
      <c r="S89" s="513"/>
      <c r="T89" s="513"/>
      <c r="U89" s="513"/>
      <c r="V89" s="521"/>
      <c r="W89" s="513"/>
      <c r="X89" s="513"/>
      <c r="Y89" s="394"/>
      <c r="Z89" s="394"/>
      <c r="AA89" s="394"/>
      <c r="AB89" s="394"/>
      <c r="AC89" s="394"/>
      <c r="AD89" s="394"/>
      <c r="AE89" s="394"/>
      <c r="AF89" s="394"/>
      <c r="AG89" s="394"/>
      <c r="AH89" s="394"/>
      <c r="AI89" s="394"/>
      <c r="AJ89" s="394"/>
      <c r="AK89" s="394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</row>
    <row r="90" spans="1:139" ht="15.75" thickBot="1" x14ac:dyDescent="0.3">
      <c r="A90" s="19"/>
      <c r="B90" s="19"/>
      <c r="C90" s="19"/>
      <c r="D90" s="527"/>
      <c r="E90" s="124">
        <f t="shared" ref="E90:K90" si="51">+E78-(E78*E75/E76)</f>
        <v>71.032387241948356</v>
      </c>
      <c r="F90" s="124">
        <f t="shared" si="51"/>
        <v>94.575339843064455</v>
      </c>
      <c r="G90" s="124">
        <f t="shared" si="51"/>
        <v>125.41547227072516</v>
      </c>
      <c r="H90" s="124">
        <f t="shared" si="51"/>
        <v>87.804407794145277</v>
      </c>
      <c r="I90" s="124">
        <f t="shared" si="51"/>
        <v>56.643191727505553</v>
      </c>
      <c r="J90" s="124">
        <f t="shared" si="51"/>
        <v>32.820495027201218</v>
      </c>
      <c r="K90" s="124">
        <f t="shared" si="51"/>
        <v>3.5256639418005307</v>
      </c>
      <c r="L90" s="687"/>
      <c r="M90" s="687"/>
      <c r="N90" s="513"/>
      <c r="O90" s="513"/>
      <c r="P90" s="513"/>
      <c r="Q90" s="513"/>
      <c r="R90" s="513"/>
      <c r="S90" s="513"/>
      <c r="T90" s="513"/>
      <c r="U90" s="513"/>
      <c r="V90" s="521"/>
      <c r="W90" s="513"/>
      <c r="X90" s="513"/>
      <c r="Y90" s="394"/>
      <c r="Z90" s="394"/>
      <c r="AA90" s="394"/>
      <c r="AB90" s="394"/>
      <c r="AC90" s="394"/>
      <c r="AD90" s="394"/>
      <c r="AE90" s="394"/>
      <c r="AF90" s="394"/>
      <c r="AG90" s="394"/>
      <c r="AH90" s="394"/>
      <c r="AI90" s="394"/>
      <c r="AJ90" s="394"/>
      <c r="AK90" s="394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</row>
    <row r="91" spans="1:139" ht="15.75" thickBot="1" x14ac:dyDescent="0.3">
      <c r="A91" s="799" t="s">
        <v>141</v>
      </c>
      <c r="B91" s="800"/>
      <c r="C91" s="800"/>
      <c r="D91" s="800"/>
      <c r="E91" s="800"/>
      <c r="F91" s="800"/>
      <c r="G91" s="800"/>
      <c r="H91" s="800"/>
      <c r="I91" s="800"/>
      <c r="J91" s="800"/>
      <c r="K91" s="800"/>
      <c r="L91" s="800"/>
      <c r="M91" s="800"/>
      <c r="N91" s="800"/>
      <c r="O91" s="800"/>
      <c r="P91" s="800"/>
      <c r="Q91" s="800"/>
      <c r="R91" s="800"/>
      <c r="S91" s="800"/>
      <c r="T91" s="800"/>
      <c r="U91" s="801"/>
      <c r="W91" s="19"/>
      <c r="X91" s="394"/>
      <c r="Y91" s="394"/>
      <c r="Z91" s="394"/>
      <c r="AA91" s="394"/>
      <c r="AB91" s="394"/>
      <c r="AC91" s="394"/>
      <c r="AD91" s="394"/>
      <c r="AE91" s="394"/>
      <c r="AF91" s="394"/>
      <c r="AG91" s="394"/>
      <c r="AH91" s="394"/>
      <c r="AI91" s="394"/>
      <c r="AJ91" s="394"/>
      <c r="AK91" s="394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</row>
    <row r="92" spans="1:139" ht="15.75" thickBot="1" x14ac:dyDescent="0.3">
      <c r="A92" s="138"/>
      <c r="B92" s="169"/>
      <c r="C92" s="169"/>
      <c r="D92" s="182"/>
      <c r="E92" s="138"/>
      <c r="F92" s="168"/>
      <c r="G92" s="169"/>
      <c r="H92" s="169"/>
      <c r="I92" s="138"/>
      <c r="J92" s="168"/>
      <c r="K92" s="169"/>
      <c r="L92" s="138"/>
      <c r="M92" s="138"/>
      <c r="N92" s="138"/>
      <c r="O92" s="138"/>
      <c r="P92" s="138"/>
      <c r="R92" s="19"/>
      <c r="S92" s="19"/>
      <c r="T92" s="19"/>
      <c r="U92" s="19"/>
      <c r="W92" s="19"/>
      <c r="X92" s="394"/>
      <c r="Y92" s="394"/>
      <c r="Z92" s="394"/>
      <c r="AA92" s="394"/>
      <c r="AB92" s="394"/>
      <c r="AC92" s="394"/>
      <c r="AD92" s="394"/>
      <c r="AE92" s="394"/>
      <c r="AF92" s="394"/>
      <c r="AG92" s="394"/>
      <c r="AH92" s="394"/>
      <c r="AI92" s="394"/>
      <c r="AJ92" s="394"/>
      <c r="AK92" s="394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</row>
    <row r="93" spans="1:139" ht="15.75" thickBot="1" x14ac:dyDescent="0.3">
      <c r="A93" s="138"/>
      <c r="B93" s="139" t="s">
        <v>142</v>
      </c>
      <c r="C93" s="140">
        <f>+D3*D4</f>
        <v>340.53606486845007</v>
      </c>
      <c r="D93" s="141" t="s">
        <v>31</v>
      </c>
      <c r="E93" s="138"/>
      <c r="F93" s="925" t="s">
        <v>166</v>
      </c>
      <c r="G93" s="926"/>
      <c r="H93" s="927"/>
      <c r="I93" s="138"/>
      <c r="J93" s="142" t="s">
        <v>177</v>
      </c>
      <c r="K93" s="140">
        <f>(C107*G103)/1000</f>
        <v>389.99651972666936</v>
      </c>
      <c r="L93" s="143" t="s">
        <v>31</v>
      </c>
      <c r="M93" s="19"/>
      <c r="N93" s="922" t="s">
        <v>392</v>
      </c>
      <c r="O93" s="923"/>
      <c r="P93" s="924"/>
      <c r="Q93" s="922" t="s">
        <v>393</v>
      </c>
      <c r="R93" s="923"/>
      <c r="S93" s="922" t="s">
        <v>394</v>
      </c>
      <c r="T93" s="924"/>
      <c r="U93" s="19"/>
      <c r="X93" s="902" t="s">
        <v>615</v>
      </c>
      <c r="Y93" s="902"/>
      <c r="Z93" s="902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</row>
    <row r="94" spans="1:139" x14ac:dyDescent="0.25">
      <c r="A94" s="138"/>
      <c r="B94" s="144" t="s">
        <v>143</v>
      </c>
      <c r="C94" s="145">
        <v>0.95</v>
      </c>
      <c r="D94" s="146" t="s">
        <v>6</v>
      </c>
      <c r="E94" s="138"/>
      <c r="F94" s="270" t="s">
        <v>167</v>
      </c>
      <c r="G94" s="165">
        <f>C104*D100/C105</f>
        <v>9.328046270552095</v>
      </c>
      <c r="H94" s="166" t="s">
        <v>168</v>
      </c>
      <c r="I94" s="138"/>
      <c r="J94" s="150" t="s">
        <v>179</v>
      </c>
      <c r="K94" s="148">
        <f>(C108*G104)/1000</f>
        <v>13.063975442139537</v>
      </c>
      <c r="L94" s="151" t="s">
        <v>31</v>
      </c>
      <c r="M94" s="19"/>
      <c r="N94" s="818" t="s">
        <v>437</v>
      </c>
      <c r="O94" s="819"/>
      <c r="P94" s="344" t="s">
        <v>366</v>
      </c>
      <c r="Q94" s="343">
        <f>+AI4</f>
        <v>1.1109989116333183</v>
      </c>
      <c r="R94" s="461" t="s">
        <v>28</v>
      </c>
      <c r="S94" s="460">
        <f>Q94</f>
        <v>1.1109989116333183</v>
      </c>
      <c r="T94" s="238" t="s">
        <v>28</v>
      </c>
      <c r="U94" s="19"/>
      <c r="X94" s="394" t="s">
        <v>142</v>
      </c>
      <c r="Y94" s="394">
        <v>74.775399466652942</v>
      </c>
      <c r="Z94" s="394" t="s">
        <v>31</v>
      </c>
      <c r="AA94" s="394"/>
      <c r="AB94" s="394"/>
      <c r="AC94" s="394"/>
      <c r="AD94" s="394"/>
      <c r="AE94" s="394"/>
      <c r="AF94" s="394"/>
      <c r="AG94" s="394"/>
      <c r="AH94" s="394"/>
      <c r="AI94" s="394"/>
      <c r="AJ94" s="394"/>
      <c r="AK94" s="394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</row>
    <row r="95" spans="1:139" x14ac:dyDescent="0.25">
      <c r="A95" s="138"/>
      <c r="B95" s="152" t="s">
        <v>144</v>
      </c>
      <c r="C95" s="153">
        <f>+D14</f>
        <v>0.3</v>
      </c>
      <c r="D95" s="149" t="s">
        <v>6</v>
      </c>
      <c r="E95" s="138"/>
      <c r="F95" s="147" t="s">
        <v>169</v>
      </c>
      <c r="G95" s="148">
        <f>D101*C104/C106</f>
        <v>7.6861673073369827</v>
      </c>
      <c r="H95" s="149" t="s">
        <v>168</v>
      </c>
      <c r="I95" s="138"/>
      <c r="J95" s="150" t="s">
        <v>181</v>
      </c>
      <c r="K95" s="148">
        <f>(C109*G106)/1000</f>
        <v>243.07483721070557</v>
      </c>
      <c r="L95" s="151" t="s">
        <v>31</v>
      </c>
      <c r="M95" s="19"/>
      <c r="N95" s="818" t="s">
        <v>368</v>
      </c>
      <c r="O95" s="819"/>
      <c r="P95" s="344" t="s">
        <v>369</v>
      </c>
      <c r="Q95" s="343">
        <f>AG4</f>
        <v>0.155</v>
      </c>
      <c r="R95" s="461" t="s">
        <v>60</v>
      </c>
      <c r="S95" s="460">
        <f>Q95</f>
        <v>0.155</v>
      </c>
      <c r="T95" s="238" t="s">
        <v>60</v>
      </c>
      <c r="U95" s="19"/>
      <c r="X95" s="394" t="s">
        <v>144</v>
      </c>
      <c r="Y95" s="394">
        <v>30</v>
      </c>
      <c r="Z95" s="394" t="s">
        <v>6</v>
      </c>
      <c r="AA95" s="394"/>
      <c r="AB95" s="394"/>
      <c r="AC95" s="394"/>
      <c r="AD95" s="394"/>
      <c r="AE95" s="394"/>
      <c r="AF95" s="394"/>
      <c r="AG95" s="394"/>
      <c r="AH95" s="394"/>
      <c r="AI95" s="394"/>
      <c r="AJ95" s="394"/>
      <c r="AK95" s="394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</row>
    <row r="96" spans="1:139" x14ac:dyDescent="0.25">
      <c r="A96" s="138"/>
      <c r="B96" s="152" t="s">
        <v>145</v>
      </c>
      <c r="C96" s="148">
        <f>+D15</f>
        <v>1.8</v>
      </c>
      <c r="D96" s="149" t="s">
        <v>120</v>
      </c>
      <c r="E96" s="138"/>
      <c r="F96" s="147" t="s">
        <v>170</v>
      </c>
      <c r="G96" s="148">
        <f>D102*C104/C110</f>
        <v>3.277782541204127</v>
      </c>
      <c r="H96" s="149" t="s">
        <v>168</v>
      </c>
      <c r="I96" s="138"/>
      <c r="J96" s="150" t="s">
        <v>182</v>
      </c>
      <c r="K96" s="148">
        <f>(C110*G107)/1000</f>
        <v>260.72235256678727</v>
      </c>
      <c r="L96" s="151" t="s">
        <v>31</v>
      </c>
      <c r="M96" s="19"/>
      <c r="N96" s="818" t="s">
        <v>367</v>
      </c>
      <c r="O96" s="819"/>
      <c r="P96" s="344" t="s">
        <v>371</v>
      </c>
      <c r="Q96" s="343">
        <f>AK5</f>
        <v>0.75</v>
      </c>
      <c r="R96" s="344" t="s">
        <v>60</v>
      </c>
      <c r="S96" s="463">
        <v>0.75</v>
      </c>
      <c r="T96" s="6" t="s">
        <v>60</v>
      </c>
      <c r="U96" s="19"/>
      <c r="X96" s="394" t="s">
        <v>145</v>
      </c>
      <c r="Y96" s="394">
        <v>1.8</v>
      </c>
      <c r="Z96" s="394" t="s">
        <v>120</v>
      </c>
      <c r="AA96" s="394"/>
      <c r="AB96" s="394"/>
      <c r="AC96" s="394"/>
      <c r="AD96" s="394"/>
      <c r="AE96" s="394"/>
      <c r="AF96" s="394"/>
      <c r="AG96" s="394"/>
      <c r="AH96" s="394"/>
      <c r="AI96" s="394"/>
      <c r="AJ96" s="394"/>
      <c r="AK96" s="394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</row>
    <row r="97" spans="1:139" x14ac:dyDescent="0.25">
      <c r="A97" s="138"/>
      <c r="B97" s="152" t="s">
        <v>146</v>
      </c>
      <c r="C97" s="148">
        <v>1E-3</v>
      </c>
      <c r="D97" s="151" t="s">
        <v>347</v>
      </c>
      <c r="E97" s="138"/>
      <c r="F97" s="147" t="s">
        <v>171</v>
      </c>
      <c r="G97" s="148">
        <f>C95*C93/C109</f>
        <v>5.6707872128845631</v>
      </c>
      <c r="H97" s="149" t="s">
        <v>168</v>
      </c>
      <c r="I97" s="138"/>
      <c r="J97" s="150" t="s">
        <v>183</v>
      </c>
      <c r="K97" s="148">
        <f>(C111*G108)/1000</f>
        <v>1875.726142017334</v>
      </c>
      <c r="L97" s="151" t="s">
        <v>31</v>
      </c>
      <c r="M97" s="19"/>
      <c r="N97" s="818" t="s">
        <v>373</v>
      </c>
      <c r="O97" s="819"/>
      <c r="P97" s="344" t="s">
        <v>374</v>
      </c>
      <c r="Q97" s="343">
        <f>AK6</f>
        <v>10</v>
      </c>
      <c r="R97" s="344" t="s">
        <v>375</v>
      </c>
      <c r="S97" s="463">
        <v>4</v>
      </c>
      <c r="T97" s="6" t="s">
        <v>43</v>
      </c>
      <c r="U97" s="19"/>
      <c r="X97" s="394" t="s">
        <v>146</v>
      </c>
      <c r="Y97" s="394">
        <v>1E-3</v>
      </c>
      <c r="Z97" s="394" t="s">
        <v>614</v>
      </c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</row>
    <row r="98" spans="1:139" ht="15.75" thickBot="1" x14ac:dyDescent="0.3">
      <c r="A98" s="138"/>
      <c r="B98" s="154" t="s">
        <v>147</v>
      </c>
      <c r="C98" s="102">
        <f>D13+273.15</f>
        <v>366.54999999999995</v>
      </c>
      <c r="D98" s="103" t="s">
        <v>148</v>
      </c>
      <c r="E98" s="138"/>
      <c r="F98" s="147" t="s">
        <v>172</v>
      </c>
      <c r="G98" s="148">
        <f>(G94+G95/2)-G96</f>
        <v>9.8933473830164598</v>
      </c>
      <c r="H98" s="149" t="s">
        <v>168</v>
      </c>
      <c r="I98" s="138"/>
      <c r="J98" s="150" t="s">
        <v>285</v>
      </c>
      <c r="K98" s="148">
        <f>SUM(K93:K97)</f>
        <v>2782.5838269636361</v>
      </c>
      <c r="L98" s="151" t="str">
        <f>L97</f>
        <v>kg</v>
      </c>
      <c r="M98" s="19"/>
      <c r="N98" s="818" t="s">
        <v>377</v>
      </c>
      <c r="O98" s="819"/>
      <c r="P98" s="344" t="s">
        <v>378</v>
      </c>
      <c r="Q98" s="343">
        <f>AK8</f>
        <v>2</v>
      </c>
      <c r="R98" s="344" t="s">
        <v>375</v>
      </c>
      <c r="S98" s="463">
        <v>1</v>
      </c>
      <c r="T98" s="6" t="s">
        <v>43</v>
      </c>
      <c r="U98" s="19"/>
      <c r="X98" s="903" t="s">
        <v>141</v>
      </c>
      <c r="Y98" s="903"/>
      <c r="Z98" s="903"/>
      <c r="AA98" s="903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</row>
    <row r="99" spans="1:139" ht="15.75" thickBot="1" x14ac:dyDescent="0.3">
      <c r="A99" s="138"/>
      <c r="B99" s="928" t="s">
        <v>149</v>
      </c>
      <c r="C99" s="929"/>
      <c r="D99" s="930"/>
      <c r="E99" s="138"/>
      <c r="F99" s="147" t="s">
        <v>173</v>
      </c>
      <c r="G99" s="148">
        <f>G98*C96</f>
        <v>17.808025289429629</v>
      </c>
      <c r="H99" s="149" t="s">
        <v>168</v>
      </c>
      <c r="I99" s="138"/>
      <c r="J99" s="150" t="s">
        <v>286</v>
      </c>
      <c r="K99" s="163">
        <f>K98/3600</f>
        <v>0.77293995193434339</v>
      </c>
      <c r="L99" s="151" t="s">
        <v>287</v>
      </c>
      <c r="M99" s="19"/>
      <c r="N99" s="818" t="s">
        <v>380</v>
      </c>
      <c r="O99" s="819"/>
      <c r="P99" s="344" t="s">
        <v>381</v>
      </c>
      <c r="Q99" s="343">
        <f>AK10</f>
        <v>0.77500000000000002</v>
      </c>
      <c r="R99" s="461" t="s">
        <v>60</v>
      </c>
      <c r="S99" s="462">
        <f>S97*S95/S98</f>
        <v>0.62</v>
      </c>
      <c r="T99" s="467" t="s">
        <v>60</v>
      </c>
      <c r="U99" s="19"/>
      <c r="X99" s="394" t="s">
        <v>177</v>
      </c>
      <c r="Y99" s="394">
        <v>85.635997363249928</v>
      </c>
      <c r="Z99" s="394" t="s">
        <v>31</v>
      </c>
      <c r="AA99" s="394"/>
      <c r="AB99" s="394"/>
      <c r="AC99" s="394"/>
      <c r="AD99" s="394"/>
      <c r="AE99" s="394"/>
      <c r="AF99" s="394"/>
      <c r="AG99" s="394"/>
      <c r="AH99" s="394"/>
      <c r="AI99" s="394"/>
      <c r="AJ99" s="394"/>
      <c r="AK99" s="394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</row>
    <row r="100" spans="1:139" ht="15.75" thickBot="1" x14ac:dyDescent="0.3">
      <c r="A100" s="138"/>
      <c r="B100" s="152" t="s">
        <v>150</v>
      </c>
      <c r="C100" s="148" t="s">
        <v>151</v>
      </c>
      <c r="D100" s="149">
        <v>0.47</v>
      </c>
      <c r="E100" s="138"/>
      <c r="F100" s="147" t="s">
        <v>174</v>
      </c>
      <c r="G100" s="148">
        <f>G99*3.76</f>
        <v>66.958175088255402</v>
      </c>
      <c r="H100" s="149" t="s">
        <v>168</v>
      </c>
      <c r="I100" s="138"/>
      <c r="J100" s="209" t="s">
        <v>351</v>
      </c>
      <c r="K100" s="28">
        <f>+(K99/Densidad_kgm3($K$102,$K$101,$K$105,$K$104,$K$103,E128*101.325,K109))/0.32</f>
        <v>10.352790131999678</v>
      </c>
      <c r="L100" s="210" t="s">
        <v>208</v>
      </c>
      <c r="M100" s="19"/>
      <c r="N100" s="821" t="s">
        <v>364</v>
      </c>
      <c r="O100" s="822"/>
      <c r="P100" s="346" t="s">
        <v>382</v>
      </c>
      <c r="Q100" s="239">
        <f>AK11</f>
        <v>1.1624999999999999</v>
      </c>
      <c r="R100" s="352" t="s">
        <v>28</v>
      </c>
      <c r="S100" s="239">
        <f>+S96*S98*S99</f>
        <v>0.46499999999999997</v>
      </c>
      <c r="T100" s="352" t="s">
        <v>28</v>
      </c>
      <c r="U100" s="19"/>
      <c r="X100" s="394" t="s">
        <v>179</v>
      </c>
      <c r="Y100" s="394">
        <v>2.8686065385934776</v>
      </c>
      <c r="Z100" s="394" t="s">
        <v>31</v>
      </c>
      <c r="AA100" s="394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</row>
    <row r="101" spans="1:139" ht="15.75" thickBot="1" x14ac:dyDescent="0.3">
      <c r="A101" s="138"/>
      <c r="B101" s="152" t="s">
        <v>152</v>
      </c>
      <c r="C101" s="148" t="s">
        <v>153</v>
      </c>
      <c r="D101" s="149">
        <v>6.5000000000000002E-2</v>
      </c>
      <c r="E101" s="138"/>
      <c r="F101" s="160" t="s">
        <v>175</v>
      </c>
      <c r="G101" s="161">
        <f>(G100*C111+G99*C110)*C97/C109</f>
        <v>0.13574929624456208</v>
      </c>
      <c r="H101" s="162" t="s">
        <v>168</v>
      </c>
      <c r="I101" s="138"/>
      <c r="J101" s="207" t="s">
        <v>177</v>
      </c>
      <c r="K101" s="208">
        <f>+G103/$G$109</f>
        <v>9.0492526800389564E-2</v>
      </c>
      <c r="L101" s="211" t="s">
        <v>288</v>
      </c>
      <c r="M101" s="19"/>
      <c r="N101" s="922" t="s">
        <v>395</v>
      </c>
      <c r="O101" s="923"/>
      <c r="P101" s="924"/>
      <c r="Q101" s="922" t="s">
        <v>393</v>
      </c>
      <c r="R101" s="924"/>
      <c r="S101" s="865" t="s">
        <v>394</v>
      </c>
      <c r="T101" s="867"/>
      <c r="U101" s="19"/>
      <c r="X101" s="394" t="s">
        <v>181</v>
      </c>
      <c r="Y101" s="394">
        <v>53.37472276172447</v>
      </c>
      <c r="Z101" s="394" t="s">
        <v>31</v>
      </c>
      <c r="AA101" s="394"/>
      <c r="AB101" s="394"/>
      <c r="AC101" s="394"/>
      <c r="AD101" s="394"/>
      <c r="AE101" s="394"/>
      <c r="AF101" s="394"/>
      <c r="AG101" s="394"/>
      <c r="AH101" s="394"/>
      <c r="AI101" s="394"/>
      <c r="AJ101" s="394"/>
      <c r="AK101" s="394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</row>
    <row r="102" spans="1:139" ht="15.75" thickBot="1" x14ac:dyDescent="0.3">
      <c r="A102" s="138"/>
      <c r="B102" s="152" t="s">
        <v>154</v>
      </c>
      <c r="C102" s="148" t="s">
        <v>155</v>
      </c>
      <c r="D102" s="149">
        <v>0.44</v>
      </c>
      <c r="E102" s="138"/>
      <c r="F102" s="925" t="s">
        <v>176</v>
      </c>
      <c r="G102" s="926"/>
      <c r="H102" s="927"/>
      <c r="I102" s="138"/>
      <c r="J102" s="150" t="s">
        <v>179</v>
      </c>
      <c r="K102" s="163">
        <f>+G104/$G$109</f>
        <v>4.7627645684415456E-3</v>
      </c>
      <c r="L102" s="151" t="s">
        <v>288</v>
      </c>
      <c r="M102" s="19"/>
      <c r="N102" s="815" t="s">
        <v>383</v>
      </c>
      <c r="O102" s="816"/>
      <c r="P102" s="342" t="s">
        <v>384</v>
      </c>
      <c r="Q102" s="341">
        <f>Q21/300</f>
        <v>3.7033297054443945</v>
      </c>
      <c r="R102" s="240" t="s">
        <v>385</v>
      </c>
      <c r="S102" s="344">
        <f>Q102</f>
        <v>3.7033297054443945</v>
      </c>
      <c r="T102" s="238" t="s">
        <v>385</v>
      </c>
      <c r="U102" s="19"/>
      <c r="X102" s="394" t="s">
        <v>182</v>
      </c>
      <c r="Y102" s="394">
        <v>57.249789594527229</v>
      </c>
      <c r="Z102" s="394" t="s">
        <v>31</v>
      </c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</row>
    <row r="103" spans="1:139" ht="15.75" thickBot="1" x14ac:dyDescent="0.3">
      <c r="A103" s="138"/>
      <c r="B103" s="152" t="s">
        <v>156</v>
      </c>
      <c r="C103" s="148" t="s">
        <v>157</v>
      </c>
      <c r="D103" s="149">
        <v>2.5000000000000001E-2</v>
      </c>
      <c r="E103" s="138"/>
      <c r="F103" s="270" t="s">
        <v>177</v>
      </c>
      <c r="G103" s="165">
        <f>G94*C94*1000</f>
        <v>8861.6439570244911</v>
      </c>
      <c r="H103" s="166" t="s">
        <v>178</v>
      </c>
      <c r="I103" s="138"/>
      <c r="J103" s="150" t="s">
        <v>181</v>
      </c>
      <c r="K103" s="163">
        <f>+G106/$G$109</f>
        <v>0.1377835611137839</v>
      </c>
      <c r="L103" s="151" t="s">
        <v>288</v>
      </c>
      <c r="M103" s="19"/>
      <c r="N103" s="818" t="s">
        <v>386</v>
      </c>
      <c r="O103" s="819"/>
      <c r="P103" s="344" t="s">
        <v>387</v>
      </c>
      <c r="Q103" s="343">
        <f>Q99+0.2</f>
        <v>0.97500000000000009</v>
      </c>
      <c r="R103" s="238" t="s">
        <v>60</v>
      </c>
      <c r="S103" s="241">
        <f>+S99+0.24</f>
        <v>0.86</v>
      </c>
      <c r="T103" s="238" t="s">
        <v>60</v>
      </c>
      <c r="U103" s="19"/>
      <c r="X103" s="394" t="s">
        <v>183</v>
      </c>
      <c r="Y103" s="394">
        <v>411.87464714955235</v>
      </c>
      <c r="Z103" s="394" t="s">
        <v>31</v>
      </c>
      <c r="AA103" s="394"/>
      <c r="AB103" s="394"/>
      <c r="AC103" s="394"/>
      <c r="AD103" s="394"/>
      <c r="AE103" s="394"/>
      <c r="AF103" s="394"/>
      <c r="AG103" s="394"/>
      <c r="AH103" s="394"/>
      <c r="AI103" s="394"/>
      <c r="AJ103" s="394"/>
      <c r="AK103" s="394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</row>
    <row r="104" spans="1:139" ht="15.75" thickBot="1" x14ac:dyDescent="0.3">
      <c r="A104" s="138"/>
      <c r="B104" s="154" t="s">
        <v>158</v>
      </c>
      <c r="C104" s="102">
        <f>C93*(1-C95)</f>
        <v>238.37524540791503</v>
      </c>
      <c r="D104" s="103" t="s">
        <v>31</v>
      </c>
      <c r="E104" s="138"/>
      <c r="F104" s="147" t="s">
        <v>179</v>
      </c>
      <c r="G104" s="148">
        <f>(G94*1000-G103)</f>
        <v>466.40231352760384</v>
      </c>
      <c r="H104" s="149" t="s">
        <v>178</v>
      </c>
      <c r="I104" s="138"/>
      <c r="J104" s="150" t="s">
        <v>182</v>
      </c>
      <c r="K104" s="163">
        <f>+G107/$G$109</f>
        <v>8.3203767615422072E-2</v>
      </c>
      <c r="L104" s="151" t="s">
        <v>288</v>
      </c>
      <c r="M104" s="19"/>
      <c r="N104" s="818" t="s">
        <v>388</v>
      </c>
      <c r="O104" s="819"/>
      <c r="P104" s="344" t="s">
        <v>389</v>
      </c>
      <c r="Q104" s="343">
        <f>Q96*Q98+0.1</f>
        <v>1.6</v>
      </c>
      <c r="R104" s="238" t="s">
        <v>60</v>
      </c>
      <c r="S104" s="241">
        <f>2*S96+0.12</f>
        <v>1.62</v>
      </c>
      <c r="T104" s="238" t="s">
        <v>60</v>
      </c>
      <c r="U104" s="19"/>
      <c r="X104" s="394" t="s">
        <v>285</v>
      </c>
      <c r="Y104" s="394">
        <v>611.00376340764751</v>
      </c>
      <c r="Z104" s="394" t="s">
        <v>31</v>
      </c>
      <c r="AA104" s="394"/>
      <c r="AB104" s="394"/>
      <c r="AC104" s="394"/>
      <c r="AD104" s="394"/>
      <c r="AE104" s="394"/>
      <c r="AF104" s="394"/>
      <c r="AG104" s="394"/>
      <c r="AH104" s="394"/>
      <c r="AI104" s="394"/>
      <c r="AJ104" s="394"/>
      <c r="AK104" s="394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</row>
    <row r="105" spans="1:139" ht="15.75" thickBot="1" x14ac:dyDescent="0.3">
      <c r="A105" s="138"/>
      <c r="B105" s="164" t="s">
        <v>151</v>
      </c>
      <c r="C105" s="165">
        <v>12.0107</v>
      </c>
      <c r="D105" s="166" t="s">
        <v>159</v>
      </c>
      <c r="E105" s="138"/>
      <c r="F105" s="147" t="s">
        <v>180</v>
      </c>
      <c r="G105" s="148">
        <f>G95*1000</f>
        <v>7686.167307336983</v>
      </c>
      <c r="H105" s="149" t="s">
        <v>178</v>
      </c>
      <c r="I105" s="138"/>
      <c r="J105" s="150" t="s">
        <v>183</v>
      </c>
      <c r="K105" s="163">
        <f>+G108/$G$109</f>
        <v>0.68375737990196284</v>
      </c>
      <c r="L105" s="151" t="s">
        <v>288</v>
      </c>
      <c r="M105" s="19"/>
      <c r="N105" s="922" t="s">
        <v>390</v>
      </c>
      <c r="O105" s="923"/>
      <c r="P105" s="352" t="s">
        <v>391</v>
      </c>
      <c r="Q105" s="345">
        <f>Q102/(Q103*Q104)</f>
        <v>2.3739292983617908</v>
      </c>
      <c r="R105" s="352" t="s">
        <v>60</v>
      </c>
      <c r="S105" s="345">
        <f>S102/(S103*S104)</f>
        <v>2.6581465011803003</v>
      </c>
      <c r="T105" s="352" t="s">
        <v>60</v>
      </c>
      <c r="U105" s="19"/>
      <c r="X105" s="394" t="s">
        <v>286</v>
      </c>
      <c r="Y105" s="394">
        <v>0.16972326761323542</v>
      </c>
      <c r="Z105" s="394" t="s">
        <v>287</v>
      </c>
      <c r="AA105" s="394"/>
      <c r="AB105" s="394"/>
      <c r="AC105" s="394"/>
      <c r="AD105" s="394"/>
      <c r="AE105" s="394"/>
      <c r="AF105" s="394"/>
      <c r="AG105" s="394"/>
      <c r="AH105" s="394"/>
      <c r="AI105" s="394"/>
      <c r="AJ105" s="394"/>
      <c r="AK105" s="394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</row>
    <row r="106" spans="1:139" ht="15.75" thickBot="1" x14ac:dyDescent="0.3">
      <c r="A106" s="138"/>
      <c r="B106" s="152" t="s">
        <v>160</v>
      </c>
      <c r="C106" s="148">
        <f>1.00794*2</f>
        <v>2.0158800000000001</v>
      </c>
      <c r="D106" s="149" t="s">
        <v>159</v>
      </c>
      <c r="E106" s="138"/>
      <c r="F106" s="147" t="s">
        <v>181</v>
      </c>
      <c r="G106" s="148">
        <f>G105+(G101+G97)*1000</f>
        <v>13492.703816466108</v>
      </c>
      <c r="H106" s="149" t="s">
        <v>178</v>
      </c>
      <c r="I106" s="138"/>
      <c r="J106" s="155" t="s">
        <v>285</v>
      </c>
      <c r="K106" s="156">
        <f>+SUM(K101:K105)</f>
        <v>1</v>
      </c>
      <c r="L106" s="157" t="s">
        <v>288</v>
      </c>
      <c r="M106" s="19"/>
      <c r="N106" s="19"/>
      <c r="O106" s="19"/>
      <c r="P106" s="158"/>
      <c r="Q106" s="138"/>
      <c r="R106" s="138"/>
      <c r="S106" s="138"/>
      <c r="T106" s="138"/>
      <c r="U106" s="19"/>
      <c r="X106" s="394" t="s">
        <v>351</v>
      </c>
      <c r="Y106" s="394">
        <v>0.85436222880508916</v>
      </c>
      <c r="Z106" s="394" t="s">
        <v>208</v>
      </c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</row>
    <row r="107" spans="1:139" x14ac:dyDescent="0.25">
      <c r="A107" s="138"/>
      <c r="B107" s="152" t="s">
        <v>161</v>
      </c>
      <c r="C107" s="148">
        <v>44.009500000000003</v>
      </c>
      <c r="D107" s="149" t="s">
        <v>159</v>
      </c>
      <c r="E107" s="138"/>
      <c r="F107" s="147" t="s">
        <v>182</v>
      </c>
      <c r="G107" s="148">
        <f>(G99-G98)*1000+G104/2</f>
        <v>8147.8790631769716</v>
      </c>
      <c r="H107" s="149" t="s">
        <v>178</v>
      </c>
      <c r="I107" s="138">
        <f>0.465*0.688</f>
        <v>0.31991999999999998</v>
      </c>
      <c r="J107" s="168"/>
      <c r="K107" s="169"/>
      <c r="L107" s="168"/>
      <c r="M107" s="19"/>
      <c r="N107" s="931" t="s">
        <v>438</v>
      </c>
      <c r="O107" s="932"/>
      <c r="P107" s="348">
        <f>2*(Q103*Q104+Q103*Q105+Q104*Q105)</f>
        <v>15.345735886563224</v>
      </c>
      <c r="Q107" s="348" t="s">
        <v>28</v>
      </c>
      <c r="R107" s="274" t="s">
        <v>439</v>
      </c>
      <c r="S107" s="19"/>
      <c r="T107" s="19"/>
      <c r="U107" s="19"/>
      <c r="X107" s="394" t="s">
        <v>293</v>
      </c>
      <c r="Y107" s="394">
        <v>1160.3571357603516</v>
      </c>
      <c r="Z107" s="394" t="s">
        <v>131</v>
      </c>
      <c r="AA107" s="394"/>
      <c r="AB107" s="394"/>
      <c r="AC107" s="394"/>
      <c r="AD107" s="394"/>
      <c r="AE107" s="394"/>
      <c r="AF107" s="394"/>
      <c r="AG107" s="394"/>
      <c r="AH107" s="394"/>
      <c r="AI107" s="394"/>
      <c r="AJ107" s="394"/>
      <c r="AK107" s="394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</row>
    <row r="108" spans="1:139" ht="15.75" thickBot="1" x14ac:dyDescent="0.3">
      <c r="A108" s="138"/>
      <c r="B108" s="152" t="s">
        <v>162</v>
      </c>
      <c r="C108" s="148">
        <v>28.010100000000001</v>
      </c>
      <c r="D108" s="149" t="s">
        <v>159</v>
      </c>
      <c r="E108" s="138"/>
      <c r="F108" s="147" t="s">
        <v>183</v>
      </c>
      <c r="G108" s="148">
        <f>G100*1000</f>
        <v>66958.175088255404</v>
      </c>
      <c r="H108" s="149" t="s">
        <v>178</v>
      </c>
      <c r="I108" s="138"/>
      <c r="J108" s="38"/>
      <c r="K108" s="19"/>
      <c r="L108" s="38"/>
      <c r="M108" s="19"/>
      <c r="N108" s="765" t="s">
        <v>440</v>
      </c>
      <c r="O108" s="766"/>
      <c r="P108" s="349" t="s">
        <v>439</v>
      </c>
      <c r="Q108" s="269" t="s">
        <v>442</v>
      </c>
      <c r="R108" s="275" t="s">
        <v>443</v>
      </c>
      <c r="S108" s="19"/>
      <c r="T108" s="19"/>
      <c r="U108" s="19"/>
      <c r="X108" s="394" t="s">
        <v>294</v>
      </c>
      <c r="Y108" s="394">
        <v>235.63513253475594</v>
      </c>
      <c r="Z108" s="394" t="s">
        <v>188</v>
      </c>
      <c r="AA108" s="394"/>
      <c r="AB108" s="394"/>
      <c r="AC108" s="394"/>
      <c r="AD108" s="394"/>
      <c r="AE108" s="394"/>
      <c r="AF108" s="394"/>
      <c r="AG108" s="394"/>
      <c r="AH108" s="394"/>
      <c r="AI108" s="394"/>
      <c r="AJ108" s="394"/>
      <c r="AK108" s="394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</row>
    <row r="109" spans="1:139" x14ac:dyDescent="0.25">
      <c r="A109" s="138"/>
      <c r="B109" s="152" t="s">
        <v>163</v>
      </c>
      <c r="C109" s="148">
        <v>18.015280000000001</v>
      </c>
      <c r="D109" s="149" t="s">
        <v>159</v>
      </c>
      <c r="E109" s="138"/>
      <c r="F109" s="147" t="s">
        <v>185</v>
      </c>
      <c r="G109" s="148">
        <f>SUM(G103:G104,G106:G108)</f>
        <v>97926.804238450582</v>
      </c>
      <c r="H109" s="149" t="s">
        <v>178</v>
      </c>
      <c r="I109" s="138"/>
      <c r="J109" s="142" t="s">
        <v>293</v>
      </c>
      <c r="K109" s="170">
        <f>Tadiabatica(C96,C94,D14,C97)</f>
        <v>1160.3571357603516</v>
      </c>
      <c r="L109" s="171" t="s">
        <v>131</v>
      </c>
      <c r="M109" s="19"/>
      <c r="N109" s="933" t="s">
        <v>204</v>
      </c>
      <c r="O109" s="934"/>
      <c r="P109" s="85">
        <f>IF(P108="Refractario",0.29,IF(P108="Semirefractario",0.45,0.9))</f>
        <v>0.28999999999999998</v>
      </c>
      <c r="Q109" s="85" t="s">
        <v>444</v>
      </c>
      <c r="R109" s="275" t="s">
        <v>441</v>
      </c>
      <c r="S109" s="19"/>
      <c r="T109" s="19"/>
      <c r="U109" s="19"/>
      <c r="AA109" s="394"/>
      <c r="AB109" s="394"/>
      <c r="AC109" s="394"/>
      <c r="AD109" s="394"/>
      <c r="AE109" s="394"/>
      <c r="AF109" s="394"/>
      <c r="AG109" s="394"/>
      <c r="AH109" s="394"/>
      <c r="AI109" s="394"/>
      <c r="AJ109" s="394"/>
      <c r="AK109" s="394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</row>
    <row r="110" spans="1:139" ht="15.75" thickBot="1" x14ac:dyDescent="0.3">
      <c r="A110" s="138"/>
      <c r="B110" s="152" t="s">
        <v>164</v>
      </c>
      <c r="C110" s="148">
        <v>31.998799999999999</v>
      </c>
      <c r="D110" s="149" t="s">
        <v>159</v>
      </c>
      <c r="E110" s="138"/>
      <c r="F110" s="147" t="s">
        <v>184</v>
      </c>
      <c r="G110" s="148">
        <f>1180+273.15</f>
        <v>1453.15</v>
      </c>
      <c r="H110" s="149" t="s">
        <v>13</v>
      </c>
      <c r="I110" s="272"/>
      <c r="J110" s="172" t="s">
        <v>294</v>
      </c>
      <c r="K110" s="173">
        <f>+DH_KJKmol(25,K109,G104/1000,G103/1000,G108/1000,G107/1000,G106/1000)/3600</f>
        <v>1073.1104260289044</v>
      </c>
      <c r="L110" s="167" t="s">
        <v>188</v>
      </c>
      <c r="M110" s="19"/>
      <c r="N110" s="765" t="s">
        <v>445</v>
      </c>
      <c r="O110" s="766"/>
      <c r="P110" s="349">
        <v>0.12</v>
      </c>
      <c r="Q110" s="349" t="s">
        <v>60</v>
      </c>
      <c r="R110" s="276">
        <f>+K109</f>
        <v>1160.3571357603516</v>
      </c>
      <c r="S110" s="19"/>
      <c r="T110" s="19"/>
      <c r="U110" s="19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</row>
    <row r="111" spans="1:139" ht="15.75" thickBot="1" x14ac:dyDescent="0.3">
      <c r="A111" s="138"/>
      <c r="B111" s="154" t="s">
        <v>165</v>
      </c>
      <c r="C111" s="102">
        <v>28.013400000000001</v>
      </c>
      <c r="D111" s="103" t="s">
        <v>159</v>
      </c>
      <c r="E111" s="138"/>
      <c r="F111" s="147" t="s">
        <v>186</v>
      </c>
      <c r="G111" s="271">
        <f>(G103*C107)+(G104*C108)+(C109*G106)+(G107*C110)+(C111*G108)</f>
        <v>2782583.8269636356</v>
      </c>
      <c r="H111" s="149" t="s">
        <v>187</v>
      </c>
      <c r="I111" s="272"/>
      <c r="J111" s="38"/>
      <c r="K111" s="19"/>
      <c r="L111" s="19"/>
      <c r="M111" s="19"/>
      <c r="N111" s="935" t="s">
        <v>446</v>
      </c>
      <c r="O111" s="936"/>
      <c r="P111" s="351">
        <f>P109*P107*(R111-D19)/P110</f>
        <v>33403.968248928242</v>
      </c>
      <c r="Q111" s="351" t="s">
        <v>447</v>
      </c>
      <c r="R111" s="277">
        <f>-264.44+1.03*R110</f>
        <v>930.72784983316205</v>
      </c>
      <c r="S111" s="19"/>
      <c r="T111" s="19"/>
      <c r="U111" s="19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</row>
    <row r="112" spans="1:139" ht="15.75" thickBot="1" x14ac:dyDescent="0.3">
      <c r="A112" s="138"/>
      <c r="B112" s="174"/>
      <c r="C112" s="175"/>
      <c r="D112" s="175"/>
      <c r="E112" s="138"/>
      <c r="F112" s="160" t="s">
        <v>189</v>
      </c>
      <c r="G112" s="156">
        <f>+Q21</f>
        <v>1110.9989116333184</v>
      </c>
      <c r="H112" s="162" t="s">
        <v>188</v>
      </c>
      <c r="I112" s="272"/>
      <c r="J112" s="38"/>
      <c r="K112" s="19"/>
      <c r="L112" s="19"/>
      <c r="M112" s="19"/>
      <c r="N112" s="138"/>
      <c r="O112" s="138"/>
      <c r="P112" s="138"/>
      <c r="Q112" s="37"/>
      <c r="R112" s="19"/>
      <c r="S112" s="19"/>
      <c r="T112" s="19"/>
      <c r="U112" s="19"/>
      <c r="X112">
        <v>2.4829902274647901</v>
      </c>
      <c r="Y112">
        <v>0.117345</v>
      </c>
      <c r="Z112" s="394"/>
      <c r="AA112" s="394"/>
      <c r="AB112" s="394"/>
      <c r="AC112" s="394"/>
      <c r="AD112" s="394"/>
      <c r="AE112" s="394"/>
      <c r="AF112" s="394"/>
      <c r="AG112" s="394"/>
      <c r="AH112" s="394"/>
      <c r="AI112" s="394"/>
      <c r="AJ112" s="394"/>
      <c r="AK112" s="394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</row>
    <row r="113" spans="1:139" ht="15.75" thickBot="1" x14ac:dyDescent="0.3">
      <c r="A113" s="138"/>
      <c r="B113" s="176" t="s">
        <v>268</v>
      </c>
      <c r="C113" s="177" t="s">
        <v>310</v>
      </c>
      <c r="D113" s="178">
        <f>14%*K110</f>
        <v>150.23545964404664</v>
      </c>
      <c r="E113" s="937" t="s">
        <v>523</v>
      </c>
      <c r="F113" s="938"/>
      <c r="G113" s="169">
        <v>53.326999999999998</v>
      </c>
      <c r="H113" s="937" t="s">
        <v>524</v>
      </c>
      <c r="I113" s="938"/>
      <c r="J113" s="453">
        <f>+G113+31.746+SUM(E66:K66)</f>
        <v>105.96362499999999</v>
      </c>
      <c r="K113" s="679"/>
      <c r="L113" s="679"/>
      <c r="M113" s="138"/>
      <c r="N113" s="138"/>
      <c r="O113" s="138"/>
      <c r="P113" s="138"/>
      <c r="Q113" s="37"/>
      <c r="R113" s="19"/>
      <c r="S113" s="19"/>
      <c r="T113" s="19"/>
      <c r="U113" s="19"/>
      <c r="X113" s="394">
        <f>+X112*Y113/Y112</f>
        <v>3.5913009915808498</v>
      </c>
      <c r="Y113" s="394">
        <v>0.16972326761323542</v>
      </c>
      <c r="Z113" s="394"/>
      <c r="AA113" s="394"/>
      <c r="AB113" s="394"/>
      <c r="AC113" s="394"/>
      <c r="AD113" s="394"/>
      <c r="AE113" s="394"/>
      <c r="AF113" s="394"/>
      <c r="AG113" s="394"/>
      <c r="AH113" s="394"/>
      <c r="AI113" s="394"/>
      <c r="AJ113" s="394"/>
      <c r="AK113" s="394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</row>
    <row r="114" spans="1:139" ht="15.75" thickBot="1" x14ac:dyDescent="0.3">
      <c r="A114" s="138"/>
      <c r="B114" s="179" t="s">
        <v>302</v>
      </c>
      <c r="C114" s="180" t="s">
        <v>303</v>
      </c>
      <c r="D114" s="181" t="s">
        <v>188</v>
      </c>
      <c r="E114" s="34">
        <v>47.13546138022717</v>
      </c>
      <c r="F114" s="34">
        <v>59.739548987285978</v>
      </c>
      <c r="G114" s="34">
        <v>78.742888474567636</v>
      </c>
      <c r="H114" s="34">
        <v>64.602673513703735</v>
      </c>
      <c r="I114" s="34">
        <v>57.385435775374617</v>
      </c>
      <c r="J114" s="34">
        <v>62.502567792725692</v>
      </c>
      <c r="K114" s="34">
        <v>10.596263546780705</v>
      </c>
      <c r="L114" s="679"/>
      <c r="M114" s="19"/>
      <c r="N114" s="19"/>
      <c r="O114" s="939" t="s">
        <v>361</v>
      </c>
      <c r="P114" s="940"/>
      <c r="Q114" s="221">
        <f>+(P118-P117)*1000000</f>
        <v>-374345555.36897624</v>
      </c>
      <c r="R114" s="19"/>
      <c r="S114" s="19"/>
      <c r="T114" s="19"/>
      <c r="U114" s="19"/>
      <c r="X114" s="394"/>
      <c r="Y114" s="394"/>
      <c r="Z114" s="394"/>
      <c r="AA114" s="394"/>
      <c r="AB114" s="394"/>
      <c r="AC114" s="394"/>
      <c r="AD114" s="394"/>
      <c r="AE114" s="394"/>
      <c r="AF114" s="394"/>
      <c r="AG114" s="394"/>
      <c r="AH114" s="394"/>
      <c r="AI114" s="394"/>
      <c r="AJ114" s="394"/>
      <c r="AK114" s="394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</row>
    <row r="115" spans="1:139" ht="15.75" thickBot="1" x14ac:dyDescent="0.3">
      <c r="A115" s="138"/>
      <c r="B115" s="404"/>
      <c r="C115" s="404"/>
      <c r="D115" s="404"/>
      <c r="E115" s="404"/>
      <c r="F115" s="404"/>
      <c r="G115" s="404"/>
      <c r="H115" s="404"/>
      <c r="I115" s="404"/>
      <c r="J115" s="404"/>
      <c r="K115" s="679"/>
      <c r="L115" s="679"/>
      <c r="M115" s="19"/>
      <c r="N115" s="19"/>
      <c r="O115" s="222" t="s">
        <v>353</v>
      </c>
      <c r="P115" s="223">
        <f>+H119</f>
        <v>733.12033660994427</v>
      </c>
      <c r="Q115" s="324" t="s">
        <v>131</v>
      </c>
      <c r="R115" s="19"/>
      <c r="S115" s="19"/>
      <c r="T115" s="19"/>
      <c r="U115" s="19"/>
      <c r="X115" s="394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</row>
    <row r="116" spans="1:139" x14ac:dyDescent="0.25">
      <c r="A116" s="138"/>
      <c r="B116" s="139" t="s">
        <v>300</v>
      </c>
      <c r="C116" s="170" t="s">
        <v>304</v>
      </c>
      <c r="D116" s="405" t="s">
        <v>188</v>
      </c>
      <c r="E116" s="408">
        <f>+K110-(P111/1000)</f>
        <v>1039.7064577799761</v>
      </c>
      <c r="F116" s="127">
        <f>E117</f>
        <v>955.01213148873717</v>
      </c>
      <c r="G116" s="80">
        <f t="shared" ref="G116:K116" si="52">F117</f>
        <v>857.7137175904395</v>
      </c>
      <c r="H116" s="80">
        <f t="shared" si="52"/>
        <v>741.41196420486017</v>
      </c>
      <c r="I116" s="80">
        <f t="shared" si="52"/>
        <v>639.25042578014472</v>
      </c>
      <c r="J116" s="690">
        <f t="shared" si="52"/>
        <v>544.3061250937584</v>
      </c>
      <c r="K116" s="690">
        <f t="shared" si="52"/>
        <v>444.24469239002104</v>
      </c>
      <c r="L116" s="679"/>
      <c r="M116" s="19"/>
      <c r="N116" s="19"/>
      <c r="O116" s="222" t="s">
        <v>354</v>
      </c>
      <c r="P116" s="223">
        <v>200</v>
      </c>
      <c r="Q116" s="324" t="s">
        <v>131</v>
      </c>
      <c r="R116" s="19"/>
      <c r="S116" s="19"/>
      <c r="T116" s="19"/>
      <c r="U116" s="19"/>
      <c r="AA116" s="394"/>
      <c r="AB116" s="394"/>
      <c r="AC116" s="394"/>
      <c r="AD116" s="394"/>
      <c r="AE116" s="394"/>
      <c r="AF116" s="394"/>
      <c r="AG116" s="394"/>
      <c r="AH116" s="394"/>
      <c r="AI116" s="394"/>
      <c r="AJ116" s="394"/>
      <c r="AK116" s="394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</row>
    <row r="117" spans="1:139" x14ac:dyDescent="0.25">
      <c r="A117" s="138"/>
      <c r="B117" s="152" t="s">
        <v>301</v>
      </c>
      <c r="C117" s="185" t="s">
        <v>305</v>
      </c>
      <c r="D117" s="406" t="s">
        <v>188</v>
      </c>
      <c r="E117" s="188">
        <f>E116-E122-E114</f>
        <v>955.01213148873717</v>
      </c>
      <c r="F117" s="186">
        <f t="shared" ref="F117:G117" si="53">F116-F122-F114</f>
        <v>857.7137175904395</v>
      </c>
      <c r="G117" s="186">
        <f t="shared" si="53"/>
        <v>741.41196420486017</v>
      </c>
      <c r="H117" s="186">
        <f>H116-H122-H114</f>
        <v>639.25042578014472</v>
      </c>
      <c r="I117" s="186">
        <f>I116-I122-I114</f>
        <v>544.3061250937584</v>
      </c>
      <c r="J117" s="691">
        <f>J116-J122-J114</f>
        <v>444.24469239002104</v>
      </c>
      <c r="K117" s="691">
        <f>K116-K122-K114</f>
        <v>396.08956393222866</v>
      </c>
      <c r="L117" s="679"/>
      <c r="M117" s="19"/>
      <c r="N117" s="19"/>
      <c r="O117" s="338" t="s">
        <v>356</v>
      </c>
      <c r="P117" s="223">
        <f>+DH_KJKmol(P116,P115,G104/1000,G103/1000,G108/1000,G107/1000,G106/1000)/3600</f>
        <v>491.49852052746127</v>
      </c>
      <c r="Q117" s="224" t="s">
        <v>355</v>
      </c>
      <c r="R117" s="19"/>
      <c r="S117" s="19"/>
      <c r="T117" s="19"/>
      <c r="U117" s="19"/>
      <c r="X117" s="394">
        <v>3.5913009915808498</v>
      </c>
      <c r="Y117">
        <v>0.17544499999999999</v>
      </c>
      <c r="AA117" s="394"/>
      <c r="AB117" s="394"/>
      <c r="AC117" s="394"/>
      <c r="AD117" s="394"/>
      <c r="AE117" s="394"/>
      <c r="AF117" s="394"/>
      <c r="AG117" s="394"/>
      <c r="AH117" s="394"/>
      <c r="AI117" s="394"/>
      <c r="AJ117" s="394"/>
      <c r="AK117" s="394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</row>
    <row r="118" spans="1:139" x14ac:dyDescent="0.25">
      <c r="A118" s="138"/>
      <c r="B118" s="188" t="s">
        <v>297</v>
      </c>
      <c r="C118" s="185" t="s">
        <v>306</v>
      </c>
      <c r="D118" s="406" t="s">
        <v>131</v>
      </c>
      <c r="E118" s="188">
        <f>ABS(Tcalculada(E116,$K$98,$K$102,$K$101,$K$105,$K$104,$K$103))</f>
        <v>1128.3629353360016</v>
      </c>
      <c r="F118" s="186">
        <f t="shared" ref="F118:H118" si="54">ABS(Tcalculada(F116,$K$98,$K$102,$K$101,$K$105,$K$104,$K$103))</f>
        <v>1046.6707084620068</v>
      </c>
      <c r="G118" s="186">
        <f t="shared" si="54"/>
        <v>951.67989735549008</v>
      </c>
      <c r="H118" s="186">
        <f t="shared" si="54"/>
        <v>836.32204504033211</v>
      </c>
      <c r="I118" s="186">
        <f t="shared" ref="I118:J118" si="55">ABS(Tcalculada(I116,$K$98,$K$102,$K$101,$K$105,$K$104,$K$103))</f>
        <v>733.12033660994427</v>
      </c>
      <c r="J118" s="691">
        <f t="shared" si="55"/>
        <v>635.38681437490879</v>
      </c>
      <c r="K118" s="691">
        <f t="shared" ref="K118" si="56">ABS(Tcalculada(K116,$K$98,$K$102,$K$101,$K$105,$K$104,$K$103))</f>
        <v>530.03327788945614</v>
      </c>
      <c r="L118" s="679"/>
      <c r="M118" s="19"/>
      <c r="N118" s="19"/>
      <c r="O118" s="225" t="s">
        <v>357</v>
      </c>
      <c r="P118" s="223">
        <f>25/1000*22.09*(P115-P116)/LN((P115-153)/(P116-153))</f>
        <v>117.15296515848503</v>
      </c>
      <c r="Q118" s="224" t="s">
        <v>19</v>
      </c>
      <c r="R118" s="19"/>
      <c r="S118" s="19"/>
      <c r="T118" s="19"/>
      <c r="U118" s="19"/>
      <c r="X118" s="19">
        <f>+X117*Y118/Y117</f>
        <v>3.4741790263259387</v>
      </c>
      <c r="Y118" s="394">
        <v>0.16972326761323542</v>
      </c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</row>
    <row r="119" spans="1:139" x14ac:dyDescent="0.25">
      <c r="A119" s="138"/>
      <c r="B119" s="152" t="s">
        <v>298</v>
      </c>
      <c r="C119" s="185" t="s">
        <v>307</v>
      </c>
      <c r="D119" s="406" t="s">
        <v>131</v>
      </c>
      <c r="E119" s="188">
        <f>ABS(Tcalculada(E117,$K$98,$K$102,$K$101,$K$105,$K$104,$K$103))</f>
        <v>1046.6707084620068</v>
      </c>
      <c r="F119" s="186">
        <f t="shared" ref="F119:H119" si="57">ABS(Tcalculada(F117,$K$98,$K$102,$K$101,$K$105,$K$104,$K$103))</f>
        <v>951.67989735549008</v>
      </c>
      <c r="G119" s="186">
        <f t="shared" si="57"/>
        <v>836.32204504033211</v>
      </c>
      <c r="H119" s="186">
        <f t="shared" si="57"/>
        <v>733.12033660994427</v>
      </c>
      <c r="I119" s="186">
        <f t="shared" ref="I119:J119" si="58">ABS(Tcalculada(I117,$K$98,$K$102,$K$101,$K$105,$K$104,$K$103))</f>
        <v>635.38681437490879</v>
      </c>
      <c r="J119" s="691">
        <f t="shared" si="58"/>
        <v>530.03327788945614</v>
      </c>
      <c r="K119" s="691">
        <f t="shared" ref="K119" si="59">ABS(Tcalculada(K117,$K$98,$K$102,$K$101,$K$105,$K$104,$K$103))</f>
        <v>478.33334125958936</v>
      </c>
      <c r="L119" s="679"/>
      <c r="M119" s="19"/>
      <c r="N119" s="19"/>
      <c r="O119" s="226" t="s">
        <v>358</v>
      </c>
      <c r="P119" s="223">
        <f>+P121/P120</f>
        <v>24.007107509230881</v>
      </c>
      <c r="Q119" s="324" t="s">
        <v>38</v>
      </c>
      <c r="R119" s="19"/>
      <c r="S119" s="19"/>
      <c r="T119" s="19"/>
      <c r="U119" s="19"/>
      <c r="X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</row>
    <row r="120" spans="1:139" x14ac:dyDescent="0.25">
      <c r="A120" s="138"/>
      <c r="B120" s="152" t="s">
        <v>299</v>
      </c>
      <c r="C120" s="185" t="s">
        <v>192</v>
      </c>
      <c r="D120" s="406" t="s">
        <v>131</v>
      </c>
      <c r="E120" s="188">
        <f>+AVERAGE(E118:E119)</f>
        <v>1087.5168218990043</v>
      </c>
      <c r="F120" s="187">
        <f>+AVERAGE(F118:F119)</f>
        <v>999.17530290874845</v>
      </c>
      <c r="G120" s="186">
        <f t="shared" ref="G120:H120" si="60">+AVERAGE(G118:G119)</f>
        <v>894.0009711979111</v>
      </c>
      <c r="H120" s="186">
        <f t="shared" si="60"/>
        <v>784.72119082513814</v>
      </c>
      <c r="I120" s="186">
        <f t="shared" ref="I120:J120" si="61">+AVERAGE(I118:I119)</f>
        <v>684.25357549242653</v>
      </c>
      <c r="J120" s="691">
        <f t="shared" si="61"/>
        <v>582.71004613218247</v>
      </c>
      <c r="K120" s="691">
        <f t="shared" ref="K120" si="62">+AVERAGE(K118:K119)</f>
        <v>504.18330957452275</v>
      </c>
      <c r="L120" s="679"/>
      <c r="M120" s="19"/>
      <c r="N120" s="19"/>
      <c r="O120" s="226" t="s">
        <v>360</v>
      </c>
      <c r="P120" s="223">
        <v>3.6599462819533444</v>
      </c>
      <c r="Q120" s="324" t="s">
        <v>43</v>
      </c>
      <c r="R120" s="19"/>
      <c r="S120" s="19"/>
      <c r="T120" s="19"/>
      <c r="U120" s="19"/>
      <c r="X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</row>
    <row r="121" spans="1:139" x14ac:dyDescent="0.25">
      <c r="A121" s="138"/>
      <c r="B121" s="188" t="s">
        <v>295</v>
      </c>
      <c r="C121" s="185" t="s">
        <v>308</v>
      </c>
      <c r="D121" s="406" t="s">
        <v>188</v>
      </c>
      <c r="E121" s="188">
        <f>3.33*(E66+E67)*(E120-$D$19)/1000</f>
        <v>9.4377031253554726</v>
      </c>
      <c r="F121" s="186">
        <f t="shared" ref="F121:K121" si="63">3.33*(G66+G67)*(F120-$D$19)/1000</f>
        <v>9.9854325293748936</v>
      </c>
      <c r="G121" s="186">
        <f t="shared" si="63"/>
        <v>9.782218995902749</v>
      </c>
      <c r="H121" s="186">
        <f t="shared" si="63"/>
        <v>8.544953322522213</v>
      </c>
      <c r="I121" s="186">
        <f t="shared" si="63"/>
        <v>6.2298908700715767</v>
      </c>
      <c r="J121" s="691">
        <f t="shared" si="63"/>
        <v>4.5168770747405933</v>
      </c>
      <c r="K121" s="691">
        <f t="shared" si="63"/>
        <v>0</v>
      </c>
      <c r="L121" s="679"/>
      <c r="M121" s="19"/>
      <c r="N121" s="19"/>
      <c r="O121" s="225" t="s">
        <v>359</v>
      </c>
      <c r="P121" s="223">
        <f>+P118*0.75</f>
        <v>87.864723868863777</v>
      </c>
      <c r="Q121" s="324" t="s">
        <v>188</v>
      </c>
      <c r="R121" s="19"/>
      <c r="S121" s="19"/>
      <c r="T121" s="19"/>
      <c r="U121" s="19"/>
      <c r="X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</row>
    <row r="122" spans="1:139" ht="15.75" thickBot="1" x14ac:dyDescent="0.3">
      <c r="A122" s="138"/>
      <c r="B122" s="189" t="s">
        <v>296</v>
      </c>
      <c r="C122" s="190" t="s">
        <v>309</v>
      </c>
      <c r="D122" s="407" t="s">
        <v>188</v>
      </c>
      <c r="E122" s="189">
        <f>0.25*$D$113</f>
        <v>37.558864911011661</v>
      </c>
      <c r="F122" s="189">
        <f t="shared" ref="F122:K122" si="64">0.25*$D$113</f>
        <v>37.558864911011661</v>
      </c>
      <c r="G122" s="189">
        <f t="shared" si="64"/>
        <v>37.558864911011661</v>
      </c>
      <c r="H122" s="189">
        <f t="shared" si="64"/>
        <v>37.558864911011661</v>
      </c>
      <c r="I122" s="189">
        <f t="shared" si="64"/>
        <v>37.558864911011661</v>
      </c>
      <c r="J122" s="189">
        <f t="shared" si="64"/>
        <v>37.558864911011661</v>
      </c>
      <c r="K122" s="189">
        <f t="shared" si="64"/>
        <v>37.558864911011661</v>
      </c>
      <c r="L122" s="679"/>
      <c r="M122" s="19"/>
      <c r="N122" s="19"/>
      <c r="O122" s="227" t="s">
        <v>362</v>
      </c>
      <c r="P122" s="228">
        <f>+(P121+M180)/Q21</f>
        <v>0.41221759536344216</v>
      </c>
      <c r="Q122" s="229" t="s">
        <v>6</v>
      </c>
      <c r="R122" s="19"/>
      <c r="S122" s="19"/>
      <c r="T122" s="19"/>
      <c r="U122" s="19"/>
      <c r="W122" s="19"/>
      <c r="X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</row>
    <row r="123" spans="1:139" ht="15.75" thickBot="1" x14ac:dyDescent="0.3">
      <c r="A123" s="138"/>
      <c r="B123" s="183"/>
      <c r="C123" s="183"/>
      <c r="D123" s="219"/>
      <c r="E123" s="220"/>
      <c r="F123" s="220"/>
      <c r="G123" s="220"/>
      <c r="H123" s="220"/>
      <c r="I123" s="220"/>
      <c r="J123" s="159"/>
      <c r="K123" s="138"/>
      <c r="L123" s="138"/>
      <c r="M123" s="138"/>
      <c r="N123" s="138"/>
      <c r="O123" s="138"/>
      <c r="P123" s="138"/>
      <c r="R123" s="19"/>
      <c r="S123" s="19"/>
      <c r="T123" s="19"/>
      <c r="U123" s="19"/>
      <c r="W123" s="19"/>
      <c r="X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</row>
    <row r="124" spans="1:139" ht="15.75" thickBot="1" x14ac:dyDescent="0.3">
      <c r="A124" s="799" t="s">
        <v>513</v>
      </c>
      <c r="B124" s="800"/>
      <c r="C124" s="800"/>
      <c r="D124" s="800"/>
      <c r="E124" s="800"/>
      <c r="F124" s="800"/>
      <c r="G124" s="800"/>
      <c r="H124" s="800"/>
      <c r="I124" s="800"/>
      <c r="J124" s="800"/>
      <c r="K124" s="800"/>
      <c r="L124" s="800"/>
      <c r="M124" s="800"/>
      <c r="N124" s="800"/>
      <c r="O124" s="800"/>
      <c r="P124" s="800"/>
      <c r="Q124" s="800"/>
      <c r="R124" s="800"/>
      <c r="S124" s="800"/>
      <c r="T124" s="800"/>
      <c r="U124" s="801"/>
      <c r="X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</row>
    <row r="125" spans="1:139" ht="15.75" thickBot="1" x14ac:dyDescent="0.3">
      <c r="A125" s="19"/>
      <c r="B125" s="19"/>
      <c r="C125" s="19"/>
      <c r="D125" s="31"/>
      <c r="E125" s="19"/>
      <c r="F125" s="38"/>
      <c r="G125" s="19"/>
      <c r="H125" s="19"/>
      <c r="I125" s="19"/>
      <c r="J125" s="137"/>
      <c r="K125" s="109"/>
      <c r="L125" s="109"/>
      <c r="M125" s="19"/>
      <c r="N125" s="19"/>
      <c r="O125" s="19"/>
      <c r="P125" s="19"/>
      <c r="Q125" s="37"/>
      <c r="R125" s="19"/>
      <c r="S125" s="19"/>
      <c r="T125" s="19"/>
      <c r="U125" s="19"/>
      <c r="X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</row>
    <row r="126" spans="1:139" ht="15.75" thickBot="1" x14ac:dyDescent="0.3">
      <c r="A126" s="19"/>
      <c r="B126" s="947" t="s">
        <v>190</v>
      </c>
      <c r="C126" s="948"/>
      <c r="D126" s="949"/>
      <c r="E126" s="440">
        <f>+E26</f>
        <v>1</v>
      </c>
      <c r="F126" s="441">
        <f t="shared" ref="F126:K126" si="65">+G26</f>
        <v>2</v>
      </c>
      <c r="G126" s="441">
        <f t="shared" si="65"/>
        <v>3</v>
      </c>
      <c r="H126" s="441">
        <f t="shared" si="65"/>
        <v>4</v>
      </c>
      <c r="I126" s="441">
        <f t="shared" si="65"/>
        <v>5</v>
      </c>
      <c r="J126" s="442">
        <f t="shared" si="65"/>
        <v>6</v>
      </c>
      <c r="K126" s="442">
        <f t="shared" si="65"/>
        <v>0</v>
      </c>
      <c r="L126" s="22"/>
      <c r="M126" s="19"/>
      <c r="N126" s="19"/>
      <c r="O126" s="19"/>
      <c r="P126" s="19"/>
      <c r="Q126" s="37"/>
      <c r="R126" s="19"/>
      <c r="S126" s="19"/>
      <c r="T126" s="19"/>
      <c r="U126" s="19"/>
      <c r="X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</row>
    <row r="127" spans="1:139" x14ac:dyDescent="0.25">
      <c r="A127" s="19"/>
      <c r="B127" s="81" t="s">
        <v>191</v>
      </c>
      <c r="C127" s="82" t="s">
        <v>192</v>
      </c>
      <c r="D127" s="83" t="s">
        <v>13</v>
      </c>
      <c r="E127" s="119">
        <f t="shared" ref="E127" si="66">+E120</f>
        <v>1087.5168218990043</v>
      </c>
      <c r="F127" s="120">
        <f t="shared" ref="F127:K127" si="67">+F120</f>
        <v>999.17530290874845</v>
      </c>
      <c r="G127" s="120">
        <f t="shared" si="67"/>
        <v>894.0009711979111</v>
      </c>
      <c r="H127" s="120">
        <f t="shared" si="67"/>
        <v>784.72119082513814</v>
      </c>
      <c r="I127" s="120">
        <f t="shared" si="67"/>
        <v>684.25357549242653</v>
      </c>
      <c r="J127" s="120">
        <f t="shared" si="67"/>
        <v>582.71004613218247</v>
      </c>
      <c r="K127" s="121">
        <f t="shared" si="67"/>
        <v>504.18330957452275</v>
      </c>
      <c r="L127" s="22"/>
      <c r="M127" s="19">
        <f>+E122/14</f>
        <v>2.6827760650722614</v>
      </c>
      <c r="N127" s="19">
        <f t="shared" ref="N127:O127" si="68">+F122/14</f>
        <v>2.6827760650722614</v>
      </c>
      <c r="O127" s="19">
        <f t="shared" si="68"/>
        <v>2.6827760650722614</v>
      </c>
      <c r="P127" s="19">
        <f>+H122/14</f>
        <v>2.6827760650722614</v>
      </c>
      <c r="Q127" s="37"/>
      <c r="R127" s="19"/>
      <c r="S127" s="19"/>
      <c r="T127" s="19"/>
      <c r="U127" s="19"/>
      <c r="X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</row>
    <row r="128" spans="1:139" x14ac:dyDescent="0.25">
      <c r="A128" s="23"/>
      <c r="B128" s="84" t="s">
        <v>193</v>
      </c>
      <c r="C128" s="85" t="s">
        <v>110</v>
      </c>
      <c r="D128" s="86" t="s">
        <v>194</v>
      </c>
      <c r="E128" s="30">
        <f>+$D$21/760</f>
        <v>0.96585650630608533</v>
      </c>
      <c r="F128" s="28">
        <f t="shared" ref="F128:K128" si="69">+$D$21/760</f>
        <v>0.96585650630608533</v>
      </c>
      <c r="G128" s="28">
        <f t="shared" si="69"/>
        <v>0.96585650630608533</v>
      </c>
      <c r="H128" s="28">
        <f t="shared" si="69"/>
        <v>0.96585650630608533</v>
      </c>
      <c r="I128" s="28">
        <f t="shared" si="69"/>
        <v>0.96585650630608533</v>
      </c>
      <c r="J128" s="28">
        <f t="shared" si="69"/>
        <v>0.96585650630608533</v>
      </c>
      <c r="K128" s="29">
        <f t="shared" si="69"/>
        <v>0.96585650630608533</v>
      </c>
      <c r="L128" s="22"/>
      <c r="M128" s="19"/>
      <c r="N128" s="19"/>
      <c r="O128" s="19"/>
      <c r="P128" s="19"/>
      <c r="Q128" s="37"/>
      <c r="R128" s="19"/>
      <c r="S128" s="19"/>
      <c r="T128" s="19"/>
      <c r="U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</row>
    <row r="129" spans="1:139" x14ac:dyDescent="0.25">
      <c r="A129" s="23"/>
      <c r="B129" s="84" t="s">
        <v>195</v>
      </c>
      <c r="C129" s="85" t="s">
        <v>196</v>
      </c>
      <c r="D129" s="86" t="s">
        <v>197</v>
      </c>
      <c r="E129" s="30">
        <f t="shared" ref="E129" si="70">+cp(E127,$K$102,$K$101,$K$105,$K$104,$K$103)</f>
        <v>1.3413481091577544</v>
      </c>
      <c r="F129" s="28">
        <f t="shared" ref="F129:K129" si="71">+cp(F127,$K$102,$K$101,$K$105,$K$104,$K$103)</f>
        <v>1.3252513113415436</v>
      </c>
      <c r="G129" s="28">
        <f t="shared" si="71"/>
        <v>1.3044430492987189</v>
      </c>
      <c r="H129" s="28">
        <f t="shared" si="71"/>
        <v>1.2808034473337209</v>
      </c>
      <c r="I129" s="28">
        <f t="shared" si="71"/>
        <v>1.2570369351477111</v>
      </c>
      <c r="J129" s="28">
        <f t="shared" si="71"/>
        <v>1.2289004728996948</v>
      </c>
      <c r="K129" s="29">
        <f t="shared" si="71"/>
        <v>1.2050669579418267</v>
      </c>
      <c r="L129" s="22"/>
      <c r="M129" s="19"/>
      <c r="N129" s="19"/>
      <c r="O129" s="19"/>
      <c r="P129" s="19"/>
      <c r="Q129" s="37"/>
      <c r="R129" s="19"/>
      <c r="S129" s="19"/>
      <c r="T129" s="19"/>
      <c r="U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</row>
    <row r="130" spans="1:139" x14ac:dyDescent="0.25">
      <c r="A130" s="23"/>
      <c r="B130" s="84" t="s">
        <v>198</v>
      </c>
      <c r="C130" s="87" t="s">
        <v>199</v>
      </c>
      <c r="D130" s="86" t="s">
        <v>200</v>
      </c>
      <c r="E130" s="30">
        <f t="shared" ref="E130" si="72">+Densidad_kgm3($K$102,$K$101,$K$105,$K$104,$K$103,E128*101.325,E127)</f>
        <v>0.24580257668866815</v>
      </c>
      <c r="F130" s="28">
        <f t="shared" ref="F130:K130" si="73">+Densidad_kgm3($K$102,$K$101,$K$105,$K$104,$K$103,F128*101.325,F127)</f>
        <v>0.26286941717887347</v>
      </c>
      <c r="G130" s="28">
        <f t="shared" si="73"/>
        <v>0.28655711136862305</v>
      </c>
      <c r="H130" s="28">
        <f t="shared" si="73"/>
        <v>0.31615891777587929</v>
      </c>
      <c r="I130" s="28">
        <f t="shared" si="73"/>
        <v>0.34933586984520515</v>
      </c>
      <c r="J130" s="28">
        <f t="shared" si="73"/>
        <v>0.39078282991364421</v>
      </c>
      <c r="K130" s="29">
        <f t="shared" si="73"/>
        <v>0.43025997563467616</v>
      </c>
      <c r="L130" s="22"/>
      <c r="M130" s="19"/>
      <c r="N130" s="19">
        <v>0.25</v>
      </c>
      <c r="O130" s="19">
        <v>0.2</v>
      </c>
      <c r="P130" s="19">
        <v>0.15</v>
      </c>
      <c r="Q130" s="37">
        <v>0.1</v>
      </c>
      <c r="R130" s="19">
        <f>+N130+P130</f>
        <v>0.4</v>
      </c>
      <c r="S130" s="19"/>
      <c r="T130" s="19"/>
      <c r="U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</row>
    <row r="131" spans="1:139" x14ac:dyDescent="0.25">
      <c r="A131" s="23"/>
      <c r="B131" s="84" t="s">
        <v>201</v>
      </c>
      <c r="C131" s="87" t="s">
        <v>202</v>
      </c>
      <c r="D131" s="86" t="s">
        <v>203</v>
      </c>
      <c r="E131" s="88">
        <f>0.0000175+0.0000000335*E127</f>
        <v>5.3931813533616642E-5</v>
      </c>
      <c r="F131" s="89">
        <f t="shared" ref="F131:K131" si="74">0.0000175+0.0000000335*F127</f>
        <v>5.0972372647443074E-5</v>
      </c>
      <c r="G131" s="89">
        <f t="shared" si="74"/>
        <v>4.7449032535130026E-5</v>
      </c>
      <c r="H131" s="89">
        <f t="shared" si="74"/>
        <v>4.3788159892642131E-5</v>
      </c>
      <c r="I131" s="89">
        <f t="shared" si="74"/>
        <v>4.0422494778996284E-5</v>
      </c>
      <c r="J131" s="89">
        <f t="shared" si="74"/>
        <v>3.7020786545428108E-5</v>
      </c>
      <c r="K131" s="90">
        <f t="shared" si="74"/>
        <v>3.4390140870746513E-5</v>
      </c>
      <c r="L131" s="22"/>
      <c r="M131" s="19"/>
      <c r="N131" s="19">
        <f>+$D$113*N130</f>
        <v>37.558864911011661</v>
      </c>
      <c r="O131" s="19">
        <f t="shared" ref="O131:R131" si="75">+$D$113*O130</f>
        <v>30.04709192880933</v>
      </c>
      <c r="P131" s="19">
        <f t="shared" si="75"/>
        <v>22.535318946606996</v>
      </c>
      <c r="Q131" s="19">
        <f t="shared" si="75"/>
        <v>15.023545964404665</v>
      </c>
      <c r="R131" s="19">
        <f t="shared" si="75"/>
        <v>60.09418385761866</v>
      </c>
      <c r="S131" s="19"/>
      <c r="T131" s="19"/>
      <c r="U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</row>
    <row r="132" spans="1:139" x14ac:dyDescent="0.25">
      <c r="A132" s="23"/>
      <c r="B132" s="84" t="s">
        <v>204</v>
      </c>
      <c r="C132" s="87" t="s">
        <v>148</v>
      </c>
      <c r="D132" s="86" t="s">
        <v>205</v>
      </c>
      <c r="E132" s="88">
        <f>(0.0229+0.0000647*E127)/1000</f>
        <v>9.3262338376865579E-5</v>
      </c>
      <c r="F132" s="89">
        <f t="shared" ref="F132:K132" si="76">(0.0229+0.0000647*F127)/1000</f>
        <v>8.7546642098196029E-5</v>
      </c>
      <c r="G132" s="89">
        <f t="shared" si="76"/>
        <v>8.0741862836504846E-5</v>
      </c>
      <c r="H132" s="89">
        <f t="shared" si="76"/>
        <v>7.3671461046386446E-5</v>
      </c>
      <c r="I132" s="89">
        <f t="shared" si="76"/>
        <v>6.7171206334359996E-5</v>
      </c>
      <c r="J132" s="89">
        <f t="shared" si="76"/>
        <v>6.0601339984752202E-5</v>
      </c>
      <c r="K132" s="90">
        <f t="shared" si="76"/>
        <v>5.5520660129471624E-5</v>
      </c>
      <c r="L132" s="22"/>
      <c r="M132" s="19"/>
      <c r="N132" s="19"/>
      <c r="O132" s="19"/>
      <c r="P132" s="19"/>
      <c r="Q132" s="37"/>
      <c r="R132" s="19"/>
      <c r="S132" s="19"/>
      <c r="T132" s="19"/>
      <c r="U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</row>
    <row r="133" spans="1:139" x14ac:dyDescent="0.25">
      <c r="A133" s="23"/>
      <c r="B133" s="84" t="s">
        <v>107</v>
      </c>
      <c r="C133" s="87" t="s">
        <v>108</v>
      </c>
      <c r="D133" s="86" t="s">
        <v>28</v>
      </c>
      <c r="E133" s="30">
        <f>+E61</f>
        <v>1.1499999999999999</v>
      </c>
      <c r="F133" s="28">
        <f t="shared" ref="F133:K133" si="77">+F61</f>
        <v>1.1499999999999999</v>
      </c>
      <c r="G133" s="28">
        <f t="shared" si="77"/>
        <v>1.1499999999999999</v>
      </c>
      <c r="H133" s="28">
        <f t="shared" si="77"/>
        <v>0.86899999999999999</v>
      </c>
      <c r="I133" s="28">
        <f t="shared" si="77"/>
        <v>0.82399999999999995</v>
      </c>
      <c r="J133" s="28">
        <f t="shared" si="77"/>
        <v>0.82399999999999995</v>
      </c>
      <c r="K133" s="29">
        <f t="shared" si="77"/>
        <v>0.82399999999999995</v>
      </c>
      <c r="L133" s="22"/>
      <c r="M133" s="19"/>
      <c r="N133" s="19"/>
      <c r="O133" s="19"/>
      <c r="P133" s="19"/>
      <c r="Q133" s="37"/>
      <c r="R133" s="19"/>
      <c r="S133" s="19"/>
      <c r="T133" s="19"/>
      <c r="U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</row>
    <row r="134" spans="1:139" x14ac:dyDescent="0.25">
      <c r="A134" s="23"/>
      <c r="B134" s="84" t="s">
        <v>109</v>
      </c>
      <c r="C134" s="87" t="s">
        <v>110</v>
      </c>
      <c r="D134" s="86" t="s">
        <v>60</v>
      </c>
      <c r="E134" s="30">
        <f>+E62</f>
        <v>3.2</v>
      </c>
      <c r="F134" s="28">
        <f t="shared" ref="F134:K134" si="78">+F62</f>
        <v>3.2</v>
      </c>
      <c r="G134" s="28">
        <f t="shared" si="78"/>
        <v>5.085</v>
      </c>
      <c r="H134" s="28">
        <f t="shared" si="78"/>
        <v>3.9790000000000001</v>
      </c>
      <c r="I134" s="28">
        <f t="shared" si="78"/>
        <v>3.8889999999999998</v>
      </c>
      <c r="J134" s="28">
        <f t="shared" si="78"/>
        <v>3.8889999999999998</v>
      </c>
      <c r="K134" s="29">
        <f t="shared" si="78"/>
        <v>3.8889999999999998</v>
      </c>
      <c r="L134" s="22"/>
      <c r="M134" s="19"/>
      <c r="N134" s="19"/>
      <c r="O134" s="19"/>
      <c r="P134" s="19"/>
      <c r="Q134" s="37"/>
      <c r="R134" s="19"/>
      <c r="S134" s="19"/>
      <c r="T134" s="19"/>
      <c r="U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</row>
    <row r="135" spans="1:139" x14ac:dyDescent="0.25">
      <c r="A135" s="19"/>
      <c r="B135" s="84" t="s">
        <v>206</v>
      </c>
      <c r="C135" s="87" t="s">
        <v>207</v>
      </c>
      <c r="D135" s="86" t="s">
        <v>208</v>
      </c>
      <c r="E135" s="30">
        <f t="shared" ref="E135" si="79">($G$111/(3600*1000))/(E130*E133)</f>
        <v>2.7343964672327923</v>
      </c>
      <c r="F135" s="28">
        <f t="shared" ref="F135:K135" si="80">($G$111/(3600*1000))/(F130*F133)</f>
        <v>2.5568653232751539</v>
      </c>
      <c r="G135" s="28">
        <f t="shared" si="80"/>
        <v>2.345506953654358</v>
      </c>
      <c r="H135" s="28">
        <f t="shared" si="80"/>
        <v>2.813329130148269</v>
      </c>
      <c r="I135" s="28">
        <f t="shared" si="80"/>
        <v>2.6851921122960278</v>
      </c>
      <c r="J135" s="28">
        <f t="shared" si="80"/>
        <v>2.4003969735766151</v>
      </c>
      <c r="K135" s="29">
        <f t="shared" si="80"/>
        <v>2.1801561273895476</v>
      </c>
      <c r="L135" s="22"/>
      <c r="M135" s="19"/>
      <c r="N135" s="19"/>
      <c r="O135" s="19"/>
      <c r="P135" s="19"/>
      <c r="Q135" s="37"/>
      <c r="R135" s="19"/>
      <c r="S135" s="19"/>
      <c r="T135" s="19"/>
      <c r="U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</row>
    <row r="136" spans="1:139" x14ac:dyDescent="0.25">
      <c r="A136" s="19"/>
      <c r="B136" s="84" t="s">
        <v>209</v>
      </c>
      <c r="C136" s="87" t="s">
        <v>210</v>
      </c>
      <c r="D136" s="86" t="s">
        <v>13</v>
      </c>
      <c r="E136" s="30">
        <f t="shared" ref="E136" si="81">+E89</f>
        <v>295.54691917418199</v>
      </c>
      <c r="F136" s="28">
        <f t="shared" ref="F136:K136" si="82">+F89</f>
        <v>163.9982681306854</v>
      </c>
      <c r="G136" s="28">
        <f t="shared" si="82"/>
        <v>138.543982900282</v>
      </c>
      <c r="H136" s="28">
        <f t="shared" si="82"/>
        <v>120.52345164056598</v>
      </c>
      <c r="I136" s="28">
        <f t="shared" si="82"/>
        <v>95.531559043679167</v>
      </c>
      <c r="J136" s="28">
        <f t="shared" si="82"/>
        <v>72.488798608659707</v>
      </c>
      <c r="K136" s="29">
        <f t="shared" si="82"/>
        <v>105.70611980168589</v>
      </c>
      <c r="L136" s="22"/>
      <c r="M136" s="19"/>
      <c r="N136" s="19"/>
      <c r="O136" s="19"/>
      <c r="P136" s="19"/>
      <c r="Q136" s="37"/>
      <c r="R136" s="19"/>
      <c r="S136" s="19"/>
      <c r="T136" s="19"/>
      <c r="U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</row>
    <row r="137" spans="1:139" x14ac:dyDescent="0.25">
      <c r="A137" s="19"/>
      <c r="B137" s="84" t="s">
        <v>211</v>
      </c>
      <c r="C137" s="87" t="s">
        <v>202</v>
      </c>
      <c r="D137" s="86" t="s">
        <v>212</v>
      </c>
      <c r="E137" s="88">
        <f>0.0000175+0.0000000335*E136</f>
        <v>2.7400821792335098E-5</v>
      </c>
      <c r="F137" s="89">
        <f t="shared" ref="F137:K137" si="83">0.0000175+0.0000000335*F136</f>
        <v>2.2993941982377959E-5</v>
      </c>
      <c r="G137" s="89">
        <f t="shared" si="83"/>
        <v>2.2141223427159447E-5</v>
      </c>
      <c r="H137" s="89">
        <f t="shared" si="83"/>
        <v>2.1537535629958959E-5</v>
      </c>
      <c r="I137" s="89">
        <f t="shared" si="83"/>
        <v>2.0700307227963253E-5</v>
      </c>
      <c r="J137" s="89">
        <f t="shared" si="83"/>
        <v>1.99283747533901E-5</v>
      </c>
      <c r="K137" s="90">
        <f t="shared" si="83"/>
        <v>2.1041155013356478E-5</v>
      </c>
      <c r="L137" s="22"/>
      <c r="M137" s="19"/>
      <c r="N137" s="19"/>
      <c r="O137" s="19"/>
      <c r="P137" s="19"/>
      <c r="Q137" s="37"/>
      <c r="R137" s="19"/>
      <c r="S137" s="19"/>
      <c r="T137" s="19"/>
      <c r="U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</row>
    <row r="138" spans="1:139" x14ac:dyDescent="0.25">
      <c r="A138" s="19"/>
      <c r="B138" s="84" t="s">
        <v>213</v>
      </c>
      <c r="C138" s="87" t="s">
        <v>214</v>
      </c>
      <c r="D138" s="86" t="s">
        <v>215</v>
      </c>
      <c r="E138" s="88">
        <f>E131/E130</f>
        <v>2.1941109918439264E-4</v>
      </c>
      <c r="F138" s="89">
        <f t="shared" ref="F138:K138" si="84">F131/F130</f>
        <v>1.9390758040429692E-4</v>
      </c>
      <c r="G138" s="89">
        <f t="shared" si="84"/>
        <v>1.6558316179455151E-4</v>
      </c>
      <c r="H138" s="89">
        <f t="shared" si="84"/>
        <v>1.3850047375125112E-4</v>
      </c>
      <c r="I138" s="89">
        <f t="shared" si="84"/>
        <v>1.1571240822452034E-4</v>
      </c>
      <c r="J138" s="89">
        <f t="shared" si="84"/>
        <v>9.4734936418800741E-5</v>
      </c>
      <c r="K138" s="90">
        <f t="shared" si="84"/>
        <v>7.9928747311477536E-5</v>
      </c>
      <c r="L138" s="22"/>
      <c r="M138" s="19"/>
      <c r="N138" s="19"/>
      <c r="O138" s="19"/>
      <c r="P138" s="19"/>
      <c r="Q138" s="37"/>
      <c r="R138" s="19"/>
      <c r="S138" s="19"/>
      <c r="T138" s="19"/>
      <c r="U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C138" s="19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</row>
    <row r="139" spans="1:139" x14ac:dyDescent="0.25">
      <c r="A139" s="19"/>
      <c r="B139" s="84" t="s">
        <v>216</v>
      </c>
      <c r="C139" s="87" t="s">
        <v>217</v>
      </c>
      <c r="D139" s="91" t="s">
        <v>120</v>
      </c>
      <c r="E139" s="30">
        <f>E131*E129/E132</f>
        <v>0.77567576972432073</v>
      </c>
      <c r="F139" s="28">
        <f t="shared" ref="F139:K139" si="85">F131*F129/F132</f>
        <v>0.77160245183870635</v>
      </c>
      <c r="G139" s="28">
        <f t="shared" si="85"/>
        <v>0.76657335503554291</v>
      </c>
      <c r="H139" s="28">
        <f t="shared" si="85"/>
        <v>0.76127207668086705</v>
      </c>
      <c r="I139" s="28">
        <f t="shared" si="85"/>
        <v>0.75646354622667777</v>
      </c>
      <c r="J139" s="28">
        <f t="shared" si="85"/>
        <v>0.75072369858887855</v>
      </c>
      <c r="K139" s="29">
        <f t="shared" si="85"/>
        <v>0.74643245137322867</v>
      </c>
      <c r="L139" s="22"/>
      <c r="M139" s="19"/>
      <c r="N139" s="19"/>
      <c r="O139" s="19"/>
      <c r="P139" s="19"/>
      <c r="Q139" s="37"/>
      <c r="R139" s="19"/>
      <c r="S139" s="19"/>
      <c r="T139" s="19"/>
      <c r="U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</row>
    <row r="140" spans="1:139" x14ac:dyDescent="0.25">
      <c r="A140" s="19"/>
      <c r="B140" s="84" t="s">
        <v>111</v>
      </c>
      <c r="C140" s="87" t="s">
        <v>112</v>
      </c>
      <c r="D140" s="86" t="s">
        <v>60</v>
      </c>
      <c r="E140" s="30">
        <f>4*E133/E134</f>
        <v>1.4374999999999998</v>
      </c>
      <c r="F140" s="28">
        <f t="shared" ref="F140:K140" si="86">4*F133/F134</f>
        <v>1.4374999999999998</v>
      </c>
      <c r="G140" s="28">
        <f t="shared" si="86"/>
        <v>0.90462143559488684</v>
      </c>
      <c r="H140" s="28">
        <f t="shared" si="86"/>
        <v>0.87358632822317162</v>
      </c>
      <c r="I140" s="28">
        <f t="shared" si="86"/>
        <v>0.84751864232450502</v>
      </c>
      <c r="J140" s="28">
        <f t="shared" si="86"/>
        <v>0.84751864232450502</v>
      </c>
      <c r="K140" s="29">
        <f t="shared" si="86"/>
        <v>0.84751864232450502</v>
      </c>
      <c r="L140" s="22"/>
      <c r="M140" s="19"/>
      <c r="N140" s="19"/>
      <c r="O140" s="19"/>
      <c r="P140" s="19"/>
      <c r="Q140" s="37"/>
      <c r="R140" s="19"/>
      <c r="S140" s="19"/>
      <c r="T140" s="19"/>
      <c r="U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C140" s="19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</row>
    <row r="141" spans="1:139" x14ac:dyDescent="0.25">
      <c r="A141" s="19"/>
      <c r="B141" s="84" t="s">
        <v>218</v>
      </c>
      <c r="C141" s="87" t="s">
        <v>219</v>
      </c>
      <c r="D141" s="86" t="s">
        <v>120</v>
      </c>
      <c r="E141" s="88">
        <f>(E130*E135*E140)/E131</f>
        <v>17914.749692511181</v>
      </c>
      <c r="F141" s="89">
        <f t="shared" ref="F141:K141" si="87">(F130*F135*F140)/F131</f>
        <v>18954.874763248739</v>
      </c>
      <c r="G141" s="89">
        <f t="shared" si="87"/>
        <v>12814.079913785126</v>
      </c>
      <c r="H141" s="89">
        <f t="shared" si="87"/>
        <v>17744.963597045564</v>
      </c>
      <c r="I141" s="89">
        <f t="shared" si="87"/>
        <v>19667.297641735113</v>
      </c>
      <c r="J141" s="89">
        <f t="shared" si="87"/>
        <v>21474.455580906138</v>
      </c>
      <c r="K141" s="90">
        <f t="shared" si="87"/>
        <v>23117.126481917381</v>
      </c>
      <c r="L141" s="22"/>
      <c r="M141" s="19"/>
      <c r="N141" s="19"/>
      <c r="O141" s="19"/>
      <c r="P141" s="19"/>
      <c r="Q141" s="37"/>
      <c r="R141" s="19"/>
      <c r="S141" s="19"/>
      <c r="T141" s="19"/>
      <c r="U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</row>
    <row r="142" spans="1:139" x14ac:dyDescent="0.25">
      <c r="A142" s="19"/>
      <c r="B142" s="84" t="s">
        <v>263</v>
      </c>
      <c r="C142" s="87" t="s">
        <v>221</v>
      </c>
      <c r="D142" s="86" t="s">
        <v>120</v>
      </c>
      <c r="E142" s="30">
        <f>0.664*E141^(1/2)*E139^(1/3)</f>
        <v>81.658273500309704</v>
      </c>
      <c r="F142" s="28">
        <f t="shared" ref="F142:K142" si="88">0.664*F141^(1/2)*F139^(1/3)</f>
        <v>83.848070288004692</v>
      </c>
      <c r="G142" s="28">
        <f t="shared" si="88"/>
        <v>68.790695443813291</v>
      </c>
      <c r="H142" s="28">
        <f t="shared" si="88"/>
        <v>80.764207484352511</v>
      </c>
      <c r="I142" s="28">
        <f t="shared" si="88"/>
        <v>84.846987253290621</v>
      </c>
      <c r="J142" s="28">
        <f t="shared" si="88"/>
        <v>88.434665168844305</v>
      </c>
      <c r="K142" s="29">
        <f t="shared" si="88"/>
        <v>91.579550603135559</v>
      </c>
      <c r="L142" s="22"/>
      <c r="M142" s="19"/>
      <c r="N142" s="19"/>
      <c r="O142" s="19"/>
      <c r="P142" s="19"/>
      <c r="Q142" s="37"/>
      <c r="R142" s="19"/>
      <c r="S142" s="19"/>
      <c r="T142" s="19"/>
      <c r="U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19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</row>
    <row r="143" spans="1:139" x14ac:dyDescent="0.25">
      <c r="A143" s="19"/>
      <c r="B143" s="84" t="s">
        <v>264</v>
      </c>
      <c r="C143" s="87" t="s">
        <v>221</v>
      </c>
      <c r="D143" s="86" t="s">
        <v>120</v>
      </c>
      <c r="E143" s="30">
        <f>(0.037*E141^(0.8)*E139)/(1+2.443*E141^(-0.1)*(E139^0.67-1))</f>
        <v>84.677292682523671</v>
      </c>
      <c r="F143" s="28">
        <f t="shared" ref="F143:K143" si="89">(0.037*F141^(0.8)*F139)/(1+2.443*F141^(-0.1)*(F139^0.67-1))</f>
        <v>88.318969817433427</v>
      </c>
      <c r="G143" s="28">
        <f t="shared" si="89"/>
        <v>64.854093173476016</v>
      </c>
      <c r="H143" s="28">
        <f t="shared" si="89"/>
        <v>83.429300513468903</v>
      </c>
      <c r="I143" s="28">
        <f t="shared" si="89"/>
        <v>90.186896104691201</v>
      </c>
      <c r="J143" s="28">
        <f t="shared" si="89"/>
        <v>96.302419138927249</v>
      </c>
      <c r="K143" s="29">
        <f t="shared" si="89"/>
        <v>101.77007943708611</v>
      </c>
      <c r="L143" s="22"/>
      <c r="M143" s="19"/>
      <c r="N143" s="19"/>
      <c r="O143" s="19"/>
      <c r="P143" s="19"/>
      <c r="Q143" s="37"/>
      <c r="R143" s="19"/>
      <c r="S143" s="19"/>
      <c r="T143" s="19"/>
      <c r="U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</row>
    <row r="144" spans="1:139" x14ac:dyDescent="0.25">
      <c r="A144" s="19"/>
      <c r="B144" s="84" t="s">
        <v>265</v>
      </c>
      <c r="C144" s="87" t="s">
        <v>221</v>
      </c>
      <c r="D144" s="86" t="s">
        <v>120</v>
      </c>
      <c r="E144" s="30">
        <f t="shared" ref="E144" si="90">SQRT(E142^2+E143^2)</f>
        <v>117.63637841710853</v>
      </c>
      <c r="F144" s="28">
        <f t="shared" ref="F144:K144" si="91">SQRT(F142^2+F143^2)</f>
        <v>121.78152290325036</v>
      </c>
      <c r="G144" s="28">
        <f t="shared" si="91"/>
        <v>94.542123844333972</v>
      </c>
      <c r="H144" s="28">
        <f t="shared" si="91"/>
        <v>116.11763601943611</v>
      </c>
      <c r="I144" s="28">
        <f t="shared" si="91"/>
        <v>123.82522955746308</v>
      </c>
      <c r="J144" s="28">
        <f t="shared" si="91"/>
        <v>130.74725976300698</v>
      </c>
      <c r="K144" s="29">
        <f t="shared" si="91"/>
        <v>136.90859416889461</v>
      </c>
      <c r="L144" s="22"/>
      <c r="M144" s="19"/>
      <c r="N144" s="19"/>
      <c r="O144" s="19"/>
      <c r="P144" s="19"/>
      <c r="Q144" s="37"/>
      <c r="R144" s="19"/>
      <c r="S144" s="19"/>
      <c r="T144" s="19"/>
      <c r="U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19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C144" s="19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</row>
    <row r="145" spans="1:139" x14ac:dyDescent="0.25">
      <c r="A145" s="19"/>
      <c r="B145" s="84" t="s">
        <v>262</v>
      </c>
      <c r="C145" s="87" t="s">
        <v>221</v>
      </c>
      <c r="D145" s="86" t="s">
        <v>120</v>
      </c>
      <c r="E145" s="30">
        <f>2+ (0.4*E141^0.5+0.06*E141^(2/3))*E139^(0.4)*(E131/E137)^(1/4)</f>
        <v>103.24316427773657</v>
      </c>
      <c r="F145" s="28">
        <f t="shared" ref="F145:K145" si="92">2+ (0.4*F141^0.5+0.06*F141^(2/3))*F139^(0.4)*(F131/F137)^(1/4)</f>
        <v>109.49652589014674</v>
      </c>
      <c r="G145" s="28">
        <f t="shared" si="92"/>
        <v>87.001259346292741</v>
      </c>
      <c r="H145" s="28">
        <f t="shared" si="92"/>
        <v>102.75403679518224</v>
      </c>
      <c r="I145" s="28">
        <f t="shared" si="92"/>
        <v>107.52685208176773</v>
      </c>
      <c r="J145" s="28">
        <f t="shared" si="92"/>
        <v>111.27197239472821</v>
      </c>
      <c r="K145" s="29">
        <f t="shared" si="92"/>
        <v>112.14900130538159</v>
      </c>
      <c r="L145" s="22"/>
      <c r="M145" s="19"/>
      <c r="N145" s="19"/>
      <c r="O145" s="19"/>
      <c r="P145" s="19"/>
      <c r="Q145" s="37"/>
      <c r="R145" s="19"/>
      <c r="S145" s="19"/>
      <c r="T145" s="19"/>
      <c r="U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19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C145" s="19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</row>
    <row r="146" spans="1:139" ht="15.75" thickBot="1" x14ac:dyDescent="0.3">
      <c r="A146" s="19"/>
      <c r="B146" s="92" t="s">
        <v>266</v>
      </c>
      <c r="C146" s="93" t="s">
        <v>221</v>
      </c>
      <c r="D146" s="94" t="s">
        <v>120</v>
      </c>
      <c r="E146" s="727">
        <f>2.36*(0.027*E141^0.8*E139^(1/3)*(E131/E137)^(1/4))-13.6</f>
        <v>161.62314198655088</v>
      </c>
      <c r="F146" s="728">
        <f t="shared" ref="F146:K146" si="93">2.36*(0.027*F141^0.8*F139^(1/3)*(F131/F137)^(1/4))-13.6</f>
        <v>174.91564145180604</v>
      </c>
      <c r="G146" s="728">
        <f t="shared" si="93"/>
        <v>122.76410079570522</v>
      </c>
      <c r="H146" s="728">
        <f t="shared" si="93"/>
        <v>160.61651783229553</v>
      </c>
      <c r="I146" s="728">
        <f t="shared" si="93"/>
        <v>173.26548890855821</v>
      </c>
      <c r="J146" s="728">
        <f t="shared" si="93"/>
        <v>183.89236579638958</v>
      </c>
      <c r="K146" s="729">
        <f t="shared" si="93"/>
        <v>188.90112732817104</v>
      </c>
      <c r="L146" s="22"/>
      <c r="M146" s="19"/>
      <c r="N146" s="19"/>
      <c r="O146" s="19"/>
      <c r="P146" s="19"/>
      <c r="Q146" s="37"/>
      <c r="R146" s="19"/>
      <c r="S146" s="19"/>
      <c r="T146" s="19"/>
      <c r="U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19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</row>
    <row r="147" spans="1:139" x14ac:dyDescent="0.25">
      <c r="A147" s="19"/>
      <c r="B147" s="104" t="s">
        <v>220</v>
      </c>
      <c r="C147" s="114" t="s">
        <v>221</v>
      </c>
      <c r="D147" s="115" t="s">
        <v>120</v>
      </c>
      <c r="E147" s="119">
        <f>+E145</f>
        <v>103.24316427773657</v>
      </c>
      <c r="F147" s="120">
        <f t="shared" ref="F147:K147" si="94">+F145</f>
        <v>109.49652589014674</v>
      </c>
      <c r="G147" s="120">
        <f t="shared" si="94"/>
        <v>87.001259346292741</v>
      </c>
      <c r="H147" s="120">
        <f t="shared" si="94"/>
        <v>102.75403679518224</v>
      </c>
      <c r="I147" s="120">
        <f t="shared" si="94"/>
        <v>107.52685208176773</v>
      </c>
      <c r="J147" s="120">
        <f t="shared" si="94"/>
        <v>111.27197239472821</v>
      </c>
      <c r="K147" s="121">
        <f t="shared" si="94"/>
        <v>112.14900130538159</v>
      </c>
      <c r="L147" s="22"/>
      <c r="M147" s="19"/>
      <c r="N147" s="19"/>
      <c r="O147" s="19"/>
      <c r="P147" s="19"/>
      <c r="Q147" s="37"/>
      <c r="R147" s="19"/>
      <c r="S147" s="19"/>
      <c r="T147" s="19"/>
      <c r="U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</row>
    <row r="148" spans="1:139" x14ac:dyDescent="0.25">
      <c r="A148" s="19"/>
      <c r="B148" s="84" t="s">
        <v>111</v>
      </c>
      <c r="C148" s="87" t="s">
        <v>112</v>
      </c>
      <c r="D148" s="86" t="s">
        <v>60</v>
      </c>
      <c r="E148" s="206">
        <f>+E140</f>
        <v>1.4374999999999998</v>
      </c>
      <c r="F148" s="148">
        <f t="shared" ref="F148:K148" si="95">+F140</f>
        <v>1.4374999999999998</v>
      </c>
      <c r="G148" s="148">
        <f t="shared" si="95"/>
        <v>0.90462143559488684</v>
      </c>
      <c r="H148" s="148">
        <f t="shared" si="95"/>
        <v>0.87358632822317162</v>
      </c>
      <c r="I148" s="148">
        <f t="shared" si="95"/>
        <v>0.84751864232450502</v>
      </c>
      <c r="J148" s="148">
        <f t="shared" si="95"/>
        <v>0.84751864232450502</v>
      </c>
      <c r="K148" s="149">
        <f t="shared" si="95"/>
        <v>0.84751864232450502</v>
      </c>
      <c r="L148" s="22"/>
      <c r="M148" s="19"/>
      <c r="N148" s="19"/>
      <c r="O148" s="19"/>
      <c r="P148" s="19"/>
      <c r="Q148" s="37"/>
      <c r="R148" s="19"/>
      <c r="S148" s="19"/>
      <c r="T148" s="19"/>
      <c r="U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19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C148" s="1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</row>
    <row r="149" spans="1:139" x14ac:dyDescent="0.25">
      <c r="A149" s="19"/>
      <c r="B149" s="95" t="s">
        <v>222</v>
      </c>
      <c r="C149" s="85" t="s">
        <v>223</v>
      </c>
      <c r="D149" s="86" t="s">
        <v>28</v>
      </c>
      <c r="E149" s="721">
        <f>+E68</f>
        <v>0.61399999999999999</v>
      </c>
      <c r="F149" s="722">
        <f t="shared" ref="F149:K149" si="96">+F68</f>
        <v>0.99</v>
      </c>
      <c r="G149" s="722">
        <f t="shared" si="96"/>
        <v>1.8</v>
      </c>
      <c r="H149" s="722">
        <f t="shared" si="96"/>
        <v>2.1760000000000002</v>
      </c>
      <c r="I149" s="722">
        <f t="shared" si="96"/>
        <v>2.9</v>
      </c>
      <c r="J149" s="722">
        <f t="shared" si="96"/>
        <v>5</v>
      </c>
      <c r="K149" s="488">
        <f t="shared" si="96"/>
        <v>1.36</v>
      </c>
      <c r="L149" s="22"/>
      <c r="M149" s="19"/>
      <c r="N149" s="19"/>
      <c r="O149" s="19"/>
      <c r="P149" s="19"/>
      <c r="Q149" s="37"/>
      <c r="R149" s="19"/>
      <c r="S149" s="19"/>
      <c r="T149" s="19"/>
      <c r="U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</row>
    <row r="150" spans="1:139" x14ac:dyDescent="0.25">
      <c r="A150" s="19"/>
      <c r="B150" s="84" t="s">
        <v>224</v>
      </c>
      <c r="C150" s="85" t="s">
        <v>59</v>
      </c>
      <c r="D150" s="86" t="s">
        <v>225</v>
      </c>
      <c r="E150" s="96">
        <f t="shared" ref="E150" si="97">E147*E132/E148</f>
        <v>6.6982253370216271E-3</v>
      </c>
      <c r="F150" s="97">
        <f t="shared" ref="F150:K150" si="98">F147*F132/F148</f>
        <v>6.6685587221568931E-3</v>
      </c>
      <c r="G150" s="97">
        <f t="shared" si="98"/>
        <v>7.7652855352936534E-3</v>
      </c>
      <c r="H150" s="97">
        <f t="shared" si="98"/>
        <v>8.6654744637685542E-3</v>
      </c>
      <c r="I150" s="97">
        <f t="shared" si="98"/>
        <v>8.5221822942546394E-3</v>
      </c>
      <c r="J150" s="97">
        <f t="shared" si="98"/>
        <v>7.9564392959806784E-3</v>
      </c>
      <c r="K150" s="98">
        <f t="shared" si="98"/>
        <v>7.3468432130979287E-3</v>
      </c>
      <c r="L150" s="22"/>
      <c r="M150" s="19"/>
      <c r="N150" s="19"/>
      <c r="O150" s="19"/>
      <c r="P150" s="19"/>
      <c r="Q150" s="37"/>
      <c r="R150" s="19"/>
      <c r="S150" s="19"/>
      <c r="T150" s="19"/>
      <c r="U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</row>
    <row r="151" spans="1:139" x14ac:dyDescent="0.25">
      <c r="A151" s="19"/>
      <c r="B151" s="84" t="s">
        <v>346</v>
      </c>
      <c r="C151" s="85" t="s">
        <v>59</v>
      </c>
      <c r="D151" s="86" t="s">
        <v>225</v>
      </c>
      <c r="E151" s="116">
        <f t="shared" ref="E151" si="99">+E150</f>
        <v>6.6982253370216271E-3</v>
      </c>
      <c r="F151" s="730">
        <f t="shared" ref="F151:K151" si="100">+F150</f>
        <v>6.6685587221568931E-3</v>
      </c>
      <c r="G151" s="730">
        <f t="shared" si="100"/>
        <v>7.7652855352936534E-3</v>
      </c>
      <c r="H151" s="730">
        <f t="shared" si="100"/>
        <v>8.6654744637685542E-3</v>
      </c>
      <c r="I151" s="730">
        <f t="shared" si="100"/>
        <v>8.5221822942546394E-3</v>
      </c>
      <c r="J151" s="730">
        <f t="shared" si="100"/>
        <v>7.9564392959806784E-3</v>
      </c>
      <c r="K151" s="731">
        <f t="shared" si="100"/>
        <v>7.3468432130979287E-3</v>
      </c>
      <c r="L151" s="22"/>
      <c r="M151" s="19"/>
      <c r="N151" s="19"/>
      <c r="O151" s="19"/>
      <c r="P151" s="19"/>
      <c r="Q151" s="37"/>
      <c r="R151" s="19"/>
      <c r="S151" s="19"/>
      <c r="T151" s="19"/>
      <c r="U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</row>
    <row r="152" spans="1:139" ht="15.75" thickBot="1" x14ac:dyDescent="0.3">
      <c r="A152" s="19"/>
      <c r="B152" s="99" t="s">
        <v>226</v>
      </c>
      <c r="C152" s="351" t="s">
        <v>227</v>
      </c>
      <c r="D152" s="100" t="s">
        <v>19</v>
      </c>
      <c r="E152" s="101">
        <f t="shared" ref="E152" si="101">E149*E150*(E127-E136)</f>
        <v>3.2571428213142344</v>
      </c>
      <c r="F152" s="102">
        <f t="shared" ref="F152:K152" si="102">F149*F150*(F127-F136)</f>
        <v>5.5137328288162388</v>
      </c>
      <c r="G152" s="102">
        <f t="shared" si="102"/>
        <v>10.559410602775355</v>
      </c>
      <c r="H152" s="102">
        <f t="shared" si="102"/>
        <v>12.524160680005654</v>
      </c>
      <c r="I152" s="102">
        <f t="shared" si="102"/>
        <v>14.549869399970468</v>
      </c>
      <c r="J152" s="102">
        <f t="shared" si="102"/>
        <v>20.297721917202207</v>
      </c>
      <c r="K152" s="103">
        <f t="shared" si="102"/>
        <v>3.9814672346693869</v>
      </c>
      <c r="L152" s="22"/>
      <c r="M152" s="19"/>
      <c r="N152" s="19"/>
      <c r="O152" s="19"/>
      <c r="P152" s="19"/>
      <c r="Q152" s="37"/>
      <c r="R152" s="19"/>
      <c r="S152" s="19"/>
      <c r="T152" s="19"/>
      <c r="U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</row>
    <row r="153" spans="1:139" ht="15.75" thickBot="1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268"/>
      <c r="L153" s="268"/>
      <c r="M153" s="37"/>
      <c r="N153" s="37"/>
      <c r="O153" s="37"/>
      <c r="P153" s="37"/>
      <c r="Q153" s="37"/>
      <c r="R153" s="19"/>
      <c r="S153" s="19"/>
      <c r="T153" s="19"/>
      <c r="U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</row>
    <row r="154" spans="1:139" ht="15.75" thickBot="1" x14ac:dyDescent="0.3">
      <c r="A154" s="778" t="s">
        <v>348</v>
      </c>
      <c r="B154" s="779"/>
      <c r="C154" s="779"/>
      <c r="D154" s="779"/>
      <c r="E154" s="779"/>
      <c r="F154" s="779"/>
      <c r="G154" s="779"/>
      <c r="H154" s="779"/>
      <c r="I154" s="779"/>
      <c r="J154" s="779"/>
      <c r="K154" s="779"/>
      <c r="L154" s="779"/>
      <c r="M154" s="779"/>
      <c r="N154" s="779"/>
      <c r="O154" s="779"/>
      <c r="P154" s="779"/>
      <c r="Q154" s="779"/>
      <c r="R154" s="779"/>
      <c r="S154" s="779"/>
      <c r="T154" s="779"/>
      <c r="U154" s="780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C154" s="19"/>
      <c r="DD154" s="19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</row>
    <row r="155" spans="1:139" ht="15.75" thickBot="1" x14ac:dyDescent="0.3">
      <c r="A155" s="19"/>
      <c r="B155" s="19"/>
      <c r="C155" s="19"/>
      <c r="D155" s="31"/>
      <c r="E155" s="19"/>
      <c r="F155" s="38"/>
      <c r="G155" s="19"/>
      <c r="H155" s="19"/>
      <c r="I155" s="19"/>
      <c r="J155" s="38"/>
      <c r="K155" s="19"/>
      <c r="L155" s="19"/>
      <c r="M155" s="19"/>
      <c r="N155" s="19"/>
      <c r="O155" s="19"/>
      <c r="P155" s="19"/>
      <c r="Q155" s="37"/>
      <c r="R155" s="19"/>
      <c r="S155" s="19"/>
      <c r="T155" s="19"/>
      <c r="U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C155" s="19"/>
      <c r="DD155" s="19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</row>
    <row r="156" spans="1:139" x14ac:dyDescent="0.25">
      <c r="A156" s="19"/>
      <c r="B156" s="104" t="s">
        <v>228</v>
      </c>
      <c r="C156" s="348" t="s">
        <v>229</v>
      </c>
      <c r="D156" s="115" t="s">
        <v>13</v>
      </c>
      <c r="E156" s="347">
        <f t="shared" ref="E156:J156" si="103">E127</f>
        <v>1087.5168218990043</v>
      </c>
      <c r="F156" s="128">
        <f t="shared" si="103"/>
        <v>999.17530290874845</v>
      </c>
      <c r="G156" s="348">
        <f t="shared" si="103"/>
        <v>894.0009711979111</v>
      </c>
      <c r="H156" s="348">
        <f t="shared" si="103"/>
        <v>784.72119082513814</v>
      </c>
      <c r="I156" s="565">
        <f t="shared" si="103"/>
        <v>684.25357549242653</v>
      </c>
      <c r="J156" s="596">
        <f t="shared" si="103"/>
        <v>582.71004613218247</v>
      </c>
      <c r="K156" s="724">
        <f t="shared" ref="K156" si="104">K127</f>
        <v>504.18330957452275</v>
      </c>
      <c r="L156" s="294"/>
      <c r="M156" s="19"/>
      <c r="N156" s="19"/>
      <c r="O156" s="19"/>
      <c r="P156" s="19"/>
      <c r="Q156" s="37"/>
      <c r="R156" s="19"/>
      <c r="S156" s="19"/>
      <c r="T156" s="19"/>
      <c r="U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</row>
    <row r="157" spans="1:139" x14ac:dyDescent="0.25">
      <c r="A157" s="19"/>
      <c r="B157" s="24" t="s">
        <v>230</v>
      </c>
      <c r="C157" s="25" t="s">
        <v>231</v>
      </c>
      <c r="D157" s="409" t="s">
        <v>13</v>
      </c>
      <c r="E157" s="411">
        <f>ABS(-264.44+1.03*E156)</f>
        <v>855.70232655597442</v>
      </c>
      <c r="F157" s="129">
        <f t="shared" ref="F157:K157" si="105">-264.44+1.03*F156</f>
        <v>764.71056199601094</v>
      </c>
      <c r="G157" s="25">
        <f t="shared" si="105"/>
        <v>656.38100033384853</v>
      </c>
      <c r="H157" s="25">
        <f t="shared" si="105"/>
        <v>543.8228265498924</v>
      </c>
      <c r="I157" s="25">
        <f t="shared" si="105"/>
        <v>440.34118275719931</v>
      </c>
      <c r="J157" s="25">
        <f t="shared" si="105"/>
        <v>335.75134751614797</v>
      </c>
      <c r="K157" s="25">
        <f t="shared" si="105"/>
        <v>254.8688088617584</v>
      </c>
      <c r="L157" s="294"/>
      <c r="M157" s="19"/>
      <c r="N157" s="19"/>
      <c r="O157" s="19"/>
      <c r="P157" s="19"/>
      <c r="Q157" s="37"/>
      <c r="R157" s="19"/>
      <c r="S157" s="19"/>
      <c r="T157" s="19"/>
      <c r="U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</row>
    <row r="158" spans="1:139" ht="15.75" thickBot="1" x14ac:dyDescent="0.3">
      <c r="A158" s="19"/>
      <c r="B158" s="26" t="s">
        <v>232</v>
      </c>
      <c r="C158" s="27" t="s">
        <v>233</v>
      </c>
      <c r="D158" s="410" t="s">
        <v>13</v>
      </c>
      <c r="E158" s="412">
        <f>ABS(-87.31+0.79*E156)</f>
        <v>771.82828930021333</v>
      </c>
      <c r="F158" s="130">
        <f t="shared" ref="F158:K158" si="106">-87.31+0.79*F156</f>
        <v>702.03848929791138</v>
      </c>
      <c r="G158" s="27">
        <f t="shared" si="106"/>
        <v>618.95076724634987</v>
      </c>
      <c r="H158" s="27">
        <f t="shared" si="106"/>
        <v>532.61974075185913</v>
      </c>
      <c r="I158" s="27">
        <f t="shared" si="106"/>
        <v>453.25032463901704</v>
      </c>
      <c r="J158" s="27">
        <f t="shared" si="106"/>
        <v>373.03093644442419</v>
      </c>
      <c r="K158" s="27">
        <f t="shared" si="106"/>
        <v>310.99481456387298</v>
      </c>
      <c r="L158" s="294"/>
      <c r="M158" s="19"/>
      <c r="N158" s="19"/>
      <c r="O158" s="19"/>
      <c r="P158" s="19"/>
      <c r="Q158" s="37"/>
      <c r="R158" s="19"/>
      <c r="S158" s="19"/>
      <c r="T158" s="19"/>
      <c r="U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</row>
    <row r="159" spans="1:139" ht="15.75" thickBot="1" x14ac:dyDescent="0.3">
      <c r="A159" s="19"/>
      <c r="B159" s="415"/>
      <c r="C159" s="415"/>
      <c r="D159" s="415"/>
      <c r="E159" s="218"/>
      <c r="F159" s="416"/>
      <c r="G159" s="218"/>
      <c r="H159" s="218"/>
      <c r="I159" s="218"/>
      <c r="J159" s="38"/>
      <c r="K159" s="695"/>
      <c r="L159" s="695"/>
      <c r="M159" s="19"/>
      <c r="N159" s="19"/>
      <c r="O159" s="19"/>
      <c r="P159" s="19"/>
      <c r="Q159" s="37"/>
      <c r="R159" s="19"/>
      <c r="S159" s="19"/>
      <c r="T159" s="19"/>
      <c r="U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C159" s="19"/>
      <c r="DD159" s="19"/>
      <c r="DE159" s="19"/>
      <c r="DF159" s="19"/>
      <c r="DG159" s="19"/>
      <c r="DH159" s="19"/>
      <c r="DI159" s="19"/>
      <c r="DJ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</row>
    <row r="160" spans="1:139" ht="15.75" thickBot="1" x14ac:dyDescent="0.3">
      <c r="A160" s="402"/>
      <c r="B160" s="417"/>
      <c r="C160" s="418"/>
      <c r="D160" s="418"/>
      <c r="E160" s="700"/>
      <c r="F160" s="701"/>
      <c r="G160" s="700"/>
      <c r="H160" s="700"/>
      <c r="I160" s="700"/>
      <c r="J160" s="702"/>
      <c r="K160" s="109"/>
      <c r="L160" s="109"/>
      <c r="M160" s="402"/>
      <c r="N160" s="386"/>
      <c r="O160" s="386"/>
      <c r="P160" s="386"/>
      <c r="Q160" s="109"/>
      <c r="R160" s="386"/>
      <c r="S160" s="386"/>
      <c r="T160" s="386"/>
      <c r="U160" s="66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C160" s="19"/>
      <c r="DD160" s="19"/>
      <c r="DE160" s="19"/>
      <c r="DF160" s="19"/>
      <c r="DG160" s="19"/>
      <c r="DH160" s="19"/>
      <c r="DI160" s="19"/>
      <c r="DJ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</row>
    <row r="161" spans="1:139" x14ac:dyDescent="0.25">
      <c r="A161" s="23"/>
      <c r="B161" s="950" t="s">
        <v>190</v>
      </c>
      <c r="C161" s="951"/>
      <c r="D161" s="951"/>
      <c r="E161" s="490">
        <f>+E45</f>
        <v>1</v>
      </c>
      <c r="F161" s="490">
        <f t="shared" ref="F161:K161" si="107">+F45</f>
        <v>2</v>
      </c>
      <c r="G161" s="490">
        <f t="shared" si="107"/>
        <v>3</v>
      </c>
      <c r="H161" s="490">
        <f t="shared" si="107"/>
        <v>4</v>
      </c>
      <c r="I161" s="490">
        <f t="shared" si="107"/>
        <v>5</v>
      </c>
      <c r="J161" s="490">
        <f t="shared" si="107"/>
        <v>6</v>
      </c>
      <c r="K161" s="490">
        <f t="shared" si="107"/>
        <v>7</v>
      </c>
      <c r="L161" s="37"/>
      <c r="M161" s="23"/>
      <c r="N161" s="23"/>
      <c r="O161" s="23"/>
      <c r="P161" s="23"/>
      <c r="Q161" s="37"/>
      <c r="R161" s="23"/>
      <c r="S161" s="23"/>
      <c r="T161" s="23"/>
      <c r="U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</row>
    <row r="162" spans="1:139" x14ac:dyDescent="0.25">
      <c r="A162" s="19"/>
      <c r="B162" s="72" t="s">
        <v>234</v>
      </c>
      <c r="C162" s="73" t="s">
        <v>235</v>
      </c>
      <c r="D162" s="369" t="s">
        <v>148</v>
      </c>
      <c r="E162" s="436">
        <f t="shared" ref="E162:H162" si="108">E127+273.15</f>
        <v>1360.6668218990044</v>
      </c>
      <c r="F162" s="437">
        <f t="shared" si="108"/>
        <v>1272.3253029087484</v>
      </c>
      <c r="G162" s="438">
        <f t="shared" si="108"/>
        <v>1167.1509711979111</v>
      </c>
      <c r="H162" s="438">
        <f t="shared" si="108"/>
        <v>1057.871190825138</v>
      </c>
      <c r="I162" s="438">
        <f t="shared" ref="I162:J162" si="109">I127+273.15</f>
        <v>957.40357549242651</v>
      </c>
      <c r="J162" s="439">
        <f t="shared" si="109"/>
        <v>855.86004613218245</v>
      </c>
      <c r="K162" s="439">
        <f>K127+273.15</f>
        <v>777.33330957452267</v>
      </c>
      <c r="L162" s="37"/>
      <c r="M162" s="23"/>
      <c r="N162" s="23"/>
      <c r="O162" s="23"/>
      <c r="P162" s="23"/>
      <c r="Q162" s="37"/>
      <c r="R162" s="19"/>
      <c r="S162" s="19"/>
      <c r="T162" s="19"/>
      <c r="U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</row>
    <row r="163" spans="1:139" x14ac:dyDescent="0.25">
      <c r="A163" s="19"/>
      <c r="B163" s="72" t="s">
        <v>236</v>
      </c>
      <c r="C163" s="73" t="s">
        <v>237</v>
      </c>
      <c r="D163" s="369" t="s">
        <v>148</v>
      </c>
      <c r="E163" s="436">
        <f t="shared" ref="E163:H163" si="110">E136+273.15</f>
        <v>568.69691917418197</v>
      </c>
      <c r="F163" s="437">
        <f t="shared" si="110"/>
        <v>437.14826813068538</v>
      </c>
      <c r="G163" s="438">
        <f t="shared" si="110"/>
        <v>411.69398290028198</v>
      </c>
      <c r="H163" s="438">
        <f t="shared" si="110"/>
        <v>393.67345164056599</v>
      </c>
      <c r="I163" s="438">
        <f t="shared" ref="I163:J163" si="111">I136+273.15</f>
        <v>368.68155904367916</v>
      </c>
      <c r="J163" s="439">
        <f t="shared" si="111"/>
        <v>345.63879860865967</v>
      </c>
      <c r="K163" s="439">
        <f t="shared" ref="K163" si="112">K136+273.15</f>
        <v>378.85611980168585</v>
      </c>
      <c r="L163" s="37"/>
      <c r="M163" s="22"/>
      <c r="N163" s="22"/>
      <c r="O163" s="22"/>
      <c r="P163" s="22"/>
      <c r="Q163" s="22"/>
      <c r="R163" s="22"/>
      <c r="S163" s="22"/>
      <c r="T163" s="22"/>
      <c r="U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C163" s="19"/>
      <c r="DD163" s="19"/>
      <c r="DE163" s="19"/>
      <c r="DF163" s="19"/>
      <c r="DG163" s="19"/>
      <c r="DH163" s="19"/>
      <c r="DI163" s="19"/>
      <c r="DJ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</row>
    <row r="164" spans="1:139" x14ac:dyDescent="0.25">
      <c r="A164" s="19"/>
      <c r="B164" s="72" t="s">
        <v>238</v>
      </c>
      <c r="C164" s="73" t="s">
        <v>239</v>
      </c>
      <c r="D164" s="369" t="s">
        <v>148</v>
      </c>
      <c r="E164" s="436">
        <f t="shared" ref="E164:H165" si="113">E157+273.15</f>
        <v>1128.8523265559743</v>
      </c>
      <c r="F164" s="437">
        <f t="shared" si="113"/>
        <v>1037.8605619960108</v>
      </c>
      <c r="G164" s="438">
        <f t="shared" si="113"/>
        <v>929.53100033384851</v>
      </c>
      <c r="H164" s="438">
        <f t="shared" si="113"/>
        <v>816.97282654989237</v>
      </c>
      <c r="I164" s="438">
        <f t="shared" ref="I164:J164" si="114">I157+273.15</f>
        <v>713.49118275719934</v>
      </c>
      <c r="J164" s="439">
        <f t="shared" si="114"/>
        <v>608.90134751614801</v>
      </c>
      <c r="K164" s="439">
        <f t="shared" ref="K164" si="115">K157+273.15</f>
        <v>528.01880886175832</v>
      </c>
      <c r="L164" s="37"/>
      <c r="M164" s="22"/>
      <c r="N164" s="22"/>
      <c r="O164" s="22"/>
      <c r="P164" s="22"/>
      <c r="Q164" s="22"/>
      <c r="R164" s="22"/>
      <c r="S164" s="22"/>
      <c r="T164" s="22"/>
      <c r="U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</row>
    <row r="165" spans="1:139" x14ac:dyDescent="0.25">
      <c r="A165" s="19"/>
      <c r="B165" s="72" t="s">
        <v>232</v>
      </c>
      <c r="C165" s="73" t="s">
        <v>240</v>
      </c>
      <c r="D165" s="369" t="s">
        <v>148</v>
      </c>
      <c r="E165" s="436">
        <f t="shared" si="113"/>
        <v>1044.9782893002134</v>
      </c>
      <c r="F165" s="437">
        <f t="shared" si="113"/>
        <v>975.18848929791136</v>
      </c>
      <c r="G165" s="438">
        <f t="shared" si="113"/>
        <v>892.10076724634985</v>
      </c>
      <c r="H165" s="438">
        <f t="shared" si="113"/>
        <v>805.7697407518591</v>
      </c>
      <c r="I165" s="438">
        <f t="shared" ref="I165:J165" si="116">I158+273.15</f>
        <v>726.40032463901707</v>
      </c>
      <c r="J165" s="439">
        <f t="shared" si="116"/>
        <v>646.18093644442411</v>
      </c>
      <c r="K165" s="439">
        <f t="shared" ref="K165" si="117">K158+273.15</f>
        <v>584.14481456387296</v>
      </c>
      <c r="L165" s="37"/>
      <c r="M165" s="22"/>
      <c r="N165" s="22"/>
      <c r="O165" s="22"/>
      <c r="P165" s="22"/>
      <c r="Q165" s="22"/>
      <c r="R165" s="22"/>
      <c r="S165" s="22"/>
      <c r="T165" s="22"/>
      <c r="U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</row>
    <row r="166" spans="1:139" x14ac:dyDescent="0.25">
      <c r="A166" s="19"/>
      <c r="B166" s="72" t="s">
        <v>241</v>
      </c>
      <c r="C166" s="75" t="s">
        <v>242</v>
      </c>
      <c r="D166" s="369" t="s">
        <v>243</v>
      </c>
      <c r="E166" s="117">
        <v>5.6699999999999998E-8</v>
      </c>
      <c r="F166" s="117">
        <v>5.6699999999999998E-8</v>
      </c>
      <c r="G166" s="117">
        <v>5.6699999999999998E-8</v>
      </c>
      <c r="H166" s="117">
        <v>5.6699999999999998E-8</v>
      </c>
      <c r="I166" s="117">
        <v>5.6699999999999998E-8</v>
      </c>
      <c r="J166" s="117">
        <v>5.6699999999999998E-8</v>
      </c>
      <c r="K166" s="117">
        <v>5.6699999999999998E-8</v>
      </c>
      <c r="L166" s="37"/>
      <c r="M166" s="22"/>
      <c r="N166" s="22"/>
      <c r="O166" s="22"/>
      <c r="P166" s="22"/>
      <c r="Q166" s="22"/>
      <c r="R166" s="22"/>
      <c r="S166" s="22"/>
      <c r="T166" s="22"/>
      <c r="U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</row>
    <row r="167" spans="1:139" x14ac:dyDescent="0.25">
      <c r="A167" s="19"/>
      <c r="B167" s="72" t="s">
        <v>244</v>
      </c>
      <c r="C167" s="73" t="s">
        <v>245</v>
      </c>
      <c r="D167" s="369" t="s">
        <v>120</v>
      </c>
      <c r="E167" s="206">
        <v>0.11940000000000001</v>
      </c>
      <c r="F167" s="311">
        <v>0.12609999999999999</v>
      </c>
      <c r="G167" s="148">
        <v>0.14699999999999999</v>
      </c>
      <c r="H167" s="148">
        <v>0.153</v>
      </c>
      <c r="I167" s="148">
        <v>0.153</v>
      </c>
      <c r="J167" s="149">
        <v>0.153</v>
      </c>
      <c r="K167" s="149">
        <v>0.153</v>
      </c>
      <c r="L167" s="37"/>
      <c r="M167" s="22"/>
      <c r="N167" s="22"/>
      <c r="O167" s="22"/>
      <c r="P167" s="22"/>
      <c r="Q167" s="22"/>
      <c r="R167" s="22"/>
      <c r="S167" s="22"/>
      <c r="T167" s="22"/>
      <c r="U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</row>
    <row r="168" spans="1:139" x14ac:dyDescent="0.25">
      <c r="A168" s="19"/>
      <c r="B168" s="72" t="s">
        <v>246</v>
      </c>
      <c r="C168" s="73" t="s">
        <v>247</v>
      </c>
      <c r="D168" s="369" t="s">
        <v>120</v>
      </c>
      <c r="E168" s="206">
        <v>0.4</v>
      </c>
      <c r="F168" s="148">
        <v>0.4</v>
      </c>
      <c r="G168" s="148">
        <v>0.4</v>
      </c>
      <c r="H168" s="148">
        <v>0.4</v>
      </c>
      <c r="I168" s="148">
        <v>0.4</v>
      </c>
      <c r="J168" s="149">
        <v>0.4</v>
      </c>
      <c r="K168" s="149">
        <v>0.4</v>
      </c>
      <c r="L168" s="37"/>
      <c r="M168" s="22"/>
      <c r="N168" s="22"/>
      <c r="O168" s="22"/>
      <c r="P168" s="22"/>
      <c r="Q168" s="22"/>
      <c r="R168" s="22"/>
      <c r="S168" s="22"/>
      <c r="T168" s="22"/>
      <c r="U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</row>
    <row r="169" spans="1:139" x14ac:dyDescent="0.25">
      <c r="A169" s="19"/>
      <c r="B169" s="72" t="s">
        <v>248</v>
      </c>
      <c r="C169" s="73" t="s">
        <v>249</v>
      </c>
      <c r="D169" s="369" t="s">
        <v>120</v>
      </c>
      <c r="E169" s="206">
        <v>0.96</v>
      </c>
      <c r="F169" s="311">
        <v>0.96</v>
      </c>
      <c r="G169" s="148">
        <v>0.96</v>
      </c>
      <c r="H169" s="148">
        <v>0.96</v>
      </c>
      <c r="I169" s="148">
        <v>0.96</v>
      </c>
      <c r="J169" s="149">
        <v>0.96</v>
      </c>
      <c r="K169" s="149">
        <v>0.96</v>
      </c>
      <c r="L169" s="37"/>
      <c r="M169" s="22"/>
      <c r="N169" s="22"/>
      <c r="O169" s="22"/>
      <c r="P169" s="22"/>
      <c r="Q169" s="22"/>
      <c r="R169" s="22"/>
      <c r="S169" s="22"/>
      <c r="T169" s="22"/>
      <c r="U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</row>
    <row r="170" spans="1:139" x14ac:dyDescent="0.25">
      <c r="A170" s="19"/>
      <c r="B170" s="72" t="s">
        <v>342</v>
      </c>
      <c r="C170" s="73" t="s">
        <v>115</v>
      </c>
      <c r="D170" s="369" t="s">
        <v>28</v>
      </c>
      <c r="E170" s="206">
        <f>+E64</f>
        <v>1.88</v>
      </c>
      <c r="F170" s="206">
        <f t="shared" ref="F170:K170" si="118">+F64</f>
        <v>2.2000000000000002</v>
      </c>
      <c r="G170" s="206">
        <f t="shared" si="118"/>
        <v>2.2909999999999999</v>
      </c>
      <c r="H170" s="206">
        <f t="shared" si="118"/>
        <v>2.1619999999999999</v>
      </c>
      <c r="I170" s="206">
        <f t="shared" si="118"/>
        <v>2.1619999999999999</v>
      </c>
      <c r="J170" s="206">
        <f t="shared" si="118"/>
        <v>1.6214999999999999</v>
      </c>
      <c r="K170" s="206">
        <f t="shared" si="118"/>
        <v>1.2161249999999999</v>
      </c>
      <c r="L170" s="37"/>
      <c r="M170" s="22"/>
      <c r="N170" s="22"/>
      <c r="O170" s="22"/>
      <c r="P170" s="22"/>
      <c r="Q170" s="22"/>
      <c r="R170" s="22"/>
      <c r="S170" s="22"/>
      <c r="T170" s="22"/>
      <c r="U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C170" s="19"/>
      <c r="DD170" s="19"/>
      <c r="DE170" s="19"/>
      <c r="DF170" s="19"/>
      <c r="DG170" s="19"/>
      <c r="DH170" s="19"/>
      <c r="DI170" s="19"/>
      <c r="DJ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</row>
    <row r="171" spans="1:139" x14ac:dyDescent="0.25">
      <c r="A171" s="19"/>
      <c r="B171" s="72" t="s">
        <v>343</v>
      </c>
      <c r="C171" s="73" t="s">
        <v>116</v>
      </c>
      <c r="D171" s="369" t="s">
        <v>28</v>
      </c>
      <c r="E171" s="206">
        <f>+E65</f>
        <v>0.8</v>
      </c>
      <c r="F171" s="206">
        <f t="shared" ref="F171:K171" si="119">+F65</f>
        <v>0.80299999999999994</v>
      </c>
      <c r="G171" s="206">
        <f t="shared" si="119"/>
        <v>0.80299999999999994</v>
      </c>
      <c r="H171" s="206">
        <f t="shared" si="119"/>
        <v>1.238</v>
      </c>
      <c r="I171" s="206">
        <f t="shared" si="119"/>
        <v>1.238</v>
      </c>
      <c r="J171" s="206">
        <f t="shared" si="119"/>
        <v>1.238</v>
      </c>
      <c r="K171" s="206">
        <f t="shared" si="119"/>
        <v>1.238</v>
      </c>
      <c r="L171" s="37"/>
      <c r="M171" s="22"/>
      <c r="N171" s="22"/>
      <c r="O171" s="22"/>
      <c r="P171" s="22"/>
      <c r="Q171" s="22"/>
      <c r="R171" s="22"/>
      <c r="S171" s="22"/>
      <c r="T171" s="22"/>
      <c r="U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</row>
    <row r="172" spans="1:139" x14ac:dyDescent="0.25">
      <c r="A172" s="19"/>
      <c r="B172" s="72" t="s">
        <v>117</v>
      </c>
      <c r="C172" s="75" t="s">
        <v>118</v>
      </c>
      <c r="D172" s="369" t="s">
        <v>28</v>
      </c>
      <c r="E172" s="206">
        <f>+E68</f>
        <v>0.61399999999999999</v>
      </c>
      <c r="F172" s="206">
        <f t="shared" ref="F172:K172" si="120">+F68</f>
        <v>0.99</v>
      </c>
      <c r="G172" s="206">
        <f t="shared" si="120"/>
        <v>1.8</v>
      </c>
      <c r="H172" s="206">
        <f t="shared" si="120"/>
        <v>2.1760000000000002</v>
      </c>
      <c r="I172" s="206">
        <f t="shared" si="120"/>
        <v>2.9</v>
      </c>
      <c r="J172" s="206">
        <f t="shared" si="120"/>
        <v>5</v>
      </c>
      <c r="K172" s="206">
        <f t="shared" si="120"/>
        <v>1.36</v>
      </c>
      <c r="L172" s="37"/>
      <c r="M172" s="22"/>
      <c r="N172" s="22"/>
      <c r="O172" s="22"/>
      <c r="P172" s="22"/>
      <c r="Q172" s="22"/>
      <c r="R172" s="22"/>
      <c r="S172" s="22"/>
      <c r="T172" s="22"/>
      <c r="U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</row>
    <row r="173" spans="1:139" x14ac:dyDescent="0.25">
      <c r="A173" s="19"/>
      <c r="B173" s="72" t="s">
        <v>250</v>
      </c>
      <c r="C173" s="73" t="s">
        <v>251</v>
      </c>
      <c r="D173" s="369" t="s">
        <v>43</v>
      </c>
      <c r="E173" s="206">
        <v>0.4</v>
      </c>
      <c r="F173" s="148">
        <v>0.4</v>
      </c>
      <c r="G173" s="148">
        <v>0.4</v>
      </c>
      <c r="H173" s="148">
        <v>0.4</v>
      </c>
      <c r="I173" s="148">
        <v>0.4</v>
      </c>
      <c r="J173" s="149">
        <v>0.4</v>
      </c>
      <c r="K173" s="149">
        <v>0.4</v>
      </c>
      <c r="L173" s="37"/>
      <c r="M173" s="22"/>
      <c r="N173" s="22"/>
      <c r="O173" s="22"/>
      <c r="P173" s="22"/>
      <c r="Q173" s="22"/>
      <c r="R173" s="22"/>
      <c r="S173" s="22"/>
      <c r="T173" s="22"/>
      <c r="U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</row>
    <row r="174" spans="1:139" x14ac:dyDescent="0.25">
      <c r="A174" s="19"/>
      <c r="B174" s="72" t="s">
        <v>252</v>
      </c>
      <c r="C174" s="73" t="s">
        <v>253</v>
      </c>
      <c r="D174" s="369" t="s">
        <v>43</v>
      </c>
      <c r="E174" s="206">
        <v>0.2</v>
      </c>
      <c r="F174" s="148">
        <v>0.2</v>
      </c>
      <c r="G174" s="148">
        <v>0.2</v>
      </c>
      <c r="H174" s="148">
        <v>0.2</v>
      </c>
      <c r="I174" s="148">
        <v>0.2</v>
      </c>
      <c r="J174" s="149">
        <v>0.2</v>
      </c>
      <c r="K174" s="149">
        <v>0.2</v>
      </c>
      <c r="L174" s="37"/>
      <c r="M174" s="19"/>
      <c r="N174" s="19"/>
      <c r="O174" s="19"/>
      <c r="P174" s="19"/>
      <c r="Q174" s="37"/>
      <c r="R174" s="19"/>
      <c r="S174" s="19"/>
      <c r="T174" s="19"/>
      <c r="U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</row>
    <row r="175" spans="1:139" x14ac:dyDescent="0.25">
      <c r="A175" s="19"/>
      <c r="B175" s="118" t="s">
        <v>254</v>
      </c>
      <c r="C175" s="85" t="s">
        <v>255</v>
      </c>
      <c r="D175" s="86" t="s">
        <v>19</v>
      </c>
      <c r="E175" s="468">
        <f>2*(E166*(E164^4-E163^4)/((1-E168)/(E172*E168)+1/(E172*E173)+(1-E169)/(E170/E169)))/1000</f>
        <v>26.362981289317805</v>
      </c>
      <c r="F175" s="271">
        <f t="shared" ref="F175:H175" si="121">2*(F166*(F164^4-F163^4)/((1-F168)/(F172*F168)+1/(F172*F173)+(1-F169)/(F170/F169)))/1000</f>
        <v>31.403874854975125</v>
      </c>
      <c r="G175" s="271">
        <f t="shared" si="121"/>
        <v>36.355967286354442</v>
      </c>
      <c r="H175" s="271">
        <f t="shared" si="121"/>
        <v>25.751125867863813</v>
      </c>
      <c r="I175" s="271">
        <f t="shared" ref="I175:J175" si="122">2*(I166*(I164^4-I163^4)/((1-I168)/(I172*I168)+1/(I172*I173)+(1-I169)/(I170/I169)))/1000</f>
        <v>19.535619827246936</v>
      </c>
      <c r="J175" s="477">
        <f t="shared" si="122"/>
        <v>16.960323487797837</v>
      </c>
      <c r="K175" s="477">
        <f t="shared" ref="K175" si="123">2*(K166*(K164^4-K163^4)/((1-K168)/(K172*K168)+1/(K172*K173)+(1-K169)/(K170/K169)))/1000</f>
        <v>2.179314299569528</v>
      </c>
      <c r="L175" s="37"/>
      <c r="M175" s="19"/>
      <c r="N175" s="19"/>
      <c r="O175" s="19"/>
      <c r="P175" s="19"/>
      <c r="Q175" s="37"/>
      <c r="R175" s="19"/>
      <c r="S175" s="19"/>
      <c r="T175" s="19"/>
      <c r="U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</row>
    <row r="176" spans="1:139" x14ac:dyDescent="0.25">
      <c r="A176" s="19"/>
      <c r="B176" s="118" t="s">
        <v>256</v>
      </c>
      <c r="C176" s="85" t="s">
        <v>257</v>
      </c>
      <c r="D176" s="86" t="s">
        <v>19</v>
      </c>
      <c r="E176" s="468">
        <f>(E166*(E165^4-E163^4)/((1-E168)/(E172*E168)+1/(E172*E174)+(1-E169)/(E171/E169)))/1000</f>
        <v>5.800040060607035</v>
      </c>
      <c r="F176" s="271">
        <f t="shared" ref="F176:H176" si="124">(F166*(F165^4-F163^4)/((1-F168)/(F172*F168)+1/(F172*F174)+(1-F169)/(F171/F169)))/1000</f>
        <v>7.4405833310246763</v>
      </c>
      <c r="G176" s="271">
        <f t="shared" si="124"/>
        <v>9.3696955634905024</v>
      </c>
      <c r="H176" s="271">
        <f t="shared" si="124"/>
        <v>7.4680678583676583</v>
      </c>
      <c r="I176" s="271">
        <f t="shared" ref="I176:J176" si="125">(I166*(I165^4-I163^4)/((1-I168)/(I172*I168)+1/(I172*I174)+(1-I169)/(I171/I169)))/1000</f>
        <v>6.4860866780490083</v>
      </c>
      <c r="J176" s="477">
        <f t="shared" si="125"/>
        <v>6.8190603264106553</v>
      </c>
      <c r="K176" s="477">
        <f t="shared" ref="K176" si="126">(K166*(K165^4-K163^4)/((1-K168)/(K172*K168)+1/(K172*K174)+(1-K169)/(K171/K169)))/1000</f>
        <v>1.1295751864692118</v>
      </c>
      <c r="L176" s="37"/>
      <c r="M176" s="19"/>
      <c r="N176" s="19"/>
      <c r="O176" s="19"/>
      <c r="P176" s="19"/>
      <c r="Q176" s="37"/>
      <c r="R176" s="19"/>
      <c r="S176" s="19"/>
      <c r="T176" s="19"/>
      <c r="U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</row>
    <row r="177" spans="1:139" x14ac:dyDescent="0.25">
      <c r="A177" s="19"/>
      <c r="B177" s="118" t="s">
        <v>258</v>
      </c>
      <c r="C177" s="85" t="s">
        <v>259</v>
      </c>
      <c r="D177" s="86" t="s">
        <v>19</v>
      </c>
      <c r="E177" s="206">
        <f>((E166*E172*E168*E167*(E162^4-E163^4))/(1-(1-E168)*(1-E167)))/1000</f>
        <v>11.715296904467449</v>
      </c>
      <c r="F177" s="311">
        <f t="shared" ref="F177:H177" si="127">((F166*F172*F168*F167*(F162^4-F163^4))/(1-(1-F168)*(1-F167)))/1000</f>
        <v>15.381358071486837</v>
      </c>
      <c r="G177" s="148">
        <f>((G166*G172*G168*G167*(G162^4-G163^4))/(1-(1-G168)*(1-G167)))/1000</f>
        <v>22.457815137597962</v>
      </c>
      <c r="H177" s="148">
        <f t="shared" si="127"/>
        <v>18.859319163344086</v>
      </c>
      <c r="I177" s="148">
        <f t="shared" ref="I177:J177" si="128">((I166*I172*I168*I167*(I162^4-I163^4))/(1-(1-I168)*(1-I167)))/1000</f>
        <v>16.813859904431386</v>
      </c>
      <c r="J177" s="149">
        <f t="shared" si="128"/>
        <v>18.425462073106686</v>
      </c>
      <c r="K177" s="149">
        <f t="shared" ref="K177" si="129">((K166*K172*K168*K167*(K162^4-K163^4))/(1-(1-K168)*(1-K167)))/1000</f>
        <v>3.3059068287010733</v>
      </c>
      <c r="L177" s="37"/>
      <c r="M177" s="19"/>
      <c r="N177" s="19"/>
      <c r="O177" s="19"/>
      <c r="P177" s="19"/>
      <c r="Q177" s="37"/>
      <c r="R177" s="19"/>
      <c r="S177" s="19"/>
      <c r="T177" s="19"/>
      <c r="U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/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  <c r="EG177" s="19"/>
      <c r="EH177" s="19"/>
      <c r="EI177" s="19"/>
    </row>
    <row r="178" spans="1:139" ht="15.75" thickBot="1" x14ac:dyDescent="0.3">
      <c r="A178" s="19"/>
      <c r="B178" s="350" t="s">
        <v>260</v>
      </c>
      <c r="C178" s="351" t="s">
        <v>261</v>
      </c>
      <c r="D178" s="100" t="s">
        <v>19</v>
      </c>
      <c r="E178" s="529">
        <f>SUM(E175:E177)</f>
        <v>43.87831825439229</v>
      </c>
      <c r="F178" s="530">
        <f t="shared" ref="F178:H178" si="130">SUM(F175:F177)</f>
        <v>54.225816257486635</v>
      </c>
      <c r="G178" s="530">
        <f t="shared" si="130"/>
        <v>68.183477987442899</v>
      </c>
      <c r="H178" s="530">
        <f t="shared" si="130"/>
        <v>52.078512889575563</v>
      </c>
      <c r="I178" s="530">
        <f t="shared" ref="I178:J178" si="131">SUM(I175:I177)</f>
        <v>42.835566409727335</v>
      </c>
      <c r="J178" s="703">
        <f t="shared" si="131"/>
        <v>42.20484588731518</v>
      </c>
      <c r="K178" s="703">
        <f t="shared" ref="K178" si="132">SUM(K175:K177)</f>
        <v>6.614796314739813</v>
      </c>
      <c r="L178" s="37"/>
      <c r="M178" s="19"/>
      <c r="N178" s="19"/>
      <c r="O178" s="19"/>
      <c r="P178" s="19"/>
      <c r="Q178" s="37"/>
      <c r="R178" s="19"/>
      <c r="S178" s="19"/>
      <c r="T178" s="19"/>
      <c r="U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  <c r="EG178" s="19"/>
      <c r="EH178" s="19"/>
      <c r="EI178" s="19"/>
    </row>
    <row r="179" spans="1:139" ht="15.75" thickBot="1" x14ac:dyDescent="0.3">
      <c r="A179" s="19"/>
      <c r="E179" s="33">
        <f>52010/1000</f>
        <v>52.01</v>
      </c>
      <c r="F179" s="526">
        <f>18687.7/1000</f>
        <v>18.6877</v>
      </c>
      <c r="G179" s="526">
        <f>51227.9/1000</f>
        <v>51.227899999999998</v>
      </c>
      <c r="H179" s="33">
        <f>38455.3/1000</f>
        <v>38.455300000000001</v>
      </c>
      <c r="I179" s="564">
        <f>38455.3/1000</f>
        <v>38.455300000000001</v>
      </c>
      <c r="J179" s="587">
        <f>38455.3/1000</f>
        <v>38.455300000000001</v>
      </c>
      <c r="K179" s="725">
        <f>38455.3/1000</f>
        <v>38.455300000000001</v>
      </c>
      <c r="L179" s="37"/>
      <c r="M179" s="19"/>
      <c r="N179" s="19"/>
      <c r="O179" s="19"/>
      <c r="P179" s="19"/>
      <c r="Q179" s="37"/>
      <c r="R179" s="19"/>
      <c r="S179" s="19"/>
      <c r="T179" s="19"/>
      <c r="U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</row>
    <row r="180" spans="1:139" x14ac:dyDescent="0.25">
      <c r="A180" s="19"/>
      <c r="B180" s="105" t="s">
        <v>267</v>
      </c>
      <c r="C180" s="106" t="s">
        <v>68</v>
      </c>
      <c r="D180" s="413" t="s">
        <v>188</v>
      </c>
      <c r="E180" s="235">
        <f>ABS(E178+E152)</f>
        <v>47.135461075706523</v>
      </c>
      <c r="F180" s="68">
        <f t="shared" ref="F180:H180" si="133">ABS(F178+F152)</f>
        <v>59.739549086302873</v>
      </c>
      <c r="G180" s="68">
        <f t="shared" si="133"/>
        <v>78.742888590218257</v>
      </c>
      <c r="H180" s="68">
        <f t="shared" si="133"/>
        <v>64.602673569581214</v>
      </c>
      <c r="I180" s="68">
        <f t="shared" ref="I180:J180" si="134">ABS(I178+I152)</f>
        <v>57.385435809697803</v>
      </c>
      <c r="J180" s="69">
        <f t="shared" si="134"/>
        <v>62.502567804517383</v>
      </c>
      <c r="K180" s="69">
        <f t="shared" ref="K180" si="135">ABS(K178+K152)</f>
        <v>10.596263549409199</v>
      </c>
      <c r="L180" s="37"/>
      <c r="M180" s="316">
        <f>+SUM(E180:J180)</f>
        <v>370.10857593602407</v>
      </c>
      <c r="N180" s="19"/>
      <c r="O180" s="19"/>
      <c r="P180" s="19"/>
      <c r="Q180" s="37"/>
      <c r="R180" s="19"/>
      <c r="S180" s="19"/>
      <c r="T180" s="19"/>
      <c r="U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  <c r="EG180" s="19"/>
      <c r="EH180" s="19"/>
      <c r="EI180" s="19"/>
    </row>
    <row r="181" spans="1:139" ht="15.75" thickBot="1" x14ac:dyDescent="0.3">
      <c r="A181" s="19"/>
      <c r="B181" s="59" t="s">
        <v>320</v>
      </c>
      <c r="C181" s="60" t="s">
        <v>321</v>
      </c>
      <c r="D181" s="233" t="s">
        <v>188</v>
      </c>
      <c r="E181" s="236">
        <f>+E74</f>
        <v>47.13546138022717</v>
      </c>
      <c r="F181" s="236">
        <f t="shared" ref="F181:K181" si="136">+F74</f>
        <v>59.739548987285978</v>
      </c>
      <c r="G181" s="236">
        <f t="shared" si="136"/>
        <v>78.742888474567636</v>
      </c>
      <c r="H181" s="236">
        <f t="shared" si="136"/>
        <v>64.602673513703735</v>
      </c>
      <c r="I181" s="236">
        <f t="shared" si="136"/>
        <v>57.385435775374617</v>
      </c>
      <c r="J181" s="236">
        <f t="shared" si="136"/>
        <v>62.502567792725692</v>
      </c>
      <c r="K181" s="236">
        <f t="shared" si="136"/>
        <v>10.596263546780705</v>
      </c>
      <c r="L181" s="37"/>
      <c r="M181" s="316">
        <f>+SUM(E181:J181)</f>
        <v>370.10857592388481</v>
      </c>
      <c r="N181" s="19"/>
      <c r="O181" s="19"/>
      <c r="P181" s="19"/>
      <c r="Q181" s="37"/>
      <c r="R181" s="19"/>
      <c r="S181" s="19"/>
      <c r="T181" s="19"/>
      <c r="U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  <c r="EG181" s="19"/>
      <c r="EH181" s="19"/>
      <c r="EI181" s="19"/>
    </row>
    <row r="182" spans="1:139" ht="15.75" thickBot="1" x14ac:dyDescent="0.3">
      <c r="A182" s="19"/>
      <c r="B182" s="107" t="s">
        <v>322</v>
      </c>
      <c r="C182" s="108"/>
      <c r="D182" s="414"/>
      <c r="E182" s="237">
        <f>ABS(E180-E181)</f>
        <v>3.0452064692099157E-7</v>
      </c>
      <c r="F182" s="48">
        <f t="shared" ref="F182:H182" si="137">ABS(F180-F181)</f>
        <v>9.9016894239412068E-8</v>
      </c>
      <c r="G182" s="48">
        <f t="shared" si="137"/>
        <v>1.1565062152385508E-7</v>
      </c>
      <c r="H182" s="48">
        <f t="shared" si="137"/>
        <v>5.5877478644106304E-8</v>
      </c>
      <c r="I182" s="48">
        <f t="shared" ref="I182:J182" si="138">ABS(I180-I181)</f>
        <v>3.4323186071105738E-8</v>
      </c>
      <c r="J182" s="49">
        <f t="shared" si="138"/>
        <v>1.1791691179041663E-8</v>
      </c>
      <c r="K182" s="49">
        <f t="shared" ref="K182" si="139">ABS(K180-K181)</f>
        <v>2.628494755185784E-9</v>
      </c>
      <c r="L182" s="37"/>
      <c r="M182" s="525">
        <f>+SUM(E182:J182)</f>
        <v>6.2118051857851242E-7</v>
      </c>
      <c r="N182" s="19"/>
      <c r="O182" s="19"/>
      <c r="P182" s="19"/>
      <c r="Q182" s="37"/>
      <c r="R182" s="19"/>
      <c r="S182" s="19"/>
      <c r="T182" s="19"/>
      <c r="U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</row>
    <row r="183" spans="1:139" ht="15.75" thickBot="1" x14ac:dyDescent="0.3">
      <c r="A183" s="19"/>
      <c r="B183" s="19"/>
      <c r="C183" s="19"/>
      <c r="D183" s="31"/>
      <c r="E183" s="19"/>
      <c r="F183" s="38"/>
      <c r="G183" s="19"/>
      <c r="H183" s="19"/>
      <c r="I183" s="19"/>
      <c r="J183" s="38"/>
      <c r="K183" s="19"/>
      <c r="L183" s="246">
        <v>4</v>
      </c>
      <c r="M183" s="19">
        <v>1</v>
      </c>
      <c r="N183" s="19"/>
      <c r="O183" s="19"/>
      <c r="P183" s="19"/>
      <c r="Q183" s="37"/>
      <c r="R183" s="19"/>
      <c r="S183" s="19"/>
      <c r="T183" s="19"/>
      <c r="U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</row>
    <row r="184" spans="1:139" s="204" customFormat="1" ht="15.75" thickBot="1" x14ac:dyDescent="0.3">
      <c r="A184" s="850" t="s">
        <v>323</v>
      </c>
      <c r="B184" s="952"/>
      <c r="C184" s="952"/>
      <c r="D184" s="952"/>
      <c r="E184" s="952"/>
      <c r="F184" s="952"/>
      <c r="G184" s="952"/>
      <c r="H184" s="952"/>
      <c r="I184" s="952"/>
      <c r="J184" s="952"/>
      <c r="K184" s="952"/>
      <c r="L184" s="952"/>
      <c r="M184" s="952"/>
      <c r="N184" s="952"/>
      <c r="O184" s="952"/>
      <c r="P184" s="952"/>
      <c r="Q184" s="952"/>
      <c r="R184" s="952"/>
      <c r="S184" s="952"/>
      <c r="T184" s="952"/>
      <c r="U184" s="953"/>
      <c r="V184" s="466"/>
      <c r="W184" s="23"/>
      <c r="X184" s="23"/>
      <c r="Y184" s="23"/>
      <c r="Z184" s="23"/>
      <c r="AA184" s="23"/>
      <c r="AB184" s="23"/>
      <c r="AC184" s="23"/>
      <c r="AD184" s="23"/>
      <c r="AE184" s="23"/>
    </row>
    <row r="185" spans="1:139" ht="15.75" thickBot="1" x14ac:dyDescent="0.3">
      <c r="A185" s="19"/>
      <c r="B185" s="19"/>
      <c r="C185" s="19"/>
      <c r="D185" s="31"/>
      <c r="E185" s="19"/>
      <c r="F185" s="38"/>
      <c r="G185" s="19"/>
      <c r="H185" s="19"/>
      <c r="I185" s="19"/>
      <c r="J185" s="38"/>
      <c r="K185" s="19"/>
      <c r="L185" s="19"/>
      <c r="M185" s="19"/>
      <c r="N185" s="19"/>
      <c r="O185" s="19"/>
      <c r="P185" s="19"/>
      <c r="R185" s="19"/>
      <c r="S185" s="19"/>
      <c r="T185" s="19"/>
      <c r="U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</row>
    <row r="186" spans="1:139" ht="15.75" thickBot="1" x14ac:dyDescent="0.3">
      <c r="A186" s="954" t="s">
        <v>324</v>
      </c>
      <c r="B186" s="955"/>
      <c r="C186" s="955"/>
      <c r="D186" s="955"/>
      <c r="E186" s="955"/>
      <c r="F186" s="955"/>
      <c r="G186" s="955"/>
      <c r="H186" s="955"/>
      <c r="I186" s="955"/>
      <c r="J186" s="955"/>
      <c r="K186" s="955"/>
      <c r="L186" s="955"/>
      <c r="M186" s="955"/>
      <c r="N186" s="955"/>
      <c r="O186" s="955"/>
      <c r="P186" s="955"/>
      <c r="Q186" s="955"/>
      <c r="R186" s="955"/>
      <c r="S186" s="955"/>
      <c r="T186" s="955"/>
      <c r="U186" s="956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</row>
    <row r="187" spans="1:139" ht="15.75" thickBot="1" x14ac:dyDescent="0.3">
      <c r="A187" s="19"/>
      <c r="B187" s="19"/>
      <c r="C187" s="19"/>
      <c r="D187" s="31"/>
      <c r="E187" s="19"/>
      <c r="F187" s="38"/>
      <c r="G187" s="19"/>
      <c r="H187" s="19"/>
      <c r="I187" s="19"/>
      <c r="J187" s="38"/>
      <c r="K187" s="109"/>
      <c r="L187" s="109"/>
      <c r="M187" s="19"/>
      <c r="N187" s="19"/>
      <c r="O187" s="19"/>
      <c r="P187" s="19"/>
      <c r="Q187" s="37"/>
      <c r="R187" s="19"/>
      <c r="S187" s="19"/>
      <c r="T187" s="19"/>
      <c r="U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</row>
    <row r="188" spans="1:139" ht="15.75" thickBot="1" x14ac:dyDescent="0.3">
      <c r="A188" s="19"/>
      <c r="B188" s="41" t="s">
        <v>222</v>
      </c>
      <c r="C188" s="42" t="s">
        <v>223</v>
      </c>
      <c r="D188" s="230" t="s">
        <v>28</v>
      </c>
      <c r="E188" s="67">
        <f>+E149</f>
        <v>0.61399999999999999</v>
      </c>
      <c r="F188" s="134">
        <f t="shared" ref="F188:H188" si="140">+F149</f>
        <v>0.99</v>
      </c>
      <c r="G188" s="67">
        <f t="shared" si="140"/>
        <v>1.8</v>
      </c>
      <c r="H188" s="67">
        <f t="shared" si="140"/>
        <v>2.1760000000000002</v>
      </c>
      <c r="I188" s="67">
        <f>+I149</f>
        <v>2.9</v>
      </c>
      <c r="J188" s="134">
        <f t="shared" ref="J188:K188" si="141">+J149</f>
        <v>5</v>
      </c>
      <c r="K188" s="134">
        <f t="shared" si="141"/>
        <v>1.36</v>
      </c>
      <c r="L188" s="22"/>
      <c r="M188" s="19"/>
      <c r="N188" s="19"/>
      <c r="O188" s="19"/>
      <c r="P188" s="19"/>
      <c r="Q188" s="37"/>
      <c r="R188" s="19"/>
      <c r="S188" s="19"/>
      <c r="T188" s="19"/>
      <c r="U188" s="19"/>
      <c r="W188" s="19"/>
      <c r="X188" s="19"/>
      <c r="Y188" s="23"/>
      <c r="Z188" s="23"/>
      <c r="AA188" s="23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</row>
    <row r="189" spans="1:139" x14ac:dyDescent="0.25">
      <c r="A189" s="19"/>
      <c r="B189" s="43" t="s">
        <v>316</v>
      </c>
      <c r="C189" s="44" t="s">
        <v>317</v>
      </c>
      <c r="D189" s="231" t="s">
        <v>131</v>
      </c>
      <c r="E189" s="68">
        <f>+E79</f>
        <v>112.09532245798447</v>
      </c>
      <c r="F189" s="131">
        <f t="shared" ref="F189:K189" si="142">+G79</f>
        <v>99.842972053991772</v>
      </c>
      <c r="G189" s="68">
        <f t="shared" si="142"/>
        <v>99.456525129906922</v>
      </c>
      <c r="H189" s="68">
        <f t="shared" si="142"/>
        <v>80</v>
      </c>
      <c r="I189" s="68">
        <f t="shared" si="142"/>
        <v>60</v>
      </c>
      <c r="J189" s="131">
        <f t="shared" si="142"/>
        <v>99.315762615389133</v>
      </c>
      <c r="K189" s="131">
        <f t="shared" si="142"/>
        <v>0</v>
      </c>
      <c r="L189" s="22"/>
      <c r="M189" s="19"/>
      <c r="N189" s="19"/>
      <c r="O189" s="19"/>
      <c r="P189" s="19"/>
      <c r="Q189" s="37"/>
      <c r="R189" s="19"/>
      <c r="S189" s="19"/>
      <c r="T189" s="19"/>
      <c r="U189" s="19"/>
      <c r="W189" s="19"/>
      <c r="X189" s="19"/>
      <c r="Y189" s="23"/>
      <c r="Z189" s="23"/>
      <c r="AA189" s="23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</row>
    <row r="190" spans="1:139" ht="15.75" thickBot="1" x14ac:dyDescent="0.3">
      <c r="A190" s="19"/>
      <c r="B190" s="46" t="s">
        <v>311</v>
      </c>
      <c r="C190" s="47" t="s">
        <v>312</v>
      </c>
      <c r="D190" s="234" t="s">
        <v>188</v>
      </c>
      <c r="E190" s="48">
        <f>+E180</f>
        <v>47.135461075706523</v>
      </c>
      <c r="F190" s="133">
        <f t="shared" ref="F190:H190" si="143">+F180</f>
        <v>59.739549086302873</v>
      </c>
      <c r="G190" s="48">
        <f t="shared" si="143"/>
        <v>78.742888590218257</v>
      </c>
      <c r="H190" s="48">
        <f t="shared" si="143"/>
        <v>64.602673569581214</v>
      </c>
      <c r="I190" s="48">
        <f>+I180</f>
        <v>57.385435809697803</v>
      </c>
      <c r="J190" s="133">
        <f t="shared" ref="J190:K190" si="144">+J180</f>
        <v>62.502567804517383</v>
      </c>
      <c r="K190" s="133">
        <f t="shared" si="144"/>
        <v>10.596263549409199</v>
      </c>
      <c r="L190" s="22"/>
      <c r="M190" s="19"/>
      <c r="N190" s="19"/>
      <c r="O190" s="19"/>
      <c r="P190" s="19"/>
      <c r="Q190" s="37"/>
      <c r="R190" s="19"/>
      <c r="S190" s="19"/>
      <c r="T190" s="19"/>
      <c r="U190" s="19"/>
      <c r="W190" s="19"/>
      <c r="X190" s="19"/>
      <c r="Y190" s="23"/>
      <c r="Z190" s="23"/>
      <c r="AA190" s="23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</row>
    <row r="191" spans="1:139" x14ac:dyDescent="0.25">
      <c r="A191" s="19"/>
      <c r="B191" s="70" t="s">
        <v>298</v>
      </c>
      <c r="C191" s="45" t="s">
        <v>307</v>
      </c>
      <c r="D191" s="231" t="s">
        <v>131</v>
      </c>
      <c r="E191" s="68">
        <f t="shared" ref="E191:J191" si="145">+E119</f>
        <v>1046.6707084620068</v>
      </c>
      <c r="F191" s="131">
        <f t="shared" si="145"/>
        <v>951.67989735549008</v>
      </c>
      <c r="G191" s="68">
        <f t="shared" si="145"/>
        <v>836.32204504033211</v>
      </c>
      <c r="H191" s="68">
        <f t="shared" si="145"/>
        <v>733.12033660994427</v>
      </c>
      <c r="I191" s="68">
        <f t="shared" si="145"/>
        <v>635.38681437490879</v>
      </c>
      <c r="J191" s="131">
        <f t="shared" si="145"/>
        <v>530.03327788945614</v>
      </c>
      <c r="K191" s="131">
        <f t="shared" ref="K191" si="146">+K119</f>
        <v>478.33334125958936</v>
      </c>
      <c r="L191" s="22"/>
      <c r="M191" s="19"/>
      <c r="N191" s="19"/>
      <c r="O191" s="19"/>
      <c r="P191" s="19"/>
      <c r="Q191" s="37"/>
      <c r="R191" s="19"/>
      <c r="S191" s="19"/>
      <c r="T191" s="19"/>
      <c r="U191" s="19"/>
      <c r="W191" s="19"/>
      <c r="X191" s="19"/>
      <c r="Y191" s="23"/>
      <c r="Z191" s="23"/>
      <c r="AA191" s="23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</row>
    <row r="192" spans="1:139" x14ac:dyDescent="0.25">
      <c r="A192" s="19"/>
      <c r="B192" s="50" t="s">
        <v>226</v>
      </c>
      <c r="C192" s="51" t="s">
        <v>227</v>
      </c>
      <c r="D192" s="232" t="s">
        <v>19</v>
      </c>
      <c r="E192" s="52">
        <f t="shared" ref="E192:J192" si="147">+E152</f>
        <v>3.2571428213142344</v>
      </c>
      <c r="F192" s="132">
        <f t="shared" si="147"/>
        <v>5.5137328288162388</v>
      </c>
      <c r="G192" s="52">
        <f t="shared" si="147"/>
        <v>10.559410602775355</v>
      </c>
      <c r="H192" s="52">
        <f t="shared" si="147"/>
        <v>12.524160680005654</v>
      </c>
      <c r="I192" s="52">
        <f t="shared" si="147"/>
        <v>14.549869399970468</v>
      </c>
      <c r="J192" s="132">
        <f t="shared" si="147"/>
        <v>20.297721917202207</v>
      </c>
      <c r="K192" s="132">
        <f t="shared" ref="K192" si="148">+K152</f>
        <v>3.9814672346693869</v>
      </c>
      <c r="L192" s="22"/>
      <c r="M192" s="19"/>
      <c r="N192" s="19"/>
      <c r="O192" s="19"/>
      <c r="P192" s="19"/>
      <c r="Q192" s="37"/>
      <c r="R192" s="19"/>
      <c r="S192" s="19"/>
      <c r="T192" s="19"/>
      <c r="U192" s="19"/>
      <c r="W192" s="19"/>
      <c r="X192" s="19"/>
      <c r="Y192" s="23"/>
      <c r="Z192" s="23"/>
      <c r="AA192" s="23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</row>
    <row r="193" spans="1:56" x14ac:dyDescent="0.25">
      <c r="A193" s="19"/>
      <c r="B193" s="50" t="s">
        <v>325</v>
      </c>
      <c r="C193" s="51" t="s">
        <v>261</v>
      </c>
      <c r="D193" s="232" t="s">
        <v>19</v>
      </c>
      <c r="E193" s="52">
        <f>+E178</f>
        <v>43.87831825439229</v>
      </c>
      <c r="F193" s="132">
        <f t="shared" ref="F193:H193" si="149">+F178</f>
        <v>54.225816257486635</v>
      </c>
      <c r="G193" s="52">
        <f t="shared" si="149"/>
        <v>68.183477987442899</v>
      </c>
      <c r="H193" s="52">
        <f t="shared" si="149"/>
        <v>52.078512889575563</v>
      </c>
      <c r="I193" s="52">
        <f>+I178</f>
        <v>42.835566409727335</v>
      </c>
      <c r="J193" s="132">
        <f t="shared" ref="J193:K193" si="150">+J178</f>
        <v>42.20484588731518</v>
      </c>
      <c r="K193" s="132">
        <f t="shared" si="150"/>
        <v>6.614796314739813</v>
      </c>
      <c r="L193" s="22"/>
      <c r="M193" s="19"/>
      <c r="N193" s="19"/>
      <c r="O193" s="19"/>
      <c r="P193" s="19"/>
      <c r="Q193" s="37"/>
      <c r="R193" s="19"/>
      <c r="S193" s="19"/>
      <c r="T193" s="19"/>
      <c r="U193" s="19"/>
      <c r="W193" s="19"/>
      <c r="X193" s="19"/>
      <c r="Y193" s="23"/>
      <c r="Z193" s="23"/>
      <c r="AA193" s="23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</row>
    <row r="194" spans="1:56" x14ac:dyDescent="0.25">
      <c r="A194" s="19"/>
      <c r="B194" s="71" t="s">
        <v>301</v>
      </c>
      <c r="C194" s="53" t="s">
        <v>305</v>
      </c>
      <c r="D194" s="233" t="s">
        <v>188</v>
      </c>
      <c r="E194" s="52">
        <f t="shared" ref="E194:J194" si="151">+E117</f>
        <v>955.01213148873717</v>
      </c>
      <c r="F194" s="132">
        <f t="shared" si="151"/>
        <v>857.7137175904395</v>
      </c>
      <c r="G194" s="52">
        <f t="shared" si="151"/>
        <v>741.41196420486017</v>
      </c>
      <c r="H194" s="52">
        <f t="shared" si="151"/>
        <v>639.25042578014472</v>
      </c>
      <c r="I194" s="52">
        <f t="shared" si="151"/>
        <v>544.3061250937584</v>
      </c>
      <c r="J194" s="132">
        <f t="shared" si="151"/>
        <v>444.24469239002104</v>
      </c>
      <c r="K194" s="132">
        <f t="shared" ref="K194" si="152">+K117</f>
        <v>396.08956393222866</v>
      </c>
      <c r="L194" s="22"/>
      <c r="M194" s="19"/>
      <c r="N194" s="19"/>
      <c r="O194" s="19"/>
      <c r="P194" s="19"/>
      <c r="Q194" s="37"/>
      <c r="R194" s="19"/>
      <c r="S194" s="19"/>
      <c r="T194" s="19"/>
      <c r="U194" s="19"/>
      <c r="W194" s="19"/>
      <c r="X194" s="19"/>
      <c r="Y194" s="23"/>
      <c r="Z194" s="23"/>
      <c r="AA194" s="23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</row>
    <row r="195" spans="1:56" x14ac:dyDescent="0.25">
      <c r="A195" s="19"/>
      <c r="B195" s="71" t="s">
        <v>336</v>
      </c>
      <c r="C195" s="53" t="s">
        <v>337</v>
      </c>
      <c r="D195" s="233" t="s">
        <v>38</v>
      </c>
      <c r="E195" s="52">
        <f>+E78-G78</f>
        <v>-219.99081211378962</v>
      </c>
      <c r="F195" s="132">
        <f>+G78-D3</f>
        <v>285.2882760543751</v>
      </c>
      <c r="G195" s="52">
        <f>+H78-G78</f>
        <v>87.804407794145277</v>
      </c>
      <c r="H195" s="52">
        <f>+I78-H78</f>
        <v>56.643191727505553</v>
      </c>
      <c r="I195" s="52">
        <f>+J78-K78</f>
        <v>469.89689839572202</v>
      </c>
      <c r="J195" s="132" t="e">
        <f>+K78-H3</f>
        <v>#VALUE!</v>
      </c>
      <c r="K195" s="132">
        <f>+L78-I3</f>
        <v>0</v>
      </c>
      <c r="L195" s="22"/>
      <c r="M195" s="19"/>
      <c r="N195" s="19"/>
      <c r="O195" s="19"/>
      <c r="P195" s="19"/>
      <c r="Q195" s="37"/>
      <c r="R195" s="19"/>
      <c r="S195" s="19"/>
      <c r="T195" s="19"/>
      <c r="U195" s="19"/>
      <c r="W195" s="19"/>
      <c r="X195" s="19"/>
      <c r="Y195" s="23"/>
      <c r="Z195" s="23"/>
      <c r="AA195" s="23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</row>
    <row r="196" spans="1:56" ht="15.75" thickBot="1" x14ac:dyDescent="0.3">
      <c r="A196" s="19"/>
      <c r="B196" s="46" t="s">
        <v>278</v>
      </c>
      <c r="C196" s="47" t="s">
        <v>279</v>
      </c>
      <c r="D196" s="234" t="s">
        <v>131</v>
      </c>
      <c r="E196" s="48">
        <f>+E88</f>
        <v>227.52703134043244</v>
      </c>
      <c r="F196" s="48">
        <f t="shared" ref="F196:K196" si="153">+G88</f>
        <v>106.24312102602461</v>
      </c>
      <c r="G196" s="48">
        <f t="shared" si="153"/>
        <v>102.98638867835588</v>
      </c>
      <c r="H196" s="48">
        <f t="shared" si="153"/>
        <v>83.842785437468137</v>
      </c>
      <c r="I196" s="48">
        <f t="shared" si="153"/>
        <v>65.104774320588859</v>
      </c>
      <c r="J196" s="48">
        <f t="shared" si="153"/>
        <v>101.10377551153148</v>
      </c>
      <c r="K196" s="48">
        <f t="shared" si="153"/>
        <v>0</v>
      </c>
      <c r="L196" s="22"/>
      <c r="M196" s="19"/>
      <c r="N196" s="19"/>
      <c r="O196" s="19"/>
      <c r="P196" s="19"/>
      <c r="Q196" s="37"/>
      <c r="R196" s="19"/>
      <c r="S196" s="19"/>
      <c r="T196" s="19"/>
      <c r="U196" s="19"/>
      <c r="W196" s="19"/>
      <c r="X196" s="19"/>
      <c r="Y196" s="23"/>
      <c r="Z196" s="23"/>
      <c r="AA196" s="23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</row>
    <row r="197" spans="1:56" ht="15.75" thickBot="1" x14ac:dyDescent="0.3">
      <c r="A197" s="19"/>
      <c r="B197" s="19"/>
      <c r="C197" s="19"/>
      <c r="D197" s="31"/>
      <c r="E197" s="19"/>
      <c r="F197" s="38"/>
      <c r="G197" s="19"/>
      <c r="H197" s="19"/>
      <c r="I197" s="19"/>
      <c r="J197" s="38"/>
      <c r="K197" s="22"/>
      <c r="L197" s="22"/>
      <c r="M197" s="19"/>
      <c r="N197" s="19"/>
      <c r="O197" s="19"/>
      <c r="P197" s="19"/>
      <c r="Q197" s="37"/>
      <c r="R197" s="19"/>
      <c r="S197" s="19"/>
      <c r="T197" s="19"/>
      <c r="U197" s="19"/>
      <c r="W197" s="19"/>
      <c r="X197" s="19"/>
      <c r="Y197" s="23"/>
      <c r="Z197" s="23"/>
      <c r="AA197" s="23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</row>
    <row r="198" spans="1:56" x14ac:dyDescent="0.25">
      <c r="A198" s="19"/>
      <c r="B198" s="54" t="s">
        <v>2</v>
      </c>
      <c r="C198" s="55" t="s">
        <v>3</v>
      </c>
      <c r="D198" s="55">
        <v>258</v>
      </c>
      <c r="E198" s="56" t="s">
        <v>4</v>
      </c>
      <c r="F198" s="478">
        <f>+K99</f>
        <v>0.77293995193434339</v>
      </c>
      <c r="G198" s="19"/>
      <c r="H198" s="19"/>
      <c r="I198" s="19"/>
      <c r="J198" s="38"/>
      <c r="K198" s="19"/>
      <c r="L198" s="19"/>
      <c r="M198" s="19"/>
      <c r="N198" s="19"/>
      <c r="O198" s="19"/>
      <c r="P198" s="19"/>
      <c r="Q198" s="37"/>
      <c r="R198" s="19"/>
      <c r="S198" s="19"/>
      <c r="T198" s="19"/>
      <c r="U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</row>
    <row r="199" spans="1:56" x14ac:dyDescent="0.25">
      <c r="A199" s="19"/>
      <c r="B199" s="57" t="s">
        <v>74</v>
      </c>
      <c r="C199" s="51" t="s">
        <v>75</v>
      </c>
      <c r="D199" s="51">
        <f>+D4*D3</f>
        <v>340.53606486845007</v>
      </c>
      <c r="E199" s="58" t="s">
        <v>4</v>
      </c>
      <c r="F199" s="38"/>
      <c r="G199" s="19"/>
      <c r="H199" s="19"/>
      <c r="I199" s="19"/>
      <c r="J199" s="38"/>
      <c r="K199" s="19"/>
      <c r="L199" s="19"/>
      <c r="M199" s="19"/>
      <c r="N199" s="19"/>
      <c r="O199" s="19"/>
      <c r="P199" s="19"/>
      <c r="Q199" s="37"/>
      <c r="R199" s="19"/>
      <c r="S199" s="19"/>
      <c r="T199" s="19"/>
      <c r="U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</row>
    <row r="200" spans="1:56" x14ac:dyDescent="0.25">
      <c r="A200" s="19"/>
      <c r="B200" s="59" t="s">
        <v>144</v>
      </c>
      <c r="C200" s="60"/>
      <c r="D200" s="61">
        <f>+D14</f>
        <v>0.3</v>
      </c>
      <c r="E200" s="62" t="s">
        <v>6</v>
      </c>
      <c r="F200" s="38"/>
      <c r="G200" s="19"/>
      <c r="H200" s="19"/>
      <c r="I200" s="19"/>
      <c r="J200" s="38"/>
      <c r="K200" s="19"/>
      <c r="L200" s="19"/>
      <c r="M200" s="19"/>
      <c r="N200" s="19"/>
      <c r="O200" s="19"/>
      <c r="P200" s="19"/>
      <c r="Q200" s="37"/>
      <c r="R200" s="19"/>
      <c r="S200" s="19"/>
      <c r="T200" s="19"/>
      <c r="U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</row>
    <row r="201" spans="1:56" ht="15.75" thickBot="1" x14ac:dyDescent="0.3">
      <c r="A201" s="19"/>
      <c r="B201" s="63" t="s">
        <v>326</v>
      </c>
      <c r="C201" s="64" t="s">
        <v>5</v>
      </c>
      <c r="D201" s="65">
        <f>M180/K110</f>
        <v>0.34489328121210067</v>
      </c>
      <c r="E201" s="66" t="s">
        <v>6</v>
      </c>
      <c r="F201" s="38"/>
      <c r="G201" s="19"/>
      <c r="H201" s="19"/>
      <c r="I201" s="19"/>
      <c r="J201" s="38"/>
      <c r="K201" s="19"/>
      <c r="L201" s="19"/>
      <c r="M201" s="19"/>
      <c r="N201" s="19"/>
      <c r="O201" s="19"/>
      <c r="P201" s="19"/>
      <c r="Q201" s="37"/>
      <c r="R201" s="19"/>
      <c r="S201" s="19"/>
      <c r="T201" s="19"/>
      <c r="U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</row>
    <row r="202" spans="1:56" x14ac:dyDescent="0.25">
      <c r="A202" s="19"/>
      <c r="B202" s="19"/>
      <c r="C202" s="19"/>
      <c r="D202" s="464">
        <f>+D6</f>
        <v>0.31870884535146737</v>
      </c>
      <c r="E202" s="464">
        <f>+SUM(E180:K180)/Q21</f>
        <v>0.34266895808722775</v>
      </c>
      <c r="F202" s="38"/>
      <c r="G202" s="19"/>
      <c r="H202" s="19"/>
      <c r="I202" s="19"/>
      <c r="J202" s="38"/>
      <c r="K202" s="19"/>
      <c r="L202" s="19"/>
      <c r="M202" s="19"/>
      <c r="N202" s="19"/>
      <c r="O202" s="19"/>
      <c r="P202" s="19"/>
      <c r="Q202" s="37"/>
      <c r="R202" s="19"/>
      <c r="S202" s="19"/>
      <c r="T202" s="19"/>
      <c r="U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</row>
    <row r="203" spans="1:56" ht="15.75" thickBot="1" x14ac:dyDescent="0.3">
      <c r="A203" s="957"/>
      <c r="B203" s="958"/>
      <c r="C203" s="958"/>
      <c r="D203" s="958"/>
      <c r="E203" s="958"/>
      <c r="F203" s="958"/>
      <c r="G203" s="958"/>
      <c r="H203" s="958"/>
      <c r="I203" s="958"/>
      <c r="J203" s="958"/>
      <c r="K203" s="958"/>
      <c r="L203" s="958"/>
      <c r="M203" s="958"/>
      <c r="N203" s="958"/>
      <c r="O203" s="958"/>
      <c r="P203" s="958"/>
      <c r="Q203" s="958"/>
      <c r="R203" s="958"/>
      <c r="S203" s="958"/>
      <c r="T203" s="958"/>
      <c r="U203" s="95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</row>
    <row r="204" spans="1:56" ht="15.75" thickBot="1" x14ac:dyDescent="0.3">
      <c r="A204" s="385"/>
      <c r="B204" s="273"/>
      <c r="C204" s="273"/>
      <c r="D204" s="273"/>
      <c r="E204" s="273"/>
      <c r="F204" s="382"/>
      <c r="G204" s="273"/>
      <c r="H204" s="273"/>
      <c r="I204" s="273"/>
      <c r="J204" s="382"/>
      <c r="K204" s="273"/>
      <c r="L204" s="383"/>
      <c r="M204" s="383"/>
      <c r="N204" s="386"/>
      <c r="O204" s="386"/>
      <c r="P204" s="386"/>
      <c r="Q204" s="109"/>
      <c r="R204" s="386"/>
      <c r="S204" s="386"/>
      <c r="T204" s="386"/>
      <c r="U204" s="386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</row>
    <row r="205" spans="1:56" ht="15.75" thickBot="1" x14ac:dyDescent="0.3">
      <c r="A205" s="384"/>
      <c r="B205" s="941" t="s">
        <v>339</v>
      </c>
      <c r="C205" s="942"/>
      <c r="D205" s="942"/>
      <c r="E205" s="942"/>
      <c r="F205" s="942"/>
      <c r="G205" s="942"/>
      <c r="H205" s="942"/>
      <c r="I205" s="942"/>
      <c r="J205" s="942"/>
      <c r="K205" s="942"/>
      <c r="L205" s="942"/>
      <c r="M205" s="943"/>
      <c r="N205" s="23"/>
      <c r="O205" s="23"/>
      <c r="P205" s="23"/>
      <c r="Q205" s="37"/>
      <c r="R205" s="23"/>
      <c r="S205" s="23"/>
      <c r="T205" s="23"/>
      <c r="U205" s="23"/>
      <c r="W205" s="19"/>
      <c r="X205" s="19"/>
      <c r="Y205" s="19"/>
      <c r="Z205" s="19"/>
      <c r="AA205" s="19"/>
      <c r="AB205" s="19"/>
      <c r="AC205" s="19"/>
      <c r="AD205" s="19"/>
      <c r="AE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</row>
    <row r="206" spans="1:56" ht="39.6" customHeight="1" x14ac:dyDescent="0.25">
      <c r="A206" s="37"/>
      <c r="B206" s="392" t="s">
        <v>327</v>
      </c>
      <c r="C206" s="393" t="s">
        <v>328</v>
      </c>
      <c r="D206" s="944" t="s">
        <v>329</v>
      </c>
      <c r="E206" s="944"/>
      <c r="F206" s="944"/>
      <c r="G206" s="945" t="s">
        <v>330</v>
      </c>
      <c r="H206" s="945"/>
      <c r="I206" s="945"/>
      <c r="J206" s="945"/>
      <c r="K206" s="945"/>
      <c r="L206" s="945"/>
      <c r="M206" s="946"/>
      <c r="N206" s="19"/>
      <c r="O206" s="19"/>
      <c r="P206" s="19"/>
      <c r="Q206" s="37"/>
      <c r="R206" s="19"/>
      <c r="S206" s="19"/>
      <c r="T206" s="19"/>
      <c r="U206" s="19"/>
      <c r="W206" s="19"/>
      <c r="X206" s="19"/>
      <c r="Y206" s="19"/>
      <c r="Z206" s="19"/>
      <c r="AA206" s="19"/>
      <c r="AB206" s="19"/>
      <c r="AC206" s="19"/>
      <c r="AD206" s="19"/>
      <c r="AE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</row>
    <row r="207" spans="1:56" ht="60" x14ac:dyDescent="0.25">
      <c r="A207" s="37"/>
      <c r="B207" s="388"/>
      <c r="C207" s="111"/>
      <c r="D207" s="203" t="s">
        <v>340</v>
      </c>
      <c r="E207" s="213" t="s">
        <v>352</v>
      </c>
      <c r="F207" s="111" t="s">
        <v>338</v>
      </c>
      <c r="G207" s="111" t="s">
        <v>331</v>
      </c>
      <c r="H207" s="111" t="s">
        <v>332</v>
      </c>
      <c r="I207" s="203" t="s">
        <v>333</v>
      </c>
      <c r="J207" s="111" t="s">
        <v>334</v>
      </c>
      <c r="K207" s="203" t="s">
        <v>335</v>
      </c>
      <c r="L207" s="203" t="s">
        <v>349</v>
      </c>
      <c r="M207" s="212" t="s">
        <v>350</v>
      </c>
      <c r="N207" s="19"/>
      <c r="O207" s="19"/>
      <c r="P207" s="19"/>
      <c r="Q207" s="37"/>
      <c r="R207" s="19"/>
      <c r="S207" s="19"/>
      <c r="T207" s="19"/>
      <c r="U207" s="19"/>
      <c r="W207" s="19"/>
      <c r="X207" s="19"/>
      <c r="Y207" s="19"/>
      <c r="Z207" s="19"/>
      <c r="AA207" s="19"/>
      <c r="AB207" s="19"/>
      <c r="AC207" s="19"/>
      <c r="AD207" s="19"/>
      <c r="AE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</row>
    <row r="208" spans="1:56" x14ac:dyDescent="0.25">
      <c r="A208" s="37"/>
      <c r="B208" s="389">
        <v>1</v>
      </c>
      <c r="C208" s="112">
        <f>+E188</f>
        <v>0.61399999999999999</v>
      </c>
      <c r="D208" s="387">
        <f>+E79</f>
        <v>112.09532245798447</v>
      </c>
      <c r="E208" s="135">
        <f>+E196</f>
        <v>227.52703134043244</v>
      </c>
      <c r="F208" s="112">
        <f>+E195</f>
        <v>-219.99081211378962</v>
      </c>
      <c r="G208" s="112">
        <f>+E190</f>
        <v>47.135461075706523</v>
      </c>
      <c r="H208" s="112">
        <f>+E191</f>
        <v>1046.6707084620068</v>
      </c>
      <c r="I208" s="135">
        <f>+E192</f>
        <v>3.2571428213142344</v>
      </c>
      <c r="J208" s="112">
        <f>+E193</f>
        <v>43.87831825439229</v>
      </c>
      <c r="K208" s="135">
        <f>+E194</f>
        <v>955.01213148873717</v>
      </c>
      <c r="L208" s="214">
        <f>+I208/C208</f>
        <v>5.3047928685899581</v>
      </c>
      <c r="M208" s="215">
        <f>+J208/C208</f>
        <v>71.463059046241511</v>
      </c>
      <c r="N208" s="19"/>
      <c r="O208" s="19"/>
      <c r="P208" s="19"/>
      <c r="Q208" s="37"/>
      <c r="R208" s="19"/>
      <c r="S208" s="19"/>
      <c r="T208" s="19"/>
      <c r="U208" s="19"/>
      <c r="W208" s="19"/>
      <c r="X208" s="19"/>
      <c r="Y208" s="19"/>
      <c r="Z208" s="19"/>
      <c r="AA208" s="19"/>
      <c r="AB208" s="19"/>
      <c r="AC208" s="19"/>
      <c r="AD208" s="19"/>
      <c r="AE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</row>
    <row r="209" spans="1:56" x14ac:dyDescent="0.25">
      <c r="A209" s="37"/>
      <c r="B209" s="389">
        <v>2</v>
      </c>
      <c r="C209" s="112">
        <f>+F188</f>
        <v>0.99</v>
      </c>
      <c r="D209" s="387">
        <f>+G79</f>
        <v>99.842972053991772</v>
      </c>
      <c r="E209" s="135">
        <f>+F196</f>
        <v>106.24312102602461</v>
      </c>
      <c r="F209" s="112">
        <f>+F195</f>
        <v>285.2882760543751</v>
      </c>
      <c r="G209" s="112">
        <f>+F190</f>
        <v>59.739549086302873</v>
      </c>
      <c r="H209" s="112">
        <f>+F191</f>
        <v>951.67989735549008</v>
      </c>
      <c r="I209" s="135">
        <f>+F192</f>
        <v>5.5137328288162388</v>
      </c>
      <c r="J209" s="112">
        <f>+F193</f>
        <v>54.225816257486635</v>
      </c>
      <c r="K209" s="135">
        <f>+F194</f>
        <v>857.7137175904395</v>
      </c>
      <c r="L209" s="214">
        <f>+I209/C209</f>
        <v>5.5694270998143827</v>
      </c>
      <c r="M209" s="215">
        <f>+J209/C209</f>
        <v>54.773551775239028</v>
      </c>
      <c r="N209" s="19"/>
      <c r="O209" s="19"/>
      <c r="P209" s="19"/>
      <c r="Q209" s="37"/>
      <c r="R209" s="19"/>
      <c r="S209" s="19"/>
      <c r="T209" s="19"/>
      <c r="U209" s="19"/>
      <c r="W209" s="19"/>
      <c r="X209" s="19"/>
      <c r="Y209" s="19"/>
      <c r="Z209" s="19"/>
      <c r="AA209" s="19"/>
      <c r="AB209" s="19"/>
      <c r="AC209" s="19"/>
      <c r="AD209" s="19"/>
      <c r="AE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</row>
    <row r="210" spans="1:56" ht="15" customHeight="1" x14ac:dyDescent="0.25">
      <c r="A210" s="37"/>
      <c r="B210" s="389">
        <v>3</v>
      </c>
      <c r="C210" s="112">
        <f>+AF113</f>
        <v>0</v>
      </c>
      <c r="D210" s="387">
        <f>+H79</f>
        <v>99.456525129906922</v>
      </c>
      <c r="E210" s="135">
        <f>+G196</f>
        <v>102.98638867835588</v>
      </c>
      <c r="F210" s="112">
        <f>+G195</f>
        <v>87.804407794145277</v>
      </c>
      <c r="G210" s="112">
        <f>+G190</f>
        <v>78.742888590218257</v>
      </c>
      <c r="H210" s="112">
        <f>+G191</f>
        <v>836.32204504033211</v>
      </c>
      <c r="I210" s="135">
        <f>+G192</f>
        <v>10.559410602775355</v>
      </c>
      <c r="J210" s="112">
        <f>+G193</f>
        <v>68.183477987442899</v>
      </c>
      <c r="K210" s="135">
        <f>+G194</f>
        <v>741.41196420486017</v>
      </c>
      <c r="L210" s="214" t="e">
        <f>+I210/C210</f>
        <v>#DIV/0!</v>
      </c>
      <c r="M210" s="215" t="e">
        <f>+J210/C210</f>
        <v>#DIV/0!</v>
      </c>
      <c r="N210" s="19"/>
      <c r="O210" s="19"/>
      <c r="P210" s="19"/>
      <c r="Q210" s="37"/>
      <c r="R210" s="19"/>
      <c r="S210" s="19"/>
      <c r="T210" s="19"/>
      <c r="U210" s="19"/>
      <c r="W210" s="19"/>
      <c r="X210" s="19"/>
      <c r="Y210" s="19"/>
      <c r="Z210" s="19"/>
      <c r="AA210" s="19"/>
      <c r="AB210" s="19"/>
      <c r="AC210" s="19"/>
      <c r="AD210" s="19"/>
      <c r="AE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</row>
    <row r="211" spans="1:56" x14ac:dyDescent="0.25">
      <c r="A211" s="37"/>
      <c r="B211" s="389">
        <v>4</v>
      </c>
      <c r="C211" s="112">
        <f>+AG113</f>
        <v>0</v>
      </c>
      <c r="D211" s="387">
        <f>+I79</f>
        <v>80</v>
      </c>
      <c r="E211" s="135">
        <f>+H196</f>
        <v>83.842785437468137</v>
      </c>
      <c r="F211" s="112">
        <f>+H195</f>
        <v>56.643191727505553</v>
      </c>
      <c r="G211" s="112">
        <f>+H190</f>
        <v>64.602673569581214</v>
      </c>
      <c r="H211" s="112">
        <f>+H191</f>
        <v>733.12033660994427</v>
      </c>
      <c r="I211" s="135">
        <f>+H192</f>
        <v>12.524160680005654</v>
      </c>
      <c r="J211" s="112">
        <f>+H193</f>
        <v>52.078512889575563</v>
      </c>
      <c r="K211" s="135">
        <f>+H194</f>
        <v>639.25042578014472</v>
      </c>
      <c r="L211" s="214" t="e">
        <f>+I211/C211</f>
        <v>#DIV/0!</v>
      </c>
      <c r="M211" s="215" t="e">
        <f>+J211/C211</f>
        <v>#DIV/0!</v>
      </c>
      <c r="N211" s="19"/>
      <c r="O211" s="19"/>
      <c r="P211" s="19"/>
      <c r="Q211" s="37"/>
      <c r="R211" s="19"/>
      <c r="S211" s="19"/>
      <c r="T211" s="19"/>
      <c r="U211" s="19"/>
      <c r="W211" s="19"/>
      <c r="X211" s="19"/>
      <c r="Y211" s="19"/>
      <c r="Z211" s="19"/>
      <c r="AA211" s="19"/>
      <c r="AB211" s="19"/>
      <c r="AC211" s="19"/>
      <c r="AD211" s="19"/>
      <c r="AE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</row>
    <row r="212" spans="1:56" x14ac:dyDescent="0.25">
      <c r="A212" s="37"/>
      <c r="B212" s="389">
        <v>5</v>
      </c>
      <c r="C212" s="112">
        <f>+AH113</f>
        <v>0</v>
      </c>
      <c r="D212" s="387">
        <f>+J79</f>
        <v>60</v>
      </c>
      <c r="E212" s="135">
        <f>+I196</f>
        <v>65.104774320588859</v>
      </c>
      <c r="F212" s="112">
        <f>+I195</f>
        <v>469.89689839572202</v>
      </c>
      <c r="G212" s="112">
        <f>+I190</f>
        <v>57.385435809697803</v>
      </c>
      <c r="H212" s="112">
        <f>+I191</f>
        <v>635.38681437490879</v>
      </c>
      <c r="I212" s="135">
        <f>+I192</f>
        <v>14.549869399970468</v>
      </c>
      <c r="J212" s="112">
        <f>+I193</f>
        <v>42.835566409727335</v>
      </c>
      <c r="K212" s="135">
        <f>+I194</f>
        <v>544.3061250937584</v>
      </c>
      <c r="L212" s="214" t="e">
        <f>+I212/C212</f>
        <v>#DIV/0!</v>
      </c>
      <c r="M212" s="215" t="e">
        <f>+J212/C212</f>
        <v>#DIV/0!</v>
      </c>
      <c r="N212" s="19"/>
      <c r="O212" s="19"/>
      <c r="P212" s="19"/>
      <c r="Q212" s="37"/>
      <c r="R212" s="19"/>
      <c r="S212" s="19"/>
      <c r="T212" s="19"/>
      <c r="U212" s="19"/>
      <c r="W212" s="19"/>
      <c r="X212" s="19"/>
      <c r="Y212" s="19"/>
      <c r="Z212" s="19"/>
      <c r="AA212" s="19"/>
      <c r="AB212" s="19"/>
      <c r="AC212" s="19"/>
      <c r="AD212" s="19"/>
      <c r="AE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</row>
    <row r="213" spans="1:56" x14ac:dyDescent="0.25">
      <c r="A213" s="37"/>
      <c r="B213" s="389">
        <v>6</v>
      </c>
      <c r="C213" s="112">
        <f t="shared" ref="C213:C214" si="154">+AH114</f>
        <v>0</v>
      </c>
      <c r="D213" s="387">
        <f>+J80</f>
        <v>8.817998332478602E-4</v>
      </c>
      <c r="E213" s="135">
        <f t="shared" ref="E213:E214" si="155">+I197</f>
        <v>0</v>
      </c>
      <c r="F213" s="112">
        <f t="shared" ref="F213:F214" si="156">+I196</f>
        <v>65.104774320588859</v>
      </c>
      <c r="G213" s="112">
        <f t="shared" ref="G213:G214" si="157">+I191</f>
        <v>635.38681437490879</v>
      </c>
      <c r="H213" s="112">
        <f t="shared" ref="H213:H214" si="158">+I192</f>
        <v>14.549869399970468</v>
      </c>
      <c r="I213" s="135">
        <f t="shared" ref="I213:I214" si="159">+I193</f>
        <v>42.835566409727335</v>
      </c>
      <c r="J213" s="112">
        <f t="shared" ref="J213:J214" si="160">+I194</f>
        <v>544.3061250937584</v>
      </c>
      <c r="K213" s="135">
        <f t="shared" ref="K213:K214" si="161">+I195</f>
        <v>469.89689839572202</v>
      </c>
      <c r="L213" s="214" t="e">
        <f t="shared" ref="L213:L214" si="162">+I213/C213</f>
        <v>#DIV/0!</v>
      </c>
      <c r="M213" s="215" t="e">
        <f t="shared" ref="M213:M214" si="163">+J213/C213</f>
        <v>#DIV/0!</v>
      </c>
      <c r="N213" s="23"/>
      <c r="O213" s="23"/>
      <c r="P213" s="23"/>
      <c r="Q213" s="37"/>
      <c r="R213" s="23"/>
      <c r="S213" s="23"/>
      <c r="T213" s="19"/>
      <c r="U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</row>
    <row r="214" spans="1:56" ht="15.75" thickBot="1" x14ac:dyDescent="0.3">
      <c r="A214" s="384"/>
      <c r="B214" s="390">
        <v>7</v>
      </c>
      <c r="C214" s="113">
        <f t="shared" si="154"/>
        <v>0</v>
      </c>
      <c r="D214" s="391">
        <f>+J81</f>
        <v>5.5460000000000002E-2</v>
      </c>
      <c r="E214" s="136">
        <f t="shared" si="155"/>
        <v>0</v>
      </c>
      <c r="F214" s="113">
        <f t="shared" si="156"/>
        <v>0</v>
      </c>
      <c r="G214" s="113">
        <f t="shared" si="157"/>
        <v>14.549869399970468</v>
      </c>
      <c r="H214" s="113">
        <f t="shared" si="158"/>
        <v>42.835566409727335</v>
      </c>
      <c r="I214" s="136">
        <f t="shared" si="159"/>
        <v>544.3061250937584</v>
      </c>
      <c r="J214" s="113">
        <f t="shared" si="160"/>
        <v>469.89689839572202</v>
      </c>
      <c r="K214" s="136">
        <f t="shared" si="161"/>
        <v>65.104774320588859</v>
      </c>
      <c r="L214" s="216" t="e">
        <f t="shared" si="162"/>
        <v>#DIV/0!</v>
      </c>
      <c r="M214" s="217" t="e">
        <f t="shared" si="163"/>
        <v>#DIV/0!</v>
      </c>
      <c r="N214" s="32"/>
      <c r="O214" s="32"/>
      <c r="P214" s="32"/>
      <c r="Q214" s="37"/>
      <c r="R214" s="23"/>
      <c r="S214" s="23"/>
      <c r="T214" s="19"/>
      <c r="U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</row>
    <row r="215" spans="1:56" ht="15.75" thickBot="1" x14ac:dyDescent="0.3">
      <c r="A215" s="37"/>
      <c r="B215" s="37"/>
      <c r="C215" s="37"/>
      <c r="D215" s="31"/>
      <c r="E215" s="19"/>
      <c r="F215" s="38"/>
      <c r="G215" s="19"/>
      <c r="H215" s="19"/>
      <c r="I215" s="19"/>
      <c r="J215" s="38"/>
      <c r="K215" s="19"/>
      <c r="L215" s="19"/>
      <c r="M215" s="19"/>
      <c r="N215" s="23"/>
      <c r="O215" s="23"/>
      <c r="P215" s="23"/>
      <c r="Q215" s="37"/>
      <c r="R215" s="23"/>
      <c r="S215" s="23"/>
      <c r="T215" s="19"/>
      <c r="U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</row>
    <row r="216" spans="1:56" x14ac:dyDescent="0.25">
      <c r="A216" s="37"/>
      <c r="B216" s="470" t="s">
        <v>531</v>
      </c>
      <c r="C216" s="422"/>
      <c r="D216" s="422" t="s">
        <v>532</v>
      </c>
      <c r="E216" s="471"/>
      <c r="F216" s="472" t="s">
        <v>538</v>
      </c>
      <c r="G216" s="471"/>
      <c r="H216" s="422" t="s">
        <v>540</v>
      </c>
      <c r="I216" s="471"/>
      <c r="J216" s="515" t="s">
        <v>541</v>
      </c>
      <c r="K216" s="522"/>
      <c r="L216" s="518" t="s">
        <v>542</v>
      </c>
      <c r="M216" s="423"/>
      <c r="N216" s="23"/>
      <c r="O216" s="23"/>
      <c r="P216" s="23"/>
      <c r="Q216" s="37"/>
      <c r="R216" s="23"/>
      <c r="S216" s="23"/>
      <c r="T216" s="19"/>
      <c r="U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</row>
    <row r="217" spans="1:56" x14ac:dyDescent="0.25">
      <c r="A217" s="37"/>
      <c r="B217" s="473" t="s">
        <v>526</v>
      </c>
      <c r="C217" s="421"/>
      <c r="D217" s="421" t="s">
        <v>533</v>
      </c>
      <c r="E217" s="315"/>
      <c r="F217" s="469" t="s">
        <v>539</v>
      </c>
      <c r="G217" s="315"/>
      <c r="H217" s="421" t="s">
        <v>547</v>
      </c>
      <c r="I217" s="315"/>
      <c r="J217" s="516" t="s">
        <v>552</v>
      </c>
      <c r="K217" s="523"/>
      <c r="L217" s="519" t="s">
        <v>557</v>
      </c>
      <c r="M217" s="424"/>
      <c r="N217" s="37"/>
      <c r="O217" s="37"/>
      <c r="P217" s="37"/>
      <c r="Q217" s="37"/>
      <c r="R217" s="37"/>
      <c r="S217" s="37"/>
      <c r="T217" s="37"/>
      <c r="U217" s="37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</row>
    <row r="218" spans="1:56" x14ac:dyDescent="0.25">
      <c r="A218" s="37"/>
      <c r="B218" s="473" t="s">
        <v>527</v>
      </c>
      <c r="C218" s="421"/>
      <c r="D218" s="421" t="s">
        <v>534</v>
      </c>
      <c r="E218" s="315"/>
      <c r="F218" s="469" t="s">
        <v>543</v>
      </c>
      <c r="G218" s="315"/>
      <c r="H218" s="421" t="s">
        <v>548</v>
      </c>
      <c r="I218" s="315"/>
      <c r="J218" s="516" t="s">
        <v>553</v>
      </c>
      <c r="K218" s="523"/>
      <c r="L218" s="519" t="s">
        <v>558</v>
      </c>
      <c r="M218" s="424"/>
      <c r="N218" s="37"/>
      <c r="O218" s="23"/>
      <c r="P218" s="23"/>
      <c r="Q218" s="37"/>
      <c r="R218" s="23"/>
      <c r="S218" s="23"/>
      <c r="T218" s="19"/>
      <c r="U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</row>
    <row r="219" spans="1:56" x14ac:dyDescent="0.25">
      <c r="A219" s="37"/>
      <c r="B219" s="473" t="s">
        <v>528</v>
      </c>
      <c r="C219" s="421"/>
      <c r="D219" s="421" t="s">
        <v>535</v>
      </c>
      <c r="E219" s="315"/>
      <c r="F219" s="469" t="s">
        <v>544</v>
      </c>
      <c r="G219" s="315"/>
      <c r="H219" s="421" t="s">
        <v>549</v>
      </c>
      <c r="I219" s="315"/>
      <c r="J219" s="516" t="s">
        <v>554</v>
      </c>
      <c r="K219" s="523"/>
      <c r="L219" s="519" t="s">
        <v>559</v>
      </c>
      <c r="M219" s="424"/>
      <c r="N219" s="37"/>
      <c r="O219" s="23"/>
      <c r="P219" s="23"/>
      <c r="Q219" s="37"/>
      <c r="R219" s="23"/>
      <c r="S219" s="23"/>
      <c r="T219" s="19"/>
      <c r="U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</row>
    <row r="220" spans="1:56" x14ac:dyDescent="0.25">
      <c r="A220" s="37"/>
      <c r="B220" s="473" t="s">
        <v>529</v>
      </c>
      <c r="C220" s="421"/>
      <c r="D220" s="421" t="s">
        <v>536</v>
      </c>
      <c r="E220" s="315"/>
      <c r="F220" s="469" t="s">
        <v>545</v>
      </c>
      <c r="G220" s="315"/>
      <c r="H220" s="421" t="s">
        <v>550</v>
      </c>
      <c r="I220" s="315"/>
      <c r="J220" s="516" t="s">
        <v>555</v>
      </c>
      <c r="K220" s="523"/>
      <c r="L220" s="519" t="s">
        <v>560</v>
      </c>
      <c r="M220" s="424"/>
      <c r="N220" s="23"/>
      <c r="O220" s="23"/>
      <c r="P220" s="23"/>
      <c r="Q220" s="37"/>
      <c r="R220" s="23"/>
      <c r="S220" s="23"/>
      <c r="T220" s="19"/>
      <c r="U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</row>
    <row r="221" spans="1:56" ht="15.75" thickBot="1" x14ac:dyDescent="0.3">
      <c r="A221" s="37"/>
      <c r="B221" s="474" t="s">
        <v>530</v>
      </c>
      <c r="C221" s="425"/>
      <c r="D221" s="425" t="s">
        <v>537</v>
      </c>
      <c r="E221" s="475"/>
      <c r="F221" s="476" t="s">
        <v>546</v>
      </c>
      <c r="G221" s="475"/>
      <c r="H221" s="425" t="s">
        <v>551</v>
      </c>
      <c r="I221" s="475"/>
      <c r="J221" s="517" t="s">
        <v>556</v>
      </c>
      <c r="K221" s="524"/>
      <c r="L221" s="520" t="s">
        <v>561</v>
      </c>
      <c r="M221" s="426"/>
      <c r="N221" s="19"/>
      <c r="O221" s="19"/>
      <c r="P221" s="19"/>
      <c r="Q221" s="37"/>
      <c r="R221" s="19"/>
      <c r="S221" s="19"/>
      <c r="T221" s="19"/>
      <c r="U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</row>
    <row r="222" spans="1:56" x14ac:dyDescent="0.25">
      <c r="A222" s="37"/>
      <c r="B222" s="37"/>
      <c r="C222" s="37"/>
      <c r="D222" s="31"/>
      <c r="E222" s="37"/>
      <c r="F222" s="122"/>
      <c r="G222" s="37"/>
      <c r="H222" s="37"/>
      <c r="I222" s="37"/>
      <c r="J222" s="122"/>
      <c r="K222" s="37"/>
      <c r="L222" s="19"/>
      <c r="M222" s="19"/>
      <c r="N222" s="19"/>
      <c r="O222" s="19"/>
      <c r="P222" s="19"/>
      <c r="Q222" s="37"/>
      <c r="R222" s="19"/>
      <c r="S222" s="19"/>
      <c r="T222" s="19"/>
      <c r="U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</row>
    <row r="223" spans="1:56" x14ac:dyDescent="0.25">
      <c r="A223" s="37"/>
      <c r="B223" s="37"/>
      <c r="C223" s="37"/>
      <c r="D223" s="31"/>
      <c r="E223" s="37"/>
      <c r="F223" s="122"/>
      <c r="G223" s="37"/>
      <c r="H223" s="37"/>
      <c r="I223" s="37"/>
      <c r="J223" s="122"/>
      <c r="K223" s="37"/>
      <c r="L223" s="19"/>
      <c r="M223" s="19"/>
      <c r="N223" s="19"/>
      <c r="O223" s="19"/>
      <c r="P223" s="19"/>
      <c r="Q223" s="37"/>
      <c r="R223" s="19"/>
      <c r="S223" s="19"/>
      <c r="T223" s="19"/>
      <c r="U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</row>
    <row r="224" spans="1:56" x14ac:dyDescent="0.25">
      <c r="A224" s="19"/>
      <c r="B224" s="19"/>
      <c r="C224" s="19"/>
      <c r="D224" s="31"/>
      <c r="E224" s="19"/>
      <c r="F224" s="38"/>
      <c r="G224" s="19"/>
      <c r="H224" s="19"/>
      <c r="I224" s="19"/>
      <c r="J224" s="38"/>
      <c r="K224" s="19"/>
      <c r="L224" s="19"/>
      <c r="M224" s="19"/>
      <c r="N224" s="19"/>
      <c r="O224" s="19"/>
      <c r="P224" s="19"/>
      <c r="Q224" s="37"/>
      <c r="R224" s="19"/>
      <c r="S224" s="19"/>
      <c r="T224" s="19"/>
      <c r="U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</row>
    <row r="225" spans="1:31" x14ac:dyDescent="0.25">
      <c r="A225" s="19"/>
      <c r="B225" s="19"/>
      <c r="C225" s="19"/>
      <c r="D225" s="31"/>
      <c r="E225" s="19"/>
      <c r="F225" s="38"/>
      <c r="G225" s="19"/>
      <c r="H225" s="19"/>
      <c r="I225" s="19"/>
      <c r="J225" s="38"/>
      <c r="K225" s="19"/>
      <c r="L225" s="19"/>
      <c r="M225" s="19"/>
      <c r="N225" s="19"/>
      <c r="O225" s="19"/>
      <c r="P225" s="19"/>
      <c r="Q225" s="37"/>
      <c r="R225" s="19"/>
      <c r="S225" s="19"/>
      <c r="T225" s="19"/>
      <c r="U225" s="19"/>
      <c r="W225" s="19"/>
      <c r="X225" s="19"/>
      <c r="Y225" s="19"/>
      <c r="Z225" s="19"/>
      <c r="AA225" s="19"/>
      <c r="AB225" s="19"/>
      <c r="AC225" s="19"/>
      <c r="AD225" s="19"/>
      <c r="AE225" s="19"/>
    </row>
    <row r="226" spans="1:31" x14ac:dyDescent="0.25">
      <c r="A226" s="19"/>
      <c r="B226" s="19"/>
      <c r="C226" s="19"/>
      <c r="D226" s="31"/>
      <c r="E226" s="19"/>
      <c r="F226" s="38"/>
      <c r="G226" s="19"/>
      <c r="H226" s="19"/>
      <c r="I226" s="19"/>
      <c r="J226" s="38"/>
      <c r="K226" s="19"/>
      <c r="L226" s="19"/>
      <c r="M226" s="19"/>
      <c r="N226" s="19"/>
      <c r="O226" s="19"/>
      <c r="P226" s="19"/>
      <c r="Q226" s="37"/>
      <c r="R226" s="19"/>
      <c r="S226" s="19"/>
      <c r="T226" s="19"/>
      <c r="U226" s="19"/>
      <c r="W226" s="19"/>
      <c r="X226" s="19"/>
      <c r="Y226" s="19"/>
      <c r="Z226" s="19"/>
      <c r="AA226" s="19"/>
      <c r="AB226" s="19"/>
      <c r="AC226" s="19"/>
      <c r="AD226" s="19"/>
      <c r="AE226" s="19"/>
    </row>
    <row r="227" spans="1:31" x14ac:dyDescent="0.25">
      <c r="A227" s="19"/>
      <c r="B227" s="19"/>
      <c r="C227" s="19"/>
      <c r="D227" s="31"/>
      <c r="E227" s="19"/>
      <c r="F227" s="38"/>
      <c r="G227" s="19"/>
      <c r="H227" s="19"/>
      <c r="I227" s="19"/>
      <c r="J227" s="38"/>
      <c r="K227" s="19"/>
      <c r="L227" s="19"/>
      <c r="M227" s="19"/>
      <c r="N227" s="19"/>
      <c r="O227" s="19"/>
      <c r="P227" s="19"/>
      <c r="Q227" s="37"/>
      <c r="R227" s="19"/>
      <c r="S227" s="19"/>
      <c r="T227" s="19"/>
      <c r="U227" s="19"/>
      <c r="W227" s="19"/>
      <c r="X227" s="19"/>
      <c r="Y227" s="19"/>
      <c r="Z227" s="19"/>
      <c r="AA227" s="19"/>
      <c r="AB227" s="19"/>
      <c r="AC227" s="19"/>
      <c r="AD227" s="19"/>
      <c r="AE227" s="19"/>
    </row>
    <row r="228" spans="1:31" x14ac:dyDescent="0.25">
      <c r="A228" s="19"/>
      <c r="B228" s="19"/>
      <c r="C228" s="19"/>
      <c r="D228" s="31"/>
      <c r="E228" s="19"/>
      <c r="F228" s="38"/>
      <c r="G228" s="19"/>
      <c r="H228" s="19"/>
      <c r="I228" s="19"/>
      <c r="J228" s="38"/>
      <c r="K228" s="19"/>
      <c r="L228" s="19"/>
      <c r="M228" s="19"/>
      <c r="N228" s="19"/>
      <c r="O228" s="19"/>
      <c r="P228" s="19"/>
      <c r="Q228" s="37"/>
      <c r="R228" s="19"/>
      <c r="S228" s="19"/>
      <c r="T228" s="19"/>
      <c r="U228" s="19"/>
      <c r="W228" s="19"/>
      <c r="X228" s="19"/>
      <c r="Y228" s="19"/>
      <c r="Z228" s="19"/>
      <c r="AA228" s="19"/>
      <c r="AB228" s="19"/>
      <c r="AC228" s="19"/>
      <c r="AD228" s="19"/>
      <c r="AE228" s="19"/>
    </row>
    <row r="229" spans="1:31" x14ac:dyDescent="0.25">
      <c r="A229" s="19"/>
      <c r="B229" s="19"/>
      <c r="C229" s="19"/>
      <c r="D229" s="31"/>
      <c r="E229" s="19"/>
      <c r="F229" s="38"/>
      <c r="G229" s="19"/>
      <c r="H229" s="19"/>
      <c r="I229" s="19"/>
      <c r="J229" s="38"/>
      <c r="K229" s="19"/>
      <c r="L229" s="19"/>
      <c r="M229" s="19"/>
      <c r="N229" s="19"/>
      <c r="O229" s="19"/>
      <c r="P229" s="19"/>
      <c r="Q229" s="37"/>
      <c r="R229" s="19"/>
      <c r="S229" s="19"/>
      <c r="T229" s="19"/>
      <c r="U229" s="19"/>
      <c r="W229" s="19"/>
      <c r="X229" s="19"/>
      <c r="Y229" s="19"/>
      <c r="Z229" s="19"/>
      <c r="AA229" s="19"/>
      <c r="AB229" s="19"/>
      <c r="AC229" s="19"/>
      <c r="AD229" s="19"/>
      <c r="AE229" s="19"/>
    </row>
    <row r="230" spans="1:31" x14ac:dyDescent="0.25">
      <c r="A230" s="19"/>
      <c r="B230" s="19"/>
      <c r="C230" s="19"/>
      <c r="D230" s="31"/>
      <c r="E230" s="19"/>
      <c r="F230" s="38"/>
      <c r="G230" s="19"/>
      <c r="H230" s="19"/>
      <c r="I230" s="19"/>
      <c r="J230" s="38"/>
      <c r="K230" s="19"/>
      <c r="L230" s="19"/>
      <c r="M230" s="19"/>
      <c r="N230" s="19"/>
      <c r="O230" s="19"/>
      <c r="P230" s="19"/>
      <c r="Q230" s="37"/>
      <c r="R230" s="19"/>
      <c r="S230" s="19"/>
      <c r="T230" s="19"/>
      <c r="U230" s="19"/>
      <c r="W230" s="19"/>
      <c r="X230" s="19"/>
      <c r="Y230" s="19"/>
      <c r="Z230" s="19"/>
      <c r="AA230" s="19"/>
      <c r="AB230" s="19"/>
      <c r="AC230" s="19"/>
      <c r="AD230" s="19"/>
      <c r="AE230" s="19"/>
    </row>
    <row r="231" spans="1:31" x14ac:dyDescent="0.25">
      <c r="A231" s="19"/>
      <c r="B231" s="19"/>
      <c r="C231" s="19"/>
      <c r="D231" s="31"/>
      <c r="E231" s="19"/>
      <c r="F231" s="38"/>
      <c r="G231" s="19"/>
      <c r="H231" s="19"/>
      <c r="I231" s="19"/>
      <c r="J231" s="38"/>
      <c r="K231" s="19"/>
      <c r="L231" s="19"/>
      <c r="M231" s="19"/>
      <c r="N231" s="19"/>
      <c r="O231" s="19"/>
      <c r="P231" s="19"/>
      <c r="Q231" s="37"/>
      <c r="R231" s="19"/>
      <c r="S231" s="19"/>
      <c r="T231" s="19"/>
      <c r="U231" s="19"/>
      <c r="W231" s="19"/>
      <c r="X231" s="19"/>
      <c r="Y231" s="19"/>
      <c r="Z231" s="19"/>
      <c r="AA231" s="19"/>
      <c r="AB231" s="19"/>
      <c r="AC231" s="19"/>
      <c r="AD231" s="19"/>
      <c r="AE231" s="19"/>
    </row>
    <row r="232" spans="1:31" x14ac:dyDescent="0.25">
      <c r="A232" s="19"/>
      <c r="B232" s="19"/>
      <c r="C232" s="19"/>
      <c r="D232" s="31"/>
      <c r="E232" s="19"/>
      <c r="F232" s="38"/>
      <c r="G232" s="19"/>
      <c r="H232" s="19"/>
      <c r="I232" s="19"/>
      <c r="J232" s="38"/>
      <c r="K232" s="19"/>
      <c r="L232" s="19"/>
      <c r="M232" s="19"/>
      <c r="N232" s="19"/>
      <c r="O232" s="19"/>
      <c r="P232" s="19"/>
      <c r="Q232" s="37"/>
      <c r="R232" s="19"/>
      <c r="S232" s="19"/>
      <c r="T232" s="19"/>
      <c r="U232" s="19"/>
      <c r="W232" s="19"/>
      <c r="X232" s="19"/>
      <c r="Y232" s="19"/>
      <c r="Z232" s="19"/>
      <c r="AA232" s="19"/>
      <c r="AB232" s="19"/>
      <c r="AC232" s="19"/>
      <c r="AD232" s="19"/>
      <c r="AE232" s="19"/>
    </row>
    <row r="233" spans="1:31" x14ac:dyDescent="0.25">
      <c r="A233" s="19"/>
      <c r="B233" s="19"/>
      <c r="C233" s="19"/>
      <c r="D233" s="31"/>
      <c r="E233" s="19"/>
      <c r="F233" s="38"/>
      <c r="G233" s="19"/>
      <c r="H233" s="19"/>
      <c r="I233" s="19"/>
      <c r="J233" s="38"/>
      <c r="K233" s="19"/>
      <c r="L233" s="19"/>
      <c r="M233" s="19"/>
      <c r="N233" s="19"/>
      <c r="O233" s="19"/>
      <c r="P233" s="19"/>
      <c r="Q233" s="37"/>
      <c r="R233" s="19"/>
      <c r="S233" s="19"/>
      <c r="T233" s="19"/>
      <c r="U233" s="19"/>
      <c r="W233" s="19"/>
      <c r="X233" s="19"/>
      <c r="Y233" s="19"/>
      <c r="Z233" s="19"/>
      <c r="AA233" s="19"/>
      <c r="AB233" s="19"/>
      <c r="AC233" s="19"/>
      <c r="AD233" s="19"/>
      <c r="AE233" s="19"/>
    </row>
    <row r="234" spans="1:31" x14ac:dyDescent="0.25">
      <c r="A234" s="19"/>
      <c r="B234" s="19"/>
      <c r="C234" s="19"/>
      <c r="D234" s="31"/>
      <c r="E234" s="19"/>
      <c r="F234" s="38"/>
      <c r="G234" s="19"/>
      <c r="H234" s="19"/>
      <c r="I234" s="19"/>
      <c r="J234" s="38"/>
      <c r="K234" s="19"/>
      <c r="L234" s="19"/>
      <c r="M234" s="19"/>
      <c r="N234" s="19"/>
      <c r="O234" s="19"/>
      <c r="P234" s="19"/>
      <c r="Q234" s="37"/>
      <c r="R234" s="19"/>
      <c r="S234" s="19"/>
      <c r="T234" s="19"/>
      <c r="U234" s="19"/>
      <c r="W234" s="19"/>
      <c r="X234" s="19"/>
      <c r="Y234" s="19"/>
      <c r="Z234" s="19"/>
      <c r="AA234" s="19"/>
      <c r="AB234" s="19"/>
      <c r="AC234" s="19"/>
      <c r="AD234" s="19"/>
      <c r="AE234" s="19"/>
    </row>
    <row r="235" spans="1:31" x14ac:dyDescent="0.25">
      <c r="A235" s="19"/>
      <c r="B235" s="19"/>
      <c r="C235" s="19"/>
      <c r="D235" s="31"/>
      <c r="E235" s="19"/>
      <c r="F235" s="38"/>
      <c r="G235" s="19"/>
      <c r="H235" s="19"/>
      <c r="I235" s="19"/>
      <c r="J235" s="38"/>
      <c r="K235" s="19"/>
      <c r="L235" s="19"/>
      <c r="M235" s="19"/>
      <c r="N235" s="19"/>
      <c r="O235" s="19"/>
      <c r="P235" s="19"/>
      <c r="Q235" s="37"/>
      <c r="R235" s="19"/>
      <c r="S235" s="19"/>
      <c r="T235" s="19"/>
      <c r="U235" s="19"/>
      <c r="W235" s="19"/>
      <c r="X235" s="19"/>
      <c r="Y235" s="19"/>
      <c r="Z235" s="19"/>
      <c r="AA235" s="19"/>
      <c r="AB235" s="19"/>
      <c r="AC235" s="19"/>
      <c r="AD235" s="19"/>
      <c r="AE235" s="19"/>
    </row>
    <row r="236" spans="1:31" x14ac:dyDescent="0.25">
      <c r="A236" s="19"/>
      <c r="B236" s="19"/>
      <c r="C236" s="19"/>
      <c r="D236" s="31"/>
      <c r="E236" s="19"/>
      <c r="F236" s="38"/>
      <c r="G236" s="19"/>
      <c r="H236" s="19"/>
      <c r="I236" s="19"/>
      <c r="J236" s="38"/>
      <c r="K236" s="19"/>
      <c r="L236" s="19"/>
      <c r="M236" s="19"/>
      <c r="N236" s="19"/>
      <c r="O236" s="19"/>
      <c r="P236" s="19"/>
      <c r="Q236" s="37"/>
      <c r="R236" s="19"/>
      <c r="S236" s="19"/>
      <c r="T236" s="19"/>
      <c r="U236" s="19"/>
      <c r="W236" s="19"/>
      <c r="X236" s="19"/>
      <c r="Y236" s="19"/>
      <c r="Z236" s="19"/>
      <c r="AA236" s="19"/>
      <c r="AB236" s="19"/>
      <c r="AC236" s="19"/>
      <c r="AD236" s="19"/>
      <c r="AE236" s="19"/>
    </row>
    <row r="237" spans="1:31" x14ac:dyDescent="0.25">
      <c r="A237" s="19"/>
      <c r="B237" s="19"/>
      <c r="C237" s="19"/>
      <c r="D237" s="31"/>
      <c r="E237" s="19"/>
      <c r="F237" s="38"/>
      <c r="G237" s="19"/>
      <c r="H237" s="19"/>
      <c r="I237" s="19"/>
      <c r="J237" s="38"/>
      <c r="K237" s="19"/>
      <c r="L237" s="19"/>
      <c r="M237" s="19"/>
      <c r="N237" s="19"/>
      <c r="O237" s="19"/>
      <c r="P237" s="19"/>
      <c r="Q237" s="37"/>
      <c r="R237" s="19"/>
      <c r="S237" s="19"/>
      <c r="T237" s="19"/>
      <c r="U237" s="19"/>
      <c r="W237" s="19"/>
      <c r="X237" s="19"/>
      <c r="Y237" s="19"/>
      <c r="Z237" s="19"/>
      <c r="AA237" s="19"/>
      <c r="AB237" s="19"/>
      <c r="AC237" s="19"/>
      <c r="AD237" s="19"/>
      <c r="AE237" s="19"/>
    </row>
    <row r="238" spans="1:31" x14ac:dyDescent="0.25">
      <c r="A238" s="19"/>
      <c r="B238" s="19"/>
      <c r="C238" s="19"/>
      <c r="D238" s="31"/>
      <c r="E238" s="19"/>
      <c r="F238" s="38"/>
      <c r="G238" s="19"/>
      <c r="H238" s="19"/>
      <c r="I238" s="19"/>
      <c r="J238" s="38"/>
      <c r="K238" s="19"/>
      <c r="L238" s="19"/>
      <c r="M238" s="19"/>
      <c r="N238" s="19"/>
      <c r="O238" s="19"/>
      <c r="P238" s="19"/>
      <c r="Q238" s="37"/>
      <c r="R238" s="19"/>
      <c r="S238" s="19"/>
      <c r="T238" s="19"/>
      <c r="U238" s="19"/>
      <c r="W238" s="19"/>
      <c r="X238" s="19"/>
      <c r="Y238" s="19"/>
      <c r="Z238" s="19"/>
      <c r="AA238" s="19"/>
      <c r="AB238" s="19"/>
      <c r="AC238" s="19"/>
      <c r="AD238" s="19"/>
      <c r="AE238" s="19"/>
    </row>
    <row r="239" spans="1:31" x14ac:dyDescent="0.25">
      <c r="A239" s="19"/>
      <c r="B239" s="19"/>
      <c r="C239" s="19"/>
      <c r="D239" s="31"/>
      <c r="E239" s="19"/>
      <c r="F239" s="38"/>
      <c r="G239" s="19"/>
      <c r="H239" s="19"/>
      <c r="I239" s="19"/>
      <c r="J239" s="38"/>
      <c r="K239" s="19"/>
      <c r="L239" s="19"/>
      <c r="M239" s="19"/>
      <c r="N239" s="19"/>
      <c r="O239" s="19"/>
      <c r="P239" s="19"/>
      <c r="Q239" s="37"/>
      <c r="R239" s="19"/>
      <c r="S239" s="19"/>
      <c r="T239" s="19"/>
      <c r="U239" s="19"/>
      <c r="W239" s="19"/>
      <c r="X239" s="19"/>
      <c r="Y239" s="19"/>
      <c r="Z239" s="19"/>
      <c r="AA239" s="19"/>
      <c r="AB239" s="19"/>
      <c r="AC239" s="19"/>
      <c r="AD239" s="19"/>
      <c r="AE239" s="19"/>
    </row>
    <row r="240" spans="1:31" x14ac:dyDescent="0.25">
      <c r="A240" s="19"/>
      <c r="B240" s="19"/>
      <c r="C240" s="19"/>
      <c r="D240" s="31"/>
      <c r="E240" s="19"/>
      <c r="F240" s="38"/>
      <c r="G240" s="19"/>
      <c r="H240" s="19"/>
      <c r="I240" s="19"/>
      <c r="J240" s="38"/>
      <c r="K240" s="19"/>
      <c r="L240" s="19"/>
      <c r="M240" s="19"/>
      <c r="N240" s="19"/>
      <c r="O240" s="19"/>
      <c r="P240" s="19"/>
      <c r="Q240" s="37"/>
      <c r="R240" s="19"/>
      <c r="S240" s="19"/>
      <c r="T240" s="19"/>
      <c r="U240" s="19"/>
      <c r="W240" s="19"/>
      <c r="X240" s="19"/>
      <c r="Y240" s="19"/>
      <c r="Z240" s="19"/>
      <c r="AA240" s="19"/>
      <c r="AB240" s="19"/>
      <c r="AC240" s="19"/>
      <c r="AD240" s="19"/>
      <c r="AE240" s="19"/>
    </row>
    <row r="241" spans="1:31" x14ac:dyDescent="0.25">
      <c r="A241" s="19"/>
      <c r="B241" s="19"/>
      <c r="C241" s="19"/>
      <c r="D241" s="31"/>
      <c r="E241" s="19"/>
      <c r="F241" s="38"/>
      <c r="G241" s="19"/>
      <c r="H241" s="19"/>
      <c r="I241" s="19"/>
      <c r="J241" s="38"/>
      <c r="K241" s="19"/>
      <c r="L241" s="19"/>
      <c r="M241" s="19"/>
      <c r="N241" s="19"/>
      <c r="O241" s="19"/>
      <c r="P241" s="19"/>
      <c r="Q241" s="37"/>
      <c r="R241" s="19"/>
      <c r="S241" s="19"/>
      <c r="T241" s="19"/>
      <c r="U241" s="19"/>
      <c r="W241" s="19"/>
      <c r="X241" s="19"/>
      <c r="Y241" s="19"/>
      <c r="Z241" s="19"/>
      <c r="AA241" s="19"/>
      <c r="AB241" s="19"/>
      <c r="AC241" s="19"/>
      <c r="AD241" s="19"/>
      <c r="AE241" s="19"/>
    </row>
    <row r="242" spans="1:31" x14ac:dyDescent="0.25">
      <c r="A242" s="19"/>
      <c r="B242" s="19"/>
      <c r="C242" s="19"/>
      <c r="D242" s="31"/>
      <c r="E242" s="19"/>
      <c r="F242" s="38"/>
      <c r="G242" s="19"/>
      <c r="H242" s="19"/>
      <c r="I242" s="19"/>
      <c r="J242" s="38"/>
      <c r="K242" s="19"/>
      <c r="L242" s="19"/>
      <c r="M242" s="19"/>
      <c r="N242" s="19"/>
      <c r="O242" s="19"/>
      <c r="P242" s="19"/>
      <c r="Q242" s="37"/>
      <c r="R242" s="19"/>
      <c r="S242" s="19"/>
      <c r="T242" s="19"/>
      <c r="U242" s="19"/>
      <c r="W242" s="19"/>
      <c r="X242" s="19"/>
      <c r="Y242" s="19"/>
      <c r="Z242" s="19"/>
      <c r="AA242" s="19"/>
      <c r="AB242" s="19"/>
      <c r="AC242" s="19"/>
      <c r="AD242" s="19"/>
      <c r="AE242" s="19"/>
    </row>
    <row r="243" spans="1:31" x14ac:dyDescent="0.25">
      <c r="A243" s="19"/>
      <c r="B243" s="19"/>
      <c r="C243" s="19"/>
      <c r="D243" s="31"/>
      <c r="E243" s="19"/>
      <c r="F243" s="38"/>
      <c r="G243" s="19"/>
      <c r="H243" s="19"/>
      <c r="I243" s="19"/>
      <c r="J243" s="38"/>
      <c r="K243" s="19"/>
      <c r="L243" s="19"/>
      <c r="M243" s="19"/>
      <c r="N243" s="19"/>
      <c r="O243" s="19"/>
      <c r="P243" s="19"/>
      <c r="Q243" s="37"/>
      <c r="R243" s="19"/>
      <c r="S243" s="19"/>
      <c r="T243" s="19"/>
      <c r="U243" s="19"/>
      <c r="W243" s="19"/>
      <c r="X243" s="19"/>
      <c r="Y243" s="19"/>
      <c r="Z243" s="19"/>
      <c r="AA243" s="19"/>
      <c r="AB243" s="19"/>
      <c r="AC243" s="19"/>
      <c r="AD243" s="19"/>
      <c r="AE243" s="19"/>
    </row>
    <row r="244" spans="1:31" x14ac:dyDescent="0.25">
      <c r="A244" s="19"/>
      <c r="B244" s="19"/>
      <c r="C244" s="19"/>
      <c r="D244" s="31"/>
      <c r="E244" s="19"/>
      <c r="F244" s="38"/>
      <c r="G244" s="19"/>
      <c r="H244" s="19"/>
      <c r="I244" s="19"/>
      <c r="J244" s="38"/>
      <c r="K244" s="19"/>
      <c r="L244" s="19"/>
      <c r="M244" s="19"/>
      <c r="N244" s="19"/>
      <c r="O244" s="19"/>
      <c r="P244" s="19"/>
      <c r="Q244" s="37"/>
      <c r="R244" s="19"/>
      <c r="S244" s="19"/>
      <c r="T244" s="19"/>
      <c r="U244" s="19"/>
      <c r="W244" s="19"/>
      <c r="X244" s="19"/>
      <c r="Y244" s="19"/>
      <c r="Z244" s="19"/>
      <c r="AA244" s="19"/>
      <c r="AB244" s="19"/>
      <c r="AC244" s="19"/>
      <c r="AD244" s="19"/>
      <c r="AE244" s="19"/>
    </row>
    <row r="245" spans="1:31" x14ac:dyDescent="0.25">
      <c r="A245" s="19"/>
      <c r="B245" s="19"/>
      <c r="C245" s="19"/>
      <c r="D245" s="31"/>
      <c r="E245" s="19"/>
      <c r="F245" s="38"/>
      <c r="G245" s="19"/>
      <c r="H245" s="19"/>
      <c r="I245" s="19"/>
      <c r="J245" s="38"/>
      <c r="K245" s="19"/>
      <c r="L245" s="19"/>
      <c r="M245" s="19"/>
      <c r="N245" s="19"/>
      <c r="O245" s="19"/>
      <c r="P245" s="19"/>
      <c r="Q245" s="37"/>
      <c r="R245" s="19"/>
      <c r="S245" s="19"/>
      <c r="T245" s="19"/>
      <c r="U245" s="19"/>
      <c r="W245" s="19"/>
      <c r="X245" s="19"/>
      <c r="Y245" s="19"/>
      <c r="Z245" s="19"/>
      <c r="AA245" s="19"/>
      <c r="AB245" s="19"/>
      <c r="AC245" s="19"/>
      <c r="AD245" s="19"/>
      <c r="AE245" s="19"/>
    </row>
    <row r="246" spans="1:31" x14ac:dyDescent="0.25">
      <c r="A246" s="19"/>
      <c r="B246" s="19"/>
      <c r="C246" s="19"/>
      <c r="D246" s="31"/>
      <c r="E246" s="19"/>
      <c r="F246" s="38"/>
      <c r="G246" s="19"/>
      <c r="H246" s="19"/>
      <c r="I246" s="19"/>
      <c r="J246" s="38"/>
      <c r="K246" s="19"/>
      <c r="L246" s="19"/>
      <c r="M246" s="19"/>
      <c r="N246" s="19"/>
      <c r="O246" s="19"/>
      <c r="P246" s="19"/>
      <c r="Q246" s="37"/>
      <c r="R246" s="19"/>
      <c r="S246" s="19"/>
      <c r="T246" s="19"/>
      <c r="U246" s="19"/>
      <c r="W246" s="19"/>
      <c r="X246" s="19"/>
      <c r="Y246" s="19"/>
      <c r="Z246" s="19"/>
      <c r="AA246" s="19"/>
      <c r="AB246" s="19"/>
      <c r="AC246" s="19"/>
      <c r="AD246" s="19"/>
      <c r="AE246" s="19"/>
    </row>
    <row r="247" spans="1:31" x14ac:dyDescent="0.25">
      <c r="A247" s="19"/>
      <c r="B247" s="19"/>
      <c r="C247" s="19"/>
      <c r="D247" s="31"/>
      <c r="E247" s="19"/>
      <c r="F247" s="38"/>
      <c r="G247" s="19"/>
      <c r="H247" s="19"/>
      <c r="I247" s="19"/>
      <c r="J247" s="38"/>
      <c r="K247" s="19"/>
      <c r="L247" s="19"/>
      <c r="M247" s="19"/>
      <c r="N247" s="19"/>
      <c r="O247" s="19"/>
      <c r="P247" s="19"/>
      <c r="Q247" s="37"/>
      <c r="R247" s="19"/>
      <c r="S247" s="19"/>
      <c r="T247" s="19"/>
      <c r="U247" s="19"/>
      <c r="W247" s="19"/>
      <c r="X247" s="19"/>
      <c r="Y247" s="19"/>
      <c r="Z247" s="19"/>
      <c r="AA247" s="19"/>
      <c r="AB247" s="19"/>
      <c r="AC247" s="19"/>
      <c r="AD247" s="19"/>
      <c r="AE247" s="19"/>
    </row>
    <row r="248" spans="1:31" x14ac:dyDescent="0.25">
      <c r="A248" s="19"/>
      <c r="B248" s="19"/>
      <c r="C248" s="19"/>
      <c r="D248" s="31"/>
      <c r="E248" s="19"/>
      <c r="F248" s="38"/>
      <c r="G248" s="19"/>
      <c r="H248" s="19"/>
      <c r="I248" s="19"/>
      <c r="J248" s="38"/>
      <c r="K248" s="19"/>
      <c r="L248" s="19"/>
      <c r="M248" s="19"/>
      <c r="N248" s="19"/>
      <c r="O248" s="19"/>
      <c r="P248" s="19"/>
      <c r="Q248" s="37"/>
      <c r="R248" s="19"/>
      <c r="S248" s="19"/>
      <c r="T248" s="19"/>
      <c r="U248" s="19"/>
      <c r="W248" s="19"/>
      <c r="X248" s="19"/>
      <c r="Y248" s="19"/>
      <c r="Z248" s="19"/>
      <c r="AA248" s="19"/>
      <c r="AB248" s="19"/>
      <c r="AC248" s="19"/>
      <c r="AD248" s="19"/>
      <c r="AE248" s="19"/>
    </row>
    <row r="249" spans="1:31" x14ac:dyDescent="0.25">
      <c r="A249" s="19"/>
      <c r="B249" s="19"/>
      <c r="C249" s="19"/>
      <c r="D249" s="31"/>
      <c r="E249" s="19"/>
      <c r="F249" s="38"/>
      <c r="G249" s="19"/>
      <c r="H249" s="19"/>
      <c r="I249" s="19"/>
      <c r="J249" s="38"/>
      <c r="K249" s="19"/>
      <c r="L249" s="19"/>
      <c r="M249" s="19"/>
      <c r="N249" s="19"/>
      <c r="O249" s="19"/>
      <c r="P249" s="19"/>
      <c r="Q249" s="37"/>
      <c r="R249" s="19"/>
      <c r="S249" s="19"/>
      <c r="T249" s="19"/>
      <c r="U249" s="19"/>
      <c r="W249" s="19"/>
      <c r="X249" s="19"/>
      <c r="Y249" s="19"/>
      <c r="Z249" s="19"/>
      <c r="AA249" s="19"/>
      <c r="AB249" s="19"/>
      <c r="AC249" s="19"/>
      <c r="AD249" s="19"/>
      <c r="AE249" s="19"/>
    </row>
    <row r="250" spans="1:31" x14ac:dyDescent="0.25">
      <c r="A250" s="19"/>
      <c r="B250" s="19"/>
      <c r="C250" s="19"/>
      <c r="D250" s="31"/>
      <c r="E250" s="19"/>
      <c r="F250" s="38"/>
      <c r="G250" s="19"/>
      <c r="H250" s="19"/>
      <c r="I250" s="19"/>
      <c r="J250" s="38"/>
      <c r="K250" s="19"/>
      <c r="L250" s="19"/>
      <c r="M250" s="19"/>
      <c r="N250" s="19"/>
      <c r="O250" s="19"/>
      <c r="P250" s="19"/>
      <c r="Q250" s="37"/>
      <c r="R250" s="19"/>
      <c r="S250" s="19"/>
      <c r="T250" s="19"/>
      <c r="U250" s="19"/>
      <c r="W250" s="19"/>
      <c r="X250" s="19"/>
      <c r="Y250" s="19"/>
      <c r="Z250" s="19"/>
      <c r="AA250" s="19"/>
      <c r="AB250" s="19"/>
      <c r="AC250" s="19"/>
      <c r="AD250" s="19"/>
      <c r="AE250" s="19"/>
    </row>
    <row r="251" spans="1:31" x14ac:dyDescent="0.25">
      <c r="A251" s="19"/>
      <c r="B251" s="19"/>
      <c r="C251" s="19"/>
      <c r="D251" s="31"/>
      <c r="E251" s="19"/>
      <c r="F251" s="38"/>
      <c r="G251" s="19"/>
      <c r="H251" s="19"/>
      <c r="I251" s="19"/>
      <c r="J251" s="38"/>
      <c r="K251" s="19"/>
      <c r="L251" s="19"/>
      <c r="M251" s="19"/>
      <c r="N251" s="19"/>
      <c r="O251" s="19"/>
      <c r="P251" s="19"/>
      <c r="Q251" s="37"/>
      <c r="R251" s="19"/>
      <c r="S251" s="19"/>
      <c r="T251" s="19"/>
      <c r="U251" s="19"/>
      <c r="W251" s="19"/>
      <c r="X251" s="19"/>
      <c r="Y251" s="19"/>
      <c r="Z251" s="19"/>
      <c r="AA251" s="19"/>
      <c r="AB251" s="19"/>
      <c r="AC251" s="19"/>
      <c r="AD251" s="19"/>
      <c r="AE251" s="19"/>
    </row>
    <row r="252" spans="1:31" x14ac:dyDescent="0.25">
      <c r="A252" s="19"/>
      <c r="B252" s="19"/>
      <c r="C252" s="19"/>
      <c r="D252" s="31"/>
      <c r="E252" s="19"/>
      <c r="F252" s="38"/>
      <c r="G252" s="19"/>
      <c r="H252" s="19"/>
      <c r="I252" s="19"/>
      <c r="J252" s="38"/>
      <c r="K252" s="19"/>
      <c r="L252" s="19"/>
      <c r="M252" s="19"/>
      <c r="N252" s="19"/>
      <c r="O252" s="19"/>
      <c r="P252" s="19"/>
      <c r="Q252" s="37"/>
      <c r="R252" s="19"/>
      <c r="S252" s="19"/>
      <c r="T252" s="19"/>
      <c r="U252" s="19"/>
      <c r="W252" s="19"/>
      <c r="X252" s="19"/>
      <c r="Y252" s="19"/>
      <c r="Z252" s="19"/>
      <c r="AA252" s="19"/>
      <c r="AB252" s="19"/>
      <c r="AC252" s="19"/>
      <c r="AD252" s="19"/>
      <c r="AE252" s="19"/>
    </row>
    <row r="253" spans="1:31" x14ac:dyDescent="0.25">
      <c r="A253" s="19"/>
      <c r="B253" s="19"/>
      <c r="C253" s="19"/>
      <c r="D253" s="31"/>
      <c r="E253" s="19"/>
      <c r="F253" s="38"/>
      <c r="G253" s="19"/>
      <c r="H253" s="19"/>
      <c r="I253" s="19"/>
      <c r="J253" s="38"/>
      <c r="K253" s="19"/>
      <c r="L253" s="19"/>
      <c r="M253" s="19"/>
      <c r="N253" s="19"/>
      <c r="O253" s="19"/>
      <c r="P253" s="19"/>
      <c r="Q253" s="37"/>
      <c r="R253" s="19"/>
      <c r="S253" s="19"/>
      <c r="T253" s="19"/>
      <c r="U253" s="19"/>
      <c r="W253" s="19"/>
      <c r="X253" s="19"/>
      <c r="Y253" s="19"/>
      <c r="Z253" s="19"/>
      <c r="AA253" s="19"/>
      <c r="AB253" s="19"/>
      <c r="AC253" s="19"/>
      <c r="AD253" s="19"/>
      <c r="AE253" s="19"/>
    </row>
    <row r="254" spans="1:31" x14ac:dyDescent="0.25">
      <c r="A254" s="19"/>
      <c r="B254" s="19"/>
      <c r="C254" s="19"/>
      <c r="D254" s="31"/>
      <c r="E254" s="19"/>
      <c r="F254" s="38"/>
      <c r="G254" s="19"/>
      <c r="H254" s="19"/>
      <c r="I254" s="19"/>
      <c r="J254" s="38"/>
      <c r="K254" s="19"/>
      <c r="L254" s="19"/>
      <c r="M254" s="19"/>
      <c r="N254" s="19"/>
      <c r="O254" s="19"/>
      <c r="P254" s="19"/>
      <c r="Q254" s="37"/>
      <c r="R254" s="19"/>
      <c r="S254" s="19"/>
      <c r="T254" s="19"/>
      <c r="U254" s="19"/>
      <c r="W254" s="19"/>
      <c r="X254" s="19"/>
      <c r="Y254" s="19"/>
      <c r="Z254" s="19"/>
      <c r="AA254" s="19"/>
      <c r="AB254" s="19"/>
      <c r="AC254" s="19"/>
      <c r="AD254" s="19"/>
      <c r="AE254" s="19"/>
    </row>
    <row r="255" spans="1:31" x14ac:dyDescent="0.25">
      <c r="A255" s="19"/>
      <c r="B255" s="19"/>
      <c r="C255" s="19"/>
      <c r="D255" s="31"/>
      <c r="E255" s="19"/>
      <c r="F255" s="38"/>
      <c r="G255" s="19"/>
      <c r="H255" s="19"/>
      <c r="I255" s="19"/>
      <c r="J255" s="38"/>
      <c r="K255" s="19"/>
      <c r="L255" s="19"/>
      <c r="M255" s="19"/>
      <c r="N255" s="19"/>
      <c r="O255" s="19"/>
      <c r="P255" s="19"/>
      <c r="Q255" s="37"/>
      <c r="R255" s="19"/>
      <c r="S255" s="19"/>
      <c r="T255" s="19"/>
      <c r="U255" s="19"/>
      <c r="W255" s="19"/>
      <c r="X255" s="19"/>
      <c r="Y255" s="19"/>
      <c r="Z255" s="19"/>
      <c r="AA255" s="19"/>
      <c r="AB255" s="19"/>
      <c r="AC255" s="19"/>
      <c r="AD255" s="19"/>
      <c r="AE255" s="19"/>
    </row>
    <row r="256" spans="1:31" x14ac:dyDescent="0.25">
      <c r="A256" s="19"/>
      <c r="B256" s="19"/>
      <c r="C256" s="19"/>
      <c r="D256" s="31"/>
      <c r="E256" s="19"/>
      <c r="F256" s="38"/>
      <c r="G256" s="19"/>
      <c r="H256" s="19"/>
      <c r="I256" s="19"/>
      <c r="J256" s="38"/>
      <c r="K256" s="19"/>
      <c r="L256" s="19"/>
      <c r="M256" s="19"/>
      <c r="N256" s="19"/>
      <c r="O256" s="19"/>
      <c r="P256" s="19"/>
      <c r="Q256" s="37"/>
      <c r="R256" s="19"/>
      <c r="S256" s="19"/>
      <c r="T256" s="19"/>
      <c r="U256" s="19"/>
      <c r="W256" s="19"/>
      <c r="X256" s="19"/>
      <c r="Y256" s="19"/>
      <c r="Z256" s="19"/>
      <c r="AA256" s="19"/>
      <c r="AB256" s="19"/>
      <c r="AC256" s="19"/>
      <c r="AD256" s="19"/>
      <c r="AE256" s="19"/>
    </row>
    <row r="257" spans="1:31" x14ac:dyDescent="0.25">
      <c r="A257" s="19"/>
      <c r="B257" s="19"/>
      <c r="C257" s="19"/>
      <c r="D257" s="31"/>
      <c r="E257" s="19"/>
      <c r="F257" s="38"/>
      <c r="G257" s="19"/>
      <c r="H257" s="19"/>
      <c r="I257" s="19"/>
      <c r="J257" s="38"/>
      <c r="K257" s="19"/>
      <c r="L257" s="19"/>
      <c r="M257" s="19"/>
      <c r="N257" s="19"/>
      <c r="O257" s="19"/>
      <c r="P257" s="19"/>
      <c r="Q257" s="37"/>
      <c r="R257" s="19"/>
      <c r="S257" s="19"/>
      <c r="T257" s="19"/>
      <c r="U257" s="19"/>
      <c r="W257" s="19"/>
      <c r="X257" s="19"/>
      <c r="Y257" s="19"/>
      <c r="Z257" s="19"/>
      <c r="AA257" s="19"/>
      <c r="AB257" s="19"/>
      <c r="AC257" s="19"/>
      <c r="AD257" s="19"/>
      <c r="AE257" s="19"/>
    </row>
    <row r="258" spans="1:31" x14ac:dyDescent="0.25">
      <c r="A258" s="19"/>
      <c r="B258" s="19"/>
      <c r="C258" s="19"/>
      <c r="D258" s="31"/>
      <c r="E258" s="19"/>
      <c r="F258" s="38"/>
      <c r="G258" s="19"/>
      <c r="H258" s="19"/>
      <c r="I258" s="19"/>
      <c r="J258" s="38"/>
      <c r="K258" s="19"/>
      <c r="L258" s="19"/>
      <c r="M258" s="19"/>
      <c r="N258" s="19"/>
      <c r="O258" s="19"/>
      <c r="P258" s="19"/>
      <c r="Q258" s="37"/>
      <c r="R258" s="19"/>
      <c r="S258" s="19"/>
      <c r="T258" s="19"/>
      <c r="U258" s="19"/>
      <c r="W258" s="19"/>
      <c r="X258" s="19"/>
      <c r="Y258" s="19"/>
      <c r="Z258" s="19"/>
      <c r="AA258" s="19"/>
      <c r="AB258" s="19"/>
      <c r="AC258" s="19"/>
      <c r="AD258" s="19"/>
      <c r="AE258" s="19"/>
    </row>
    <row r="259" spans="1:31" x14ac:dyDescent="0.25">
      <c r="A259" s="19"/>
      <c r="B259" s="19"/>
      <c r="C259" s="19"/>
      <c r="D259" s="31"/>
      <c r="E259" s="19"/>
      <c r="F259" s="38"/>
      <c r="G259" s="19"/>
      <c r="H259" s="19"/>
      <c r="I259" s="19"/>
      <c r="J259" s="38"/>
      <c r="K259" s="19"/>
      <c r="L259" s="19"/>
      <c r="M259" s="19"/>
      <c r="N259" s="19"/>
      <c r="O259" s="19"/>
      <c r="P259" s="19"/>
      <c r="Q259" s="37"/>
      <c r="R259" s="19"/>
      <c r="S259" s="19"/>
      <c r="T259" s="19"/>
      <c r="U259" s="19"/>
    </row>
    <row r="260" spans="1:31" x14ac:dyDescent="0.25">
      <c r="A260" s="19"/>
      <c r="B260" s="19"/>
      <c r="C260" s="19"/>
      <c r="D260" s="31"/>
      <c r="E260" s="19"/>
      <c r="F260" s="38"/>
      <c r="G260" s="19"/>
      <c r="H260" s="19"/>
      <c r="I260" s="19"/>
      <c r="J260" s="38"/>
      <c r="K260" s="19"/>
      <c r="L260" s="19"/>
      <c r="M260" s="19"/>
      <c r="N260" s="19"/>
      <c r="O260" s="19"/>
      <c r="P260" s="19"/>
      <c r="Q260" s="37"/>
      <c r="R260" s="19"/>
      <c r="S260" s="19"/>
      <c r="T260" s="19"/>
      <c r="U260" s="19"/>
    </row>
    <row r="261" spans="1:31" x14ac:dyDescent="0.25">
      <c r="A261" s="19"/>
      <c r="B261" s="19"/>
      <c r="C261" s="19"/>
      <c r="D261" s="31"/>
      <c r="E261" s="19"/>
      <c r="F261" s="38"/>
      <c r="G261" s="19"/>
      <c r="H261" s="19"/>
      <c r="I261" s="19"/>
      <c r="J261" s="38"/>
      <c r="K261" s="19"/>
      <c r="L261" s="19"/>
      <c r="M261" s="19"/>
      <c r="N261" s="19"/>
      <c r="O261" s="19"/>
      <c r="P261" s="19"/>
      <c r="Q261" s="37"/>
      <c r="R261" s="19"/>
      <c r="S261" s="19"/>
      <c r="T261" s="19"/>
      <c r="U261" s="19"/>
    </row>
    <row r="262" spans="1:31" x14ac:dyDescent="0.25">
      <c r="A262" s="19"/>
      <c r="B262" s="19"/>
      <c r="C262" s="19"/>
      <c r="D262" s="31"/>
      <c r="E262" s="19"/>
      <c r="F262" s="38"/>
      <c r="G262" s="19"/>
      <c r="H262" s="19"/>
      <c r="I262" s="19"/>
      <c r="J262" s="38"/>
      <c r="K262" s="19"/>
      <c r="L262" s="19"/>
      <c r="M262" s="19"/>
      <c r="N262" s="19"/>
      <c r="O262" s="19"/>
      <c r="P262" s="19"/>
      <c r="Q262" s="37"/>
      <c r="R262" s="19"/>
      <c r="S262" s="19"/>
      <c r="T262" s="19"/>
      <c r="U262" s="19"/>
    </row>
    <row r="263" spans="1:31" x14ac:dyDescent="0.25">
      <c r="A263" s="19"/>
      <c r="B263" s="19"/>
      <c r="C263" s="19"/>
      <c r="D263" s="31"/>
      <c r="E263" s="19"/>
      <c r="F263" s="38"/>
      <c r="G263" s="19"/>
      <c r="H263" s="19"/>
      <c r="I263" s="19"/>
      <c r="J263" s="38"/>
      <c r="K263" s="19"/>
      <c r="L263" s="19"/>
      <c r="M263" s="19"/>
      <c r="N263" s="19"/>
      <c r="O263" s="19"/>
      <c r="P263" s="19"/>
      <c r="Q263" s="37"/>
      <c r="R263" s="19"/>
      <c r="S263" s="19"/>
      <c r="T263" s="19"/>
      <c r="U263" s="19"/>
    </row>
    <row r="264" spans="1:31" x14ac:dyDescent="0.25">
      <c r="A264" s="19"/>
      <c r="B264" s="19"/>
      <c r="C264" s="19"/>
      <c r="D264" s="31"/>
      <c r="E264" s="19"/>
      <c r="F264" s="38"/>
      <c r="G264" s="19"/>
      <c r="H264" s="19"/>
      <c r="I264" s="19"/>
      <c r="J264" s="38"/>
      <c r="K264" s="19"/>
      <c r="L264" s="19"/>
      <c r="M264" s="19"/>
      <c r="N264" s="19"/>
      <c r="O264" s="19"/>
      <c r="P264" s="19"/>
      <c r="Q264" s="37"/>
      <c r="R264" s="19"/>
      <c r="S264" s="19"/>
      <c r="T264" s="19"/>
      <c r="U264" s="19"/>
    </row>
    <row r="265" spans="1:31" x14ac:dyDescent="0.25">
      <c r="A265" s="19"/>
      <c r="B265" s="19"/>
      <c r="C265" s="19"/>
      <c r="D265" s="31"/>
      <c r="E265" s="19"/>
      <c r="F265" s="38"/>
      <c r="G265" s="19"/>
      <c r="H265" s="19"/>
      <c r="I265" s="19"/>
      <c r="J265" s="38"/>
      <c r="K265" s="19"/>
      <c r="L265" s="19"/>
      <c r="M265" s="19"/>
      <c r="N265" s="19"/>
      <c r="O265" s="19"/>
      <c r="P265" s="19"/>
      <c r="Q265" s="37"/>
      <c r="R265" s="19"/>
      <c r="S265" s="19"/>
      <c r="T265" s="19"/>
      <c r="U265" s="19"/>
    </row>
    <row r="266" spans="1:31" x14ac:dyDescent="0.25">
      <c r="A266" s="19"/>
      <c r="B266" s="19"/>
      <c r="C266" s="19"/>
      <c r="D266" s="31"/>
      <c r="E266" s="19"/>
      <c r="F266" s="38"/>
      <c r="G266" s="19"/>
      <c r="H266" s="19"/>
      <c r="I266" s="19"/>
      <c r="J266" s="38"/>
      <c r="K266" s="19"/>
      <c r="L266" s="19"/>
      <c r="M266" s="19"/>
      <c r="N266" s="19"/>
      <c r="O266" s="19"/>
      <c r="P266" s="19"/>
      <c r="Q266" s="37"/>
      <c r="R266" s="19"/>
      <c r="S266" s="19"/>
      <c r="T266" s="19"/>
      <c r="U266" s="19"/>
    </row>
    <row r="267" spans="1:31" x14ac:dyDescent="0.25">
      <c r="A267" s="19"/>
      <c r="B267" s="19"/>
      <c r="C267" s="19"/>
      <c r="D267" s="31"/>
      <c r="E267" s="19"/>
      <c r="F267" s="38"/>
      <c r="G267" s="19"/>
      <c r="H267" s="19"/>
      <c r="I267" s="19"/>
      <c r="J267" s="38"/>
      <c r="K267" s="19"/>
      <c r="L267" s="19"/>
      <c r="M267" s="19"/>
      <c r="N267" s="19"/>
      <c r="O267" s="19"/>
      <c r="P267" s="19"/>
      <c r="Q267" s="37"/>
      <c r="R267" s="19"/>
      <c r="S267" s="19"/>
      <c r="T267" s="19"/>
      <c r="U267" s="19"/>
    </row>
    <row r="268" spans="1:31" x14ac:dyDescent="0.25">
      <c r="A268" s="19"/>
      <c r="B268" s="19"/>
      <c r="C268" s="19"/>
      <c r="D268" s="31"/>
      <c r="E268" s="19"/>
      <c r="F268" s="38"/>
      <c r="G268" s="19"/>
      <c r="H268" s="19"/>
      <c r="I268" s="19"/>
      <c r="J268" s="38"/>
      <c r="K268" s="19"/>
      <c r="L268" s="19"/>
      <c r="M268" s="19"/>
      <c r="N268" s="19"/>
      <c r="O268" s="19"/>
      <c r="P268" s="19"/>
      <c r="Q268" s="37"/>
      <c r="R268" s="19"/>
      <c r="S268" s="19"/>
      <c r="T268" s="19"/>
      <c r="U268" s="19"/>
    </row>
    <row r="269" spans="1:31" x14ac:dyDescent="0.25">
      <c r="A269" s="19"/>
      <c r="B269" s="19"/>
      <c r="C269" s="19"/>
      <c r="D269" s="31"/>
      <c r="E269" s="19"/>
      <c r="F269" s="38"/>
      <c r="G269" s="19"/>
      <c r="H269" s="19"/>
      <c r="I269" s="19"/>
      <c r="J269" s="38"/>
      <c r="K269" s="19"/>
      <c r="L269" s="19"/>
      <c r="M269" s="19"/>
      <c r="N269" s="19"/>
      <c r="O269" s="19"/>
      <c r="P269" s="19"/>
      <c r="Q269" s="37"/>
      <c r="R269" s="19"/>
      <c r="S269" s="19"/>
      <c r="T269" s="19"/>
      <c r="U269" s="19"/>
    </row>
    <row r="270" spans="1:31" x14ac:dyDescent="0.25">
      <c r="A270" s="19"/>
      <c r="B270" s="19"/>
      <c r="C270" s="19"/>
      <c r="D270" s="31"/>
      <c r="E270" s="19"/>
      <c r="F270" s="38"/>
      <c r="G270" s="19"/>
      <c r="H270" s="19"/>
      <c r="I270" s="19"/>
      <c r="J270" s="38"/>
      <c r="K270" s="19"/>
      <c r="L270" s="19"/>
      <c r="M270" s="19"/>
      <c r="N270" s="19"/>
      <c r="O270" s="19"/>
      <c r="P270" s="19"/>
      <c r="Q270" s="37"/>
      <c r="R270" s="19"/>
      <c r="S270" s="19"/>
      <c r="T270" s="19"/>
      <c r="U270" s="19"/>
    </row>
    <row r="271" spans="1:31" x14ac:dyDescent="0.25">
      <c r="A271" s="19"/>
      <c r="B271" s="19"/>
      <c r="C271" s="19"/>
      <c r="D271" s="31"/>
      <c r="E271" s="19"/>
      <c r="F271" s="38"/>
      <c r="G271" s="19"/>
      <c r="H271" s="19"/>
      <c r="I271" s="19"/>
      <c r="J271" s="38"/>
      <c r="K271" s="19"/>
      <c r="L271" s="19"/>
      <c r="M271" s="19"/>
      <c r="N271" s="19"/>
      <c r="O271" s="19"/>
      <c r="P271" s="19"/>
      <c r="Q271" s="37"/>
      <c r="R271" s="19"/>
      <c r="S271" s="19"/>
      <c r="T271" s="19"/>
      <c r="U271" s="19"/>
    </row>
    <row r="272" spans="1:31" x14ac:dyDescent="0.25">
      <c r="A272" s="19"/>
      <c r="B272" s="19"/>
      <c r="C272" s="19"/>
      <c r="D272" s="31"/>
      <c r="E272" s="19"/>
      <c r="F272" s="38"/>
      <c r="G272" s="19"/>
      <c r="H272" s="19"/>
      <c r="I272" s="19"/>
      <c r="J272" s="38"/>
      <c r="K272" s="19"/>
      <c r="L272" s="19"/>
      <c r="M272" s="19"/>
      <c r="N272" s="19"/>
      <c r="O272" s="19"/>
      <c r="P272" s="19"/>
      <c r="Q272" s="37"/>
      <c r="R272" s="19"/>
      <c r="S272" s="19"/>
      <c r="T272" s="19"/>
      <c r="U272" s="19"/>
    </row>
    <row r="273" spans="1:21" x14ac:dyDescent="0.25">
      <c r="A273" s="19"/>
      <c r="B273" s="19"/>
      <c r="C273" s="19"/>
      <c r="D273" s="31"/>
      <c r="E273" s="19"/>
      <c r="F273" s="38"/>
      <c r="G273" s="19"/>
      <c r="H273" s="19"/>
      <c r="I273" s="19"/>
      <c r="J273" s="38"/>
      <c r="K273" s="19"/>
      <c r="L273" s="19"/>
      <c r="M273" s="19"/>
      <c r="N273" s="19"/>
      <c r="O273" s="19"/>
      <c r="P273" s="19"/>
      <c r="Q273" s="37"/>
      <c r="R273" s="19"/>
      <c r="S273" s="19"/>
      <c r="T273" s="19"/>
      <c r="U273" s="19"/>
    </row>
    <row r="274" spans="1:21" x14ac:dyDescent="0.25">
      <c r="A274" s="19"/>
      <c r="B274" s="19"/>
      <c r="C274" s="19"/>
      <c r="D274" s="31"/>
      <c r="E274" s="19"/>
      <c r="F274" s="38"/>
      <c r="G274" s="19"/>
      <c r="H274" s="19"/>
      <c r="I274" s="19"/>
      <c r="J274" s="38"/>
      <c r="K274" s="19"/>
      <c r="L274" s="19"/>
      <c r="M274" s="19"/>
      <c r="N274" s="19"/>
      <c r="O274" s="19"/>
      <c r="P274" s="19"/>
      <c r="Q274" s="37"/>
      <c r="R274" s="19"/>
      <c r="S274" s="19"/>
      <c r="T274" s="19"/>
      <c r="U274" s="19"/>
    </row>
    <row r="275" spans="1:21" x14ac:dyDescent="0.25">
      <c r="A275" s="19"/>
      <c r="B275" s="19"/>
      <c r="C275" s="19"/>
      <c r="D275" s="31"/>
      <c r="E275" s="19"/>
      <c r="F275" s="38"/>
      <c r="G275" s="19"/>
      <c r="H275" s="19"/>
      <c r="I275" s="19"/>
      <c r="J275" s="38"/>
      <c r="K275" s="19"/>
      <c r="L275" s="19"/>
      <c r="M275" s="19"/>
      <c r="N275" s="19"/>
      <c r="O275" s="19"/>
      <c r="P275" s="19"/>
      <c r="Q275" s="37"/>
      <c r="R275" s="19"/>
      <c r="S275" s="19"/>
      <c r="T275" s="19"/>
      <c r="U275" s="19"/>
    </row>
    <row r="276" spans="1:21" x14ac:dyDescent="0.25">
      <c r="A276" s="19"/>
      <c r="B276" s="19"/>
      <c r="C276" s="19"/>
      <c r="D276" s="31"/>
      <c r="E276" s="19"/>
      <c r="F276" s="38"/>
      <c r="G276" s="19"/>
      <c r="H276" s="19"/>
      <c r="I276" s="19"/>
      <c r="J276" s="38"/>
      <c r="K276" s="19"/>
      <c r="L276" s="19"/>
      <c r="M276" s="19"/>
      <c r="N276" s="19"/>
      <c r="O276" s="19"/>
      <c r="P276" s="19"/>
      <c r="Q276" s="37"/>
      <c r="R276" s="19"/>
      <c r="S276" s="19"/>
      <c r="T276" s="19"/>
      <c r="U276" s="19"/>
    </row>
    <row r="277" spans="1:21" x14ac:dyDescent="0.25">
      <c r="A277" s="19"/>
      <c r="B277" s="19"/>
      <c r="C277" s="19"/>
      <c r="D277" s="31"/>
      <c r="E277" s="19"/>
      <c r="F277" s="38"/>
      <c r="G277" s="19"/>
      <c r="H277" s="19"/>
      <c r="I277" s="19"/>
      <c r="J277" s="38"/>
      <c r="K277" s="19"/>
      <c r="L277" s="19"/>
      <c r="M277" s="19"/>
      <c r="N277" s="19"/>
      <c r="O277" s="19"/>
      <c r="P277" s="19"/>
      <c r="Q277" s="37"/>
      <c r="R277" s="19"/>
      <c r="S277" s="19"/>
      <c r="T277" s="19"/>
      <c r="U277" s="19"/>
    </row>
    <row r="278" spans="1:21" x14ac:dyDescent="0.25">
      <c r="A278" s="19"/>
      <c r="B278" s="19"/>
      <c r="C278" s="19"/>
      <c r="D278" s="31"/>
      <c r="E278" s="19"/>
      <c r="F278" s="38"/>
      <c r="G278" s="19"/>
      <c r="H278" s="19"/>
      <c r="I278" s="19"/>
      <c r="J278" s="38"/>
      <c r="K278" s="19"/>
      <c r="L278" s="19"/>
      <c r="M278" s="19"/>
      <c r="N278" s="19"/>
      <c r="O278" s="19"/>
      <c r="P278" s="19"/>
      <c r="Q278" s="37"/>
      <c r="R278" s="19"/>
      <c r="S278" s="19"/>
      <c r="T278" s="19"/>
      <c r="U278" s="19"/>
    </row>
    <row r="279" spans="1:21" x14ac:dyDescent="0.25">
      <c r="A279" s="19"/>
      <c r="B279" s="19"/>
      <c r="C279" s="19"/>
      <c r="D279" s="31"/>
      <c r="E279" s="19"/>
      <c r="F279" s="38"/>
      <c r="G279" s="19"/>
      <c r="H279" s="19"/>
      <c r="I279" s="19"/>
      <c r="J279" s="38"/>
      <c r="K279" s="19"/>
      <c r="L279" s="19"/>
      <c r="M279" s="19"/>
      <c r="N279" s="19"/>
      <c r="O279" s="19"/>
      <c r="P279" s="19"/>
      <c r="Q279" s="37"/>
      <c r="R279" s="19"/>
      <c r="S279" s="19"/>
      <c r="T279" s="19"/>
      <c r="U279" s="19"/>
    </row>
    <row r="280" spans="1:21" x14ac:dyDescent="0.25">
      <c r="A280" s="19"/>
      <c r="B280" s="19"/>
      <c r="C280" s="19"/>
      <c r="D280" s="31"/>
      <c r="E280" s="19"/>
      <c r="F280" s="38"/>
      <c r="G280" s="19"/>
      <c r="H280" s="19"/>
      <c r="I280" s="19"/>
      <c r="J280" s="38"/>
      <c r="K280" s="19"/>
      <c r="L280" s="19"/>
      <c r="M280" s="19"/>
      <c r="N280" s="19"/>
      <c r="O280" s="19"/>
      <c r="P280" s="19"/>
      <c r="Q280" s="37"/>
      <c r="R280" s="19"/>
      <c r="S280" s="19"/>
      <c r="T280" s="19"/>
      <c r="U280" s="19"/>
    </row>
    <row r="281" spans="1:21" x14ac:dyDescent="0.25">
      <c r="A281" s="19"/>
      <c r="B281" s="19"/>
      <c r="C281" s="19"/>
      <c r="D281" s="31"/>
      <c r="E281" s="19"/>
      <c r="F281" s="38"/>
      <c r="G281" s="19"/>
      <c r="H281" s="19"/>
      <c r="I281" s="19"/>
      <c r="J281" s="38"/>
      <c r="K281" s="19"/>
      <c r="L281" s="19"/>
      <c r="M281" s="19"/>
      <c r="N281" s="19"/>
      <c r="O281" s="19"/>
      <c r="P281" s="19"/>
      <c r="Q281" s="37"/>
      <c r="R281" s="19"/>
      <c r="S281" s="19"/>
      <c r="T281" s="19"/>
      <c r="U281" s="19"/>
    </row>
    <row r="282" spans="1:21" x14ac:dyDescent="0.25">
      <c r="A282" s="19"/>
      <c r="B282" s="19"/>
      <c r="C282" s="19"/>
      <c r="D282" s="31"/>
      <c r="E282" s="19"/>
      <c r="F282" s="38"/>
      <c r="G282" s="19"/>
      <c r="H282" s="19"/>
      <c r="I282" s="19"/>
      <c r="J282" s="38"/>
      <c r="K282" s="19"/>
      <c r="L282" s="19"/>
      <c r="M282" s="19"/>
      <c r="N282" s="19"/>
      <c r="O282" s="19"/>
      <c r="P282" s="19"/>
      <c r="Q282" s="37"/>
      <c r="R282" s="19"/>
      <c r="S282" s="19"/>
      <c r="T282" s="19"/>
      <c r="U282" s="19"/>
    </row>
    <row r="283" spans="1:21" x14ac:dyDescent="0.25">
      <c r="A283" s="19"/>
      <c r="B283" s="19"/>
      <c r="C283" s="19"/>
      <c r="D283" s="31"/>
      <c r="E283" s="19"/>
      <c r="F283" s="38"/>
      <c r="G283" s="19"/>
      <c r="H283" s="19"/>
      <c r="I283" s="19"/>
      <c r="J283" s="38"/>
      <c r="K283" s="19"/>
      <c r="L283" s="19"/>
      <c r="M283" s="19"/>
      <c r="N283" s="19"/>
      <c r="O283" s="19"/>
      <c r="P283" s="19"/>
      <c r="Q283" s="37"/>
      <c r="R283" s="19"/>
      <c r="S283" s="19"/>
      <c r="T283" s="19"/>
      <c r="U283" s="19"/>
    </row>
    <row r="284" spans="1:21" x14ac:dyDescent="0.25">
      <c r="A284" s="19"/>
      <c r="B284" s="19"/>
      <c r="C284" s="19"/>
      <c r="D284" s="31"/>
      <c r="E284" s="19"/>
      <c r="F284" s="38"/>
      <c r="G284" s="19"/>
      <c r="H284" s="19"/>
      <c r="I284" s="19"/>
      <c r="J284" s="38"/>
      <c r="K284" s="19"/>
      <c r="L284" s="19"/>
      <c r="M284" s="19"/>
      <c r="N284" s="19"/>
      <c r="O284" s="19"/>
      <c r="P284" s="19"/>
      <c r="Q284" s="37"/>
      <c r="R284" s="19"/>
      <c r="S284" s="19"/>
      <c r="T284" s="19"/>
      <c r="U284" s="19"/>
    </row>
    <row r="285" spans="1:21" x14ac:dyDescent="0.25">
      <c r="A285" s="19"/>
      <c r="B285" s="19"/>
      <c r="C285" s="19"/>
      <c r="D285" s="31"/>
      <c r="E285" s="19"/>
      <c r="F285" s="38"/>
      <c r="G285" s="19"/>
      <c r="H285" s="19"/>
      <c r="I285" s="19"/>
      <c r="J285" s="38"/>
      <c r="K285" s="19"/>
      <c r="L285" s="19"/>
      <c r="M285" s="19"/>
      <c r="N285" s="19"/>
      <c r="O285" s="19"/>
      <c r="P285" s="19"/>
      <c r="Q285" s="37"/>
      <c r="R285" s="19"/>
      <c r="S285" s="19"/>
      <c r="T285" s="19"/>
      <c r="U285" s="19"/>
    </row>
    <row r="286" spans="1:21" x14ac:dyDescent="0.25">
      <c r="A286" s="19"/>
      <c r="B286" s="19"/>
      <c r="C286" s="19"/>
      <c r="D286" s="31"/>
      <c r="E286" s="19"/>
      <c r="F286" s="38"/>
      <c r="G286" s="19"/>
      <c r="H286" s="19"/>
      <c r="I286" s="19"/>
      <c r="J286" s="38"/>
      <c r="K286" s="19"/>
      <c r="L286" s="19"/>
      <c r="M286" s="19"/>
      <c r="N286" s="19"/>
      <c r="O286" s="19"/>
      <c r="P286" s="19"/>
      <c r="Q286" s="37"/>
      <c r="R286" s="19"/>
      <c r="S286" s="19"/>
      <c r="T286" s="19"/>
      <c r="U286" s="19"/>
    </row>
    <row r="287" spans="1:21" x14ac:dyDescent="0.25">
      <c r="A287" s="19"/>
      <c r="B287" s="19"/>
      <c r="C287" s="19"/>
      <c r="D287" s="31"/>
      <c r="E287" s="19"/>
      <c r="F287" s="38"/>
      <c r="G287" s="19"/>
      <c r="H287" s="19"/>
      <c r="I287" s="19"/>
      <c r="J287" s="38"/>
      <c r="K287" s="19"/>
      <c r="L287" s="19"/>
      <c r="M287" s="19"/>
      <c r="N287" s="19"/>
      <c r="O287" s="19"/>
      <c r="P287" s="19"/>
      <c r="Q287" s="37"/>
      <c r="R287" s="19"/>
      <c r="S287" s="19"/>
      <c r="T287" s="19"/>
      <c r="U287" s="19"/>
    </row>
    <row r="288" spans="1:21" x14ac:dyDescent="0.25">
      <c r="A288" s="19"/>
      <c r="B288" s="19"/>
      <c r="C288" s="19"/>
      <c r="D288" s="31"/>
      <c r="E288" s="19"/>
      <c r="F288" s="38"/>
      <c r="G288" s="19"/>
      <c r="H288" s="19"/>
      <c r="I288" s="19"/>
      <c r="J288" s="38"/>
      <c r="K288" s="19"/>
      <c r="L288" s="19"/>
      <c r="M288" s="19"/>
      <c r="N288" s="19"/>
      <c r="O288" s="19"/>
      <c r="P288" s="19"/>
      <c r="Q288" s="37"/>
      <c r="R288" s="19"/>
      <c r="S288" s="19"/>
      <c r="T288" s="19"/>
      <c r="U288" s="19"/>
    </row>
    <row r="289" spans="1:21" x14ac:dyDescent="0.25">
      <c r="A289" s="19"/>
      <c r="B289" s="19"/>
      <c r="C289" s="19"/>
      <c r="D289" s="31"/>
      <c r="E289" s="19"/>
      <c r="F289" s="38"/>
      <c r="G289" s="19"/>
      <c r="H289" s="19"/>
      <c r="I289" s="19"/>
      <c r="J289" s="38"/>
      <c r="K289" s="19"/>
      <c r="L289" s="19"/>
      <c r="M289" s="19"/>
      <c r="N289" s="19"/>
      <c r="O289" s="19"/>
      <c r="P289" s="19"/>
      <c r="Q289" s="37"/>
      <c r="R289" s="19"/>
      <c r="S289" s="19"/>
      <c r="T289" s="19"/>
      <c r="U289" s="19"/>
    </row>
    <row r="290" spans="1:21" x14ac:dyDescent="0.25">
      <c r="A290" s="19"/>
      <c r="B290" s="19"/>
      <c r="C290" s="19"/>
      <c r="D290" s="31"/>
      <c r="E290" s="19"/>
      <c r="F290" s="38"/>
      <c r="G290" s="19"/>
      <c r="H290" s="19"/>
      <c r="I290" s="19"/>
      <c r="J290" s="38"/>
      <c r="K290" s="19"/>
      <c r="L290" s="19"/>
      <c r="M290" s="19"/>
      <c r="N290" s="19"/>
      <c r="O290" s="19"/>
      <c r="P290" s="19"/>
      <c r="Q290" s="37"/>
      <c r="R290" s="19"/>
      <c r="S290" s="19"/>
      <c r="T290" s="19"/>
      <c r="U290" s="19"/>
    </row>
    <row r="291" spans="1:21" x14ac:dyDescent="0.25">
      <c r="A291" s="19"/>
      <c r="B291" s="19"/>
      <c r="C291" s="19"/>
      <c r="D291" s="31"/>
      <c r="E291" s="19"/>
      <c r="F291" s="38"/>
      <c r="G291" s="19"/>
      <c r="H291" s="19"/>
      <c r="I291" s="19"/>
      <c r="J291" s="38"/>
      <c r="K291" s="19"/>
      <c r="L291" s="19"/>
      <c r="M291" s="19"/>
      <c r="N291" s="19"/>
      <c r="O291" s="19"/>
      <c r="P291" s="19"/>
      <c r="Q291" s="37"/>
      <c r="R291" s="19"/>
      <c r="S291" s="19"/>
      <c r="T291" s="19"/>
      <c r="U291" s="19"/>
    </row>
    <row r="292" spans="1:21" x14ac:dyDescent="0.25">
      <c r="A292" s="19"/>
      <c r="B292" s="19"/>
      <c r="C292" s="19"/>
      <c r="D292" s="31"/>
      <c r="E292" s="19"/>
      <c r="F292" s="38"/>
      <c r="G292" s="19"/>
      <c r="H292" s="19"/>
      <c r="I292" s="19"/>
      <c r="J292" s="38"/>
      <c r="K292" s="19"/>
      <c r="L292" s="19"/>
      <c r="M292" s="19"/>
      <c r="N292" s="19"/>
      <c r="O292" s="19"/>
      <c r="P292" s="19"/>
      <c r="Q292" s="37"/>
      <c r="R292" s="19"/>
      <c r="S292" s="19"/>
      <c r="T292" s="19"/>
      <c r="U292" s="19"/>
    </row>
    <row r="293" spans="1:21" x14ac:dyDescent="0.25">
      <c r="A293" s="19"/>
      <c r="B293" s="19"/>
      <c r="C293" s="19"/>
      <c r="D293" s="31"/>
      <c r="E293" s="19"/>
      <c r="F293" s="38"/>
      <c r="G293" s="19"/>
      <c r="H293" s="19"/>
      <c r="I293" s="19"/>
      <c r="J293" s="38"/>
      <c r="K293" s="19"/>
      <c r="L293" s="19"/>
      <c r="M293" s="19"/>
      <c r="N293" s="19"/>
      <c r="O293" s="19"/>
      <c r="P293" s="19"/>
      <c r="Q293" s="37"/>
      <c r="R293" s="19"/>
      <c r="S293" s="19"/>
      <c r="T293" s="19"/>
      <c r="U293" s="19"/>
    </row>
    <row r="294" spans="1:21" x14ac:dyDescent="0.25">
      <c r="A294" s="19"/>
      <c r="B294" s="19"/>
      <c r="C294" s="19"/>
      <c r="D294" s="31"/>
      <c r="E294" s="19"/>
      <c r="F294" s="38"/>
      <c r="G294" s="19"/>
      <c r="H294" s="19"/>
      <c r="I294" s="19"/>
      <c r="J294" s="38"/>
      <c r="K294" s="19"/>
      <c r="L294" s="19"/>
      <c r="M294" s="19"/>
      <c r="N294" s="19"/>
      <c r="O294" s="19"/>
      <c r="P294" s="19"/>
      <c r="Q294" s="37"/>
      <c r="R294" s="19"/>
      <c r="S294" s="19"/>
      <c r="T294" s="19"/>
      <c r="U294" s="19"/>
    </row>
    <row r="295" spans="1:21" x14ac:dyDescent="0.25">
      <c r="A295" s="19"/>
      <c r="B295" s="19"/>
      <c r="C295" s="19"/>
      <c r="D295" s="31"/>
      <c r="E295" s="19"/>
      <c r="F295" s="38"/>
      <c r="G295" s="19"/>
      <c r="H295" s="19"/>
      <c r="I295" s="19"/>
      <c r="J295" s="38"/>
      <c r="K295" s="19"/>
      <c r="L295" s="19"/>
      <c r="M295" s="19"/>
      <c r="N295" s="19"/>
      <c r="O295" s="19"/>
      <c r="P295" s="19"/>
      <c r="Q295" s="37"/>
      <c r="R295" s="19"/>
      <c r="S295" s="19"/>
      <c r="T295" s="19"/>
      <c r="U295" s="19"/>
    </row>
  </sheetData>
  <mergeCells count="89">
    <mergeCell ref="B205:M205"/>
    <mergeCell ref="D206:F206"/>
    <mergeCell ref="G206:M206"/>
    <mergeCell ref="B126:D126"/>
    <mergeCell ref="A154:U154"/>
    <mergeCell ref="B161:D161"/>
    <mergeCell ref="A184:U184"/>
    <mergeCell ref="A186:U186"/>
    <mergeCell ref="A203:U203"/>
    <mergeCell ref="A124:U124"/>
    <mergeCell ref="N103:O103"/>
    <mergeCell ref="N104:O104"/>
    <mergeCell ref="N105:O105"/>
    <mergeCell ref="N107:O107"/>
    <mergeCell ref="N108:O108"/>
    <mergeCell ref="N109:O109"/>
    <mergeCell ref="N110:O110"/>
    <mergeCell ref="N111:O111"/>
    <mergeCell ref="E113:F113"/>
    <mergeCell ref="H113:I113"/>
    <mergeCell ref="O114:P114"/>
    <mergeCell ref="B99:D99"/>
    <mergeCell ref="N99:O99"/>
    <mergeCell ref="S101:T101"/>
    <mergeCell ref="F102:H102"/>
    <mergeCell ref="N102:O102"/>
    <mergeCell ref="S93:T93"/>
    <mergeCell ref="N95:O95"/>
    <mergeCell ref="N96:O96"/>
    <mergeCell ref="N97:O97"/>
    <mergeCell ref="N98:O98"/>
    <mergeCell ref="A71:U71"/>
    <mergeCell ref="N100:O100"/>
    <mergeCell ref="N101:P101"/>
    <mergeCell ref="Q101:R101"/>
    <mergeCell ref="H20:I20"/>
    <mergeCell ref="N20:O20"/>
    <mergeCell ref="H21:I21"/>
    <mergeCell ref="N21:O21"/>
    <mergeCell ref="H22:I22"/>
    <mergeCell ref="N22:O22"/>
    <mergeCell ref="N94:O94"/>
    <mergeCell ref="A24:U24"/>
    <mergeCell ref="A91:U91"/>
    <mergeCell ref="F93:H93"/>
    <mergeCell ref="N93:P93"/>
    <mergeCell ref="Q93:R93"/>
    <mergeCell ref="N18:O18"/>
    <mergeCell ref="N27:R28"/>
    <mergeCell ref="N29:R31"/>
    <mergeCell ref="N33:O33"/>
    <mergeCell ref="A43:U43"/>
    <mergeCell ref="H2:L2"/>
    <mergeCell ref="N2:R2"/>
    <mergeCell ref="H3:I3"/>
    <mergeCell ref="N3:R3"/>
    <mergeCell ref="H4:I4"/>
    <mergeCell ref="N4:O4"/>
    <mergeCell ref="H7:I7"/>
    <mergeCell ref="N7:R7"/>
    <mergeCell ref="H11:I11"/>
    <mergeCell ref="N11:R11"/>
    <mergeCell ref="N9:O9"/>
    <mergeCell ref="H10:I10"/>
    <mergeCell ref="N10:O10"/>
    <mergeCell ref="H8:I8"/>
    <mergeCell ref="N8:O8"/>
    <mergeCell ref="H9:I9"/>
    <mergeCell ref="AK4:AL4"/>
    <mergeCell ref="H5:I5"/>
    <mergeCell ref="N5:O5"/>
    <mergeCell ref="H6:I6"/>
    <mergeCell ref="N6:O6"/>
    <mergeCell ref="X25:Y25"/>
    <mergeCell ref="X93:Z93"/>
    <mergeCell ref="X98:AA98"/>
    <mergeCell ref="H12:I12"/>
    <mergeCell ref="N12:O12"/>
    <mergeCell ref="H19:I19"/>
    <mergeCell ref="H13:I13"/>
    <mergeCell ref="N13:O13"/>
    <mergeCell ref="H14:I14"/>
    <mergeCell ref="N14:O14"/>
    <mergeCell ref="H15:I15"/>
    <mergeCell ref="N15:R15"/>
    <mergeCell ref="N16:O16"/>
    <mergeCell ref="H17:L17"/>
    <mergeCell ref="N17:O17"/>
    <mergeCell ref="H18:I18"/>
  </mergeCells>
  <dataValidations count="2">
    <dataValidation type="list" allowBlank="1" showInputMessage="1" showErrorMessage="1" sqref="P108" xr:uid="{ABB68A54-5F21-49CE-98DD-C7A226DC0EBE}">
      <formula1>$R$107:$R$109</formula1>
    </dataValidation>
    <dataValidation type="list" allowBlank="1" showInputMessage="1" showErrorMessage="1" sqref="S96" xr:uid="{F31B3FFD-6AF8-4EC7-9CAC-50B5C6B0B013}">
      <formula1>$AG$5:$AK$5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YE_2">
                <anchor moveWithCells="1" sizeWithCells="1">
                  <from>
                    <xdr:col>14</xdr:col>
                    <xdr:colOff>95250</xdr:colOff>
                    <xdr:row>179</xdr:row>
                    <xdr:rowOff>19050</xdr:rowOff>
                  </from>
                  <to>
                    <xdr:col>16</xdr:col>
                    <xdr:colOff>57150</xdr:colOff>
                    <xdr:row>181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B180-C84B-4AAF-9998-15A1EE45C381}">
  <dimension ref="D7:J16"/>
  <sheetViews>
    <sheetView workbookViewId="0">
      <selection activeCell="D10" sqref="D10"/>
    </sheetView>
  </sheetViews>
  <sheetFormatPr baseColWidth="10" defaultRowHeight="15" x14ac:dyDescent="0.25"/>
  <sheetData>
    <row r="7" spans="4:10" x14ac:dyDescent="0.25">
      <c r="I7">
        <v>11000</v>
      </c>
    </row>
    <row r="8" spans="4:10" x14ac:dyDescent="0.25">
      <c r="I8">
        <v>34900</v>
      </c>
    </row>
    <row r="9" spans="4:10" x14ac:dyDescent="0.25">
      <c r="D9" s="555">
        <v>5262900</v>
      </c>
      <c r="I9">
        <v>20000</v>
      </c>
    </row>
    <row r="10" spans="4:10" x14ac:dyDescent="0.25">
      <c r="D10">
        <f>+D9*2</f>
        <v>10525800</v>
      </c>
      <c r="I10">
        <v>54000</v>
      </c>
    </row>
    <row r="11" spans="4:10" x14ac:dyDescent="0.25">
      <c r="I11">
        <v>13000</v>
      </c>
    </row>
    <row r="12" spans="4:10" x14ac:dyDescent="0.25">
      <c r="I12">
        <v>25000</v>
      </c>
    </row>
    <row r="13" spans="4:10" x14ac:dyDescent="0.25">
      <c r="I13">
        <f>+SUM(I7:I12)</f>
        <v>157900</v>
      </c>
    </row>
    <row r="14" spans="4:10" x14ac:dyDescent="0.25">
      <c r="J14">
        <f>-I13+200000</f>
        <v>42100</v>
      </c>
    </row>
    <row r="15" spans="4:10" x14ac:dyDescent="0.25">
      <c r="J15">
        <v>280000</v>
      </c>
    </row>
    <row r="16" spans="4:10" x14ac:dyDescent="0.25">
      <c r="J16">
        <f>+J15+J14</f>
        <v>322100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BB4A-BEE7-48F9-B6D5-70A36A774556}">
  <sheetPr codeName="Hoja1"/>
  <dimension ref="A1:AB95"/>
  <sheetViews>
    <sheetView topLeftCell="G1" zoomScale="85" zoomScaleNormal="85" workbookViewId="0">
      <selection activeCell="R30" sqref="R30"/>
    </sheetView>
  </sheetViews>
  <sheetFormatPr baseColWidth="10" defaultRowHeight="15" x14ac:dyDescent="0.25"/>
  <cols>
    <col min="1" max="1" width="13.140625" bestFit="1" customWidth="1"/>
    <col min="2" max="2" width="6" bestFit="1" customWidth="1"/>
    <col min="3" max="3" width="13.140625" bestFit="1" customWidth="1"/>
    <col min="4" max="4" width="73.140625" customWidth="1"/>
    <col min="5" max="5" width="17.5703125" customWidth="1"/>
    <col min="6" max="6" width="13" bestFit="1" customWidth="1"/>
    <col min="7" max="7" width="4.7109375" style="533" bestFit="1" customWidth="1"/>
    <col min="8" max="8" width="13.140625" bestFit="1" customWidth="1"/>
    <col min="11" max="11" width="32.28515625" bestFit="1" customWidth="1"/>
    <col min="12" max="12" width="15.28515625" bestFit="1" customWidth="1"/>
    <col min="19" max="21" width="11.42578125" customWidth="1"/>
    <col min="22" max="22" width="14.140625" bestFit="1" customWidth="1"/>
    <col min="23" max="24" width="11.42578125" customWidth="1"/>
  </cols>
  <sheetData>
    <row r="1" spans="2:28" ht="15.75" thickBot="1" x14ac:dyDescent="0.3"/>
    <row r="2" spans="2:28" ht="15.75" thickBot="1" x14ac:dyDescent="0.3">
      <c r="B2" s="966" t="s">
        <v>674</v>
      </c>
      <c r="C2" s="967"/>
      <c r="D2" s="967"/>
      <c r="E2" s="967"/>
      <c r="F2" s="968"/>
      <c r="K2" s="960" t="s">
        <v>678</v>
      </c>
      <c r="L2" s="557">
        <v>0</v>
      </c>
      <c r="M2" s="557">
        <v>1</v>
      </c>
      <c r="N2" s="557">
        <v>2</v>
      </c>
      <c r="O2" s="557">
        <v>3</v>
      </c>
      <c r="P2" s="557">
        <v>4</v>
      </c>
      <c r="Q2" s="557">
        <v>5</v>
      </c>
      <c r="R2" s="557">
        <v>6</v>
      </c>
      <c r="S2" s="557">
        <v>7</v>
      </c>
      <c r="T2" s="557">
        <v>8</v>
      </c>
      <c r="U2" s="557">
        <v>9</v>
      </c>
      <c r="V2" s="557">
        <v>10</v>
      </c>
      <c r="W2" s="557">
        <v>11</v>
      </c>
      <c r="X2" s="557">
        <v>12</v>
      </c>
      <c r="Y2" s="557">
        <v>13</v>
      </c>
      <c r="Z2" s="557">
        <v>14</v>
      </c>
      <c r="AA2" s="557">
        <v>15</v>
      </c>
    </row>
    <row r="3" spans="2:28" x14ac:dyDescent="0.25">
      <c r="B3" s="966" t="s">
        <v>643</v>
      </c>
      <c r="C3" s="967"/>
      <c r="D3" s="967"/>
      <c r="E3" s="967"/>
      <c r="F3" s="968"/>
      <c r="K3" s="960"/>
      <c r="L3" s="557">
        <v>2019</v>
      </c>
      <c r="M3" s="557">
        <v>2020</v>
      </c>
      <c r="N3" s="557">
        <v>2021</v>
      </c>
      <c r="O3" s="557">
        <v>2022</v>
      </c>
      <c r="P3" s="557">
        <v>2023</v>
      </c>
      <c r="Q3" s="557">
        <v>2024</v>
      </c>
      <c r="R3" s="557">
        <v>2025</v>
      </c>
      <c r="S3" s="557">
        <v>2026</v>
      </c>
      <c r="T3" s="557">
        <v>2027</v>
      </c>
      <c r="U3" s="557">
        <v>2028</v>
      </c>
      <c r="V3" s="557">
        <v>2029</v>
      </c>
      <c r="W3" s="557">
        <v>2030</v>
      </c>
      <c r="X3" s="557">
        <v>2031</v>
      </c>
      <c r="Y3" s="557">
        <v>2032</v>
      </c>
      <c r="Z3" s="557">
        <v>2033</v>
      </c>
      <c r="AA3" s="557">
        <v>2034</v>
      </c>
    </row>
    <row r="4" spans="2:28" x14ac:dyDescent="0.25">
      <c r="B4" s="539" t="s">
        <v>625</v>
      </c>
      <c r="C4" s="540" t="s">
        <v>626</v>
      </c>
      <c r="D4" s="540" t="s">
        <v>627</v>
      </c>
      <c r="E4" s="540" t="s">
        <v>617</v>
      </c>
      <c r="F4" s="541" t="s">
        <v>409</v>
      </c>
      <c r="K4" s="557" t="s">
        <v>679</v>
      </c>
      <c r="L4" s="558">
        <v>56389919.6184</v>
      </c>
      <c r="M4" s="558">
        <v>0</v>
      </c>
      <c r="N4" s="558">
        <v>0</v>
      </c>
      <c r="O4" s="558">
        <v>0</v>
      </c>
      <c r="P4" s="558">
        <v>0</v>
      </c>
      <c r="Q4" s="558">
        <v>0</v>
      </c>
      <c r="R4" s="558">
        <v>0</v>
      </c>
      <c r="S4" s="558">
        <v>0</v>
      </c>
      <c r="T4" s="558">
        <v>0</v>
      </c>
      <c r="U4" s="558">
        <v>0</v>
      </c>
      <c r="V4" s="558">
        <v>0</v>
      </c>
      <c r="W4" s="558">
        <v>0</v>
      </c>
      <c r="X4" s="558">
        <v>0</v>
      </c>
      <c r="Y4" s="558">
        <v>0</v>
      </c>
      <c r="Z4" s="558">
        <v>0</v>
      </c>
      <c r="AA4" s="558">
        <v>0</v>
      </c>
    </row>
    <row r="5" spans="2:28" x14ac:dyDescent="0.25">
      <c r="B5" s="539">
        <v>1</v>
      </c>
      <c r="C5" s="540">
        <v>1</v>
      </c>
      <c r="D5" s="540" t="s">
        <v>642</v>
      </c>
      <c r="E5" s="542">
        <v>6500000</v>
      </c>
      <c r="F5" s="543">
        <f>+E5*C5</f>
        <v>6500000</v>
      </c>
      <c r="K5" s="557" t="s">
        <v>680</v>
      </c>
      <c r="L5" s="558">
        <v>20723295</v>
      </c>
      <c r="M5" s="558">
        <v>0</v>
      </c>
      <c r="N5" s="558">
        <v>0</v>
      </c>
      <c r="O5" s="558">
        <v>0</v>
      </c>
      <c r="P5" s="558">
        <v>0</v>
      </c>
      <c r="Q5" s="558">
        <v>0</v>
      </c>
      <c r="R5" s="558">
        <v>0</v>
      </c>
      <c r="S5" s="558">
        <v>0</v>
      </c>
      <c r="T5" s="558">
        <v>0</v>
      </c>
      <c r="U5" s="558">
        <v>0</v>
      </c>
      <c r="V5" s="558">
        <v>0</v>
      </c>
      <c r="W5" s="558">
        <v>0</v>
      </c>
      <c r="X5" s="558">
        <v>0</v>
      </c>
      <c r="Y5" s="558">
        <v>0</v>
      </c>
      <c r="Z5" s="558">
        <v>0</v>
      </c>
      <c r="AA5" s="558">
        <v>0</v>
      </c>
    </row>
    <row r="6" spans="2:28" x14ac:dyDescent="0.25">
      <c r="B6" s="539">
        <v>2</v>
      </c>
      <c r="C6" s="540">
        <v>1</v>
      </c>
      <c r="D6" s="540" t="s">
        <v>667</v>
      </c>
      <c r="E6" s="542">
        <v>190000</v>
      </c>
      <c r="F6" s="543">
        <f>+E6*C6</f>
        <v>190000</v>
      </c>
      <c r="K6" s="557" t="s">
        <v>681</v>
      </c>
      <c r="L6" s="558">
        <f>+L4+L5</f>
        <v>77113214.618400007</v>
      </c>
      <c r="M6" s="558">
        <v>0</v>
      </c>
      <c r="N6" s="558">
        <v>0</v>
      </c>
      <c r="O6" s="558">
        <v>0</v>
      </c>
      <c r="P6" s="558">
        <v>0</v>
      </c>
      <c r="Q6" s="558">
        <v>0</v>
      </c>
      <c r="R6" s="558">
        <v>0</v>
      </c>
      <c r="S6" s="558">
        <v>0</v>
      </c>
      <c r="T6" s="558">
        <v>0</v>
      </c>
      <c r="U6" s="558">
        <v>0</v>
      </c>
      <c r="V6" s="558">
        <v>0</v>
      </c>
      <c r="W6" s="558">
        <v>0</v>
      </c>
      <c r="X6" s="558">
        <v>0</v>
      </c>
      <c r="Y6" s="558">
        <v>0</v>
      </c>
      <c r="Z6" s="558">
        <v>0</v>
      </c>
      <c r="AA6" s="558">
        <v>0</v>
      </c>
    </row>
    <row r="7" spans="2:28" ht="15.75" thickBot="1" x14ac:dyDescent="0.3">
      <c r="B7" s="961" t="s">
        <v>668</v>
      </c>
      <c r="C7" s="962"/>
      <c r="D7" s="962"/>
      <c r="E7" s="962"/>
      <c r="F7" s="549">
        <f>+SUM(F5:F6)</f>
        <v>6690000</v>
      </c>
      <c r="K7" s="557" t="s">
        <v>682</v>
      </c>
      <c r="L7" s="558">
        <v>0</v>
      </c>
      <c r="M7" s="558">
        <v>0</v>
      </c>
      <c r="N7" s="558">
        <v>0</v>
      </c>
      <c r="O7" s="558">
        <v>0</v>
      </c>
      <c r="P7" s="558">
        <v>0</v>
      </c>
      <c r="Q7" s="558">
        <v>0</v>
      </c>
      <c r="R7" s="558">
        <v>0</v>
      </c>
      <c r="S7" s="558">
        <v>0</v>
      </c>
      <c r="T7" s="558">
        <v>0</v>
      </c>
      <c r="U7" s="558">
        <v>0</v>
      </c>
      <c r="V7" s="558">
        <v>0</v>
      </c>
      <c r="W7" s="558">
        <v>0</v>
      </c>
      <c r="X7" s="558">
        <v>0</v>
      </c>
      <c r="Y7" s="558">
        <v>0</v>
      </c>
      <c r="Z7" s="558">
        <v>0</v>
      </c>
      <c r="AA7" s="558">
        <v>0</v>
      </c>
    </row>
    <row r="8" spans="2:28" x14ac:dyDescent="0.25">
      <c r="B8" s="963" t="s">
        <v>644</v>
      </c>
      <c r="C8" s="964"/>
      <c r="D8" s="964"/>
      <c r="E8" s="964"/>
      <c r="F8" s="965"/>
      <c r="K8" s="557" t="s">
        <v>683</v>
      </c>
      <c r="L8" s="558">
        <v>0</v>
      </c>
      <c r="M8" s="558">
        <v>3759327.97456</v>
      </c>
      <c r="N8" s="558">
        <v>3759327.97456</v>
      </c>
      <c r="O8" s="558">
        <v>3759327.97456</v>
      </c>
      <c r="P8" s="558">
        <v>3759327.97456</v>
      </c>
      <c r="Q8" s="558">
        <v>3759327.97456</v>
      </c>
      <c r="R8" s="558">
        <v>3759327.97456</v>
      </c>
      <c r="S8" s="558">
        <v>3759327.97456</v>
      </c>
      <c r="T8" s="558">
        <v>3759327.97456</v>
      </c>
      <c r="U8" s="558">
        <v>3759327.97456</v>
      </c>
      <c r="V8" s="558">
        <v>3759327.97456</v>
      </c>
      <c r="W8" s="558">
        <v>3759327.97456</v>
      </c>
      <c r="X8" s="558">
        <v>3759327.97456</v>
      </c>
      <c r="Y8" s="558">
        <v>3759327.97456</v>
      </c>
      <c r="Z8" s="558">
        <v>3759327.97456</v>
      </c>
      <c r="AA8" s="558">
        <v>3759327.97456</v>
      </c>
    </row>
    <row r="9" spans="2:28" x14ac:dyDescent="0.25">
      <c r="B9" s="539" t="s">
        <v>625</v>
      </c>
      <c r="C9" s="540" t="s">
        <v>626</v>
      </c>
      <c r="D9" s="540" t="s">
        <v>627</v>
      </c>
      <c r="E9" s="540" t="s">
        <v>628</v>
      </c>
      <c r="F9" s="541" t="s">
        <v>409</v>
      </c>
      <c r="K9" s="557" t="s">
        <v>684</v>
      </c>
      <c r="L9" s="558">
        <v>0</v>
      </c>
      <c r="M9" s="558">
        <v>36902857</v>
      </c>
      <c r="N9" s="558">
        <v>36902857</v>
      </c>
      <c r="O9" s="558">
        <v>36902857</v>
      </c>
      <c r="P9" s="558">
        <v>36902857</v>
      </c>
      <c r="Q9" s="558">
        <v>36902857</v>
      </c>
      <c r="R9" s="558">
        <v>36902857</v>
      </c>
      <c r="S9" s="558">
        <v>36902857</v>
      </c>
      <c r="T9" s="558">
        <v>36902857</v>
      </c>
      <c r="U9" s="558">
        <v>36902857</v>
      </c>
      <c r="V9" s="558">
        <v>36902857</v>
      </c>
      <c r="W9" s="558">
        <v>36902857</v>
      </c>
      <c r="X9" s="558">
        <v>36902857</v>
      </c>
      <c r="Y9" s="558">
        <v>36902857</v>
      </c>
      <c r="Z9" s="558">
        <v>36902857</v>
      </c>
      <c r="AA9" s="558">
        <v>36902857</v>
      </c>
    </row>
    <row r="10" spans="2:28" x14ac:dyDescent="0.25">
      <c r="B10" s="539">
        <v>1</v>
      </c>
      <c r="C10" s="540">
        <v>3</v>
      </c>
      <c r="D10" s="540" t="s">
        <v>635</v>
      </c>
      <c r="E10" s="542">
        <v>4000000</v>
      </c>
      <c r="F10" s="543">
        <f t="shared" ref="F10:F23" si="0">+C10*E10</f>
        <v>12000000</v>
      </c>
      <c r="K10" s="557" t="s">
        <v>689</v>
      </c>
      <c r="L10" s="558">
        <v>0</v>
      </c>
      <c r="M10" s="558">
        <v>88674676</v>
      </c>
      <c r="N10" s="558">
        <v>88674676</v>
      </c>
      <c r="O10" s="558">
        <v>88674676</v>
      </c>
      <c r="P10" s="558">
        <v>88674676</v>
      </c>
      <c r="Q10" s="558">
        <v>88674676</v>
      </c>
      <c r="R10" s="558">
        <v>88674676</v>
      </c>
      <c r="S10" s="558">
        <v>88674676</v>
      </c>
      <c r="T10" s="558">
        <v>88674676</v>
      </c>
      <c r="U10" s="558">
        <v>88674676</v>
      </c>
      <c r="V10" s="558">
        <v>88674676</v>
      </c>
      <c r="W10" s="558">
        <v>88674676</v>
      </c>
      <c r="X10" s="558">
        <v>88674676</v>
      </c>
      <c r="Y10" s="558">
        <v>88674676</v>
      </c>
      <c r="Z10" s="558">
        <v>88674676</v>
      </c>
      <c r="AA10" s="558">
        <v>88674676</v>
      </c>
    </row>
    <row r="11" spans="2:28" x14ac:dyDescent="0.25">
      <c r="B11" s="539">
        <v>2</v>
      </c>
      <c r="C11" s="540">
        <v>1</v>
      </c>
      <c r="D11" s="540" t="s">
        <v>636</v>
      </c>
      <c r="E11" s="542">
        <v>3000000</v>
      </c>
      <c r="F11" s="543">
        <f t="shared" si="0"/>
        <v>3000000</v>
      </c>
      <c r="K11" s="557" t="s">
        <v>685</v>
      </c>
      <c r="L11" s="558">
        <f>-(SUM(L4:L10))</f>
        <v>-154226429.23680001</v>
      </c>
      <c r="M11" s="558">
        <f>+M10-M9-M8</f>
        <v>48012491.02544</v>
      </c>
      <c r="N11" s="558">
        <f t="shared" ref="N11:AA11" si="1">+N10-N9-N8</f>
        <v>48012491.02544</v>
      </c>
      <c r="O11" s="558">
        <f t="shared" si="1"/>
        <v>48012491.02544</v>
      </c>
      <c r="P11" s="558">
        <f t="shared" si="1"/>
        <v>48012491.02544</v>
      </c>
      <c r="Q11" s="558">
        <f t="shared" si="1"/>
        <v>48012491.02544</v>
      </c>
      <c r="R11" s="558">
        <f t="shared" si="1"/>
        <v>48012491.02544</v>
      </c>
      <c r="S11" s="558">
        <f t="shared" si="1"/>
        <v>48012491.02544</v>
      </c>
      <c r="T11" s="558">
        <f t="shared" si="1"/>
        <v>48012491.02544</v>
      </c>
      <c r="U11" s="558">
        <f t="shared" si="1"/>
        <v>48012491.02544</v>
      </c>
      <c r="V11" s="558">
        <f t="shared" si="1"/>
        <v>48012491.02544</v>
      </c>
      <c r="W11" s="558">
        <f t="shared" si="1"/>
        <v>48012491.02544</v>
      </c>
      <c r="X11" s="558">
        <f t="shared" si="1"/>
        <v>48012491.02544</v>
      </c>
      <c r="Y11" s="558">
        <f t="shared" si="1"/>
        <v>48012491.02544</v>
      </c>
      <c r="Z11" s="558">
        <f t="shared" si="1"/>
        <v>48012491.02544</v>
      </c>
      <c r="AA11" s="558">
        <f t="shared" si="1"/>
        <v>48012491.02544</v>
      </c>
      <c r="AB11" s="555"/>
    </row>
    <row r="12" spans="2:28" x14ac:dyDescent="0.25">
      <c r="B12" s="539">
        <v>3</v>
      </c>
      <c r="C12" s="540">
        <v>1</v>
      </c>
      <c r="D12" s="540" t="s">
        <v>638</v>
      </c>
      <c r="E12" s="542">
        <v>500000</v>
      </c>
      <c r="F12" s="543">
        <f t="shared" si="0"/>
        <v>500000</v>
      </c>
    </row>
    <row r="13" spans="2:28" x14ac:dyDescent="0.25">
      <c r="B13" s="539">
        <v>4</v>
      </c>
      <c r="C13" s="540">
        <v>1</v>
      </c>
      <c r="D13" s="540" t="s">
        <v>639</v>
      </c>
      <c r="E13" s="542">
        <v>100000</v>
      </c>
      <c r="F13" s="543">
        <f t="shared" si="0"/>
        <v>100000</v>
      </c>
      <c r="K13" s="559" t="s">
        <v>688</v>
      </c>
      <c r="L13" s="560">
        <v>12</v>
      </c>
      <c r="M13" t="s">
        <v>6</v>
      </c>
    </row>
    <row r="14" spans="2:28" x14ac:dyDescent="0.25">
      <c r="B14" s="539">
        <v>5</v>
      </c>
      <c r="C14" s="540">
        <v>2600</v>
      </c>
      <c r="D14" s="540" t="s">
        <v>640</v>
      </c>
      <c r="E14" s="542">
        <v>2600</v>
      </c>
      <c r="F14" s="543">
        <f t="shared" si="0"/>
        <v>6760000</v>
      </c>
      <c r="K14" s="559" t="s">
        <v>687</v>
      </c>
      <c r="L14" s="562">
        <f>+NPV(L15,L10,M11:AA11)</f>
        <v>118125942.48452936</v>
      </c>
    </row>
    <row r="15" spans="2:28" x14ac:dyDescent="0.25">
      <c r="B15" s="539">
        <v>6</v>
      </c>
      <c r="C15" s="540">
        <v>13</v>
      </c>
      <c r="D15" s="540" t="s">
        <v>641</v>
      </c>
      <c r="E15" s="542">
        <v>80000</v>
      </c>
      <c r="F15" s="543">
        <f t="shared" si="0"/>
        <v>1040000</v>
      </c>
      <c r="K15" s="559" t="s">
        <v>686</v>
      </c>
      <c r="L15" s="561">
        <f>IRR(L11:AA11)</f>
        <v>0.30561014788939</v>
      </c>
      <c r="S15" s="536"/>
      <c r="T15" s="536"/>
      <c r="U15" s="536"/>
      <c r="V15" s="536"/>
      <c r="W15" s="536"/>
      <c r="X15" s="536"/>
    </row>
    <row r="16" spans="2:28" x14ac:dyDescent="0.25">
      <c r="B16" s="539">
        <v>7</v>
      </c>
      <c r="C16" s="540">
        <v>4</v>
      </c>
      <c r="D16" s="540" t="s">
        <v>629</v>
      </c>
      <c r="E16" s="542">
        <v>61880</v>
      </c>
      <c r="F16" s="543">
        <f t="shared" si="0"/>
        <v>247520</v>
      </c>
    </row>
    <row r="17" spans="2:24" x14ac:dyDescent="0.25">
      <c r="B17" s="539">
        <v>8</v>
      </c>
      <c r="C17" s="540">
        <v>9</v>
      </c>
      <c r="D17" s="540" t="s">
        <v>630</v>
      </c>
      <c r="E17" s="542">
        <v>32487</v>
      </c>
      <c r="F17" s="543">
        <f t="shared" si="0"/>
        <v>292383</v>
      </c>
    </row>
    <row r="18" spans="2:24" x14ac:dyDescent="0.25">
      <c r="B18" s="539">
        <v>9</v>
      </c>
      <c r="C18" s="540">
        <v>3</v>
      </c>
      <c r="D18" s="540" t="s">
        <v>631</v>
      </c>
      <c r="E18" s="542">
        <v>368900</v>
      </c>
      <c r="F18" s="543">
        <f t="shared" si="0"/>
        <v>1106700</v>
      </c>
    </row>
    <row r="19" spans="2:24" x14ac:dyDescent="0.25">
      <c r="B19" s="539">
        <v>10</v>
      </c>
      <c r="C19" s="540">
        <v>6</v>
      </c>
      <c r="D19" s="540" t="s">
        <v>632</v>
      </c>
      <c r="E19" s="542">
        <v>23205</v>
      </c>
      <c r="F19" s="543">
        <f t="shared" si="0"/>
        <v>139230</v>
      </c>
    </row>
    <row r="20" spans="2:24" x14ac:dyDescent="0.25">
      <c r="B20" s="539">
        <v>11</v>
      </c>
      <c r="C20" s="540">
        <v>6</v>
      </c>
      <c r="D20" s="540" t="s">
        <v>633</v>
      </c>
      <c r="E20" s="542">
        <v>29750</v>
      </c>
      <c r="F20" s="543">
        <f t="shared" si="0"/>
        <v>178500</v>
      </c>
    </row>
    <row r="21" spans="2:24" x14ac:dyDescent="0.25">
      <c r="B21" s="539">
        <v>12</v>
      </c>
      <c r="C21" s="540">
        <v>6</v>
      </c>
      <c r="D21" s="540" t="s">
        <v>634</v>
      </c>
      <c r="E21" s="542">
        <v>2618</v>
      </c>
      <c r="F21" s="543">
        <f t="shared" si="0"/>
        <v>15708</v>
      </c>
    </row>
    <row r="22" spans="2:24" x14ac:dyDescent="0.25">
      <c r="B22" s="539">
        <v>13</v>
      </c>
      <c r="C22" s="540">
        <v>1</v>
      </c>
      <c r="D22" s="540" t="s">
        <v>662</v>
      </c>
      <c r="E22" s="542">
        <v>400000</v>
      </c>
      <c r="F22" s="543">
        <f t="shared" si="0"/>
        <v>400000</v>
      </c>
      <c r="S22" t="s">
        <v>688</v>
      </c>
      <c r="T22" s="563">
        <v>0.12</v>
      </c>
      <c r="U22" t="s">
        <v>687</v>
      </c>
      <c r="V22" s="535">
        <v>118125942.48452936</v>
      </c>
      <c r="W22" t="s">
        <v>686</v>
      </c>
      <c r="X22" s="563">
        <v>0.30561014788939</v>
      </c>
    </row>
    <row r="23" spans="2:24" x14ac:dyDescent="0.25">
      <c r="B23" s="539">
        <v>14</v>
      </c>
      <c r="C23" s="540">
        <v>1</v>
      </c>
      <c r="D23" s="540" t="s">
        <v>663</v>
      </c>
      <c r="E23" s="542">
        <v>600000</v>
      </c>
      <c r="F23" s="543">
        <f t="shared" si="0"/>
        <v>600000</v>
      </c>
    </row>
    <row r="24" spans="2:24" ht="15.75" thickBot="1" x14ac:dyDescent="0.3">
      <c r="B24" s="961" t="s">
        <v>637</v>
      </c>
      <c r="C24" s="962"/>
      <c r="D24" s="962"/>
      <c r="E24" s="962"/>
      <c r="F24" s="550">
        <f>+SUM(F10:F23)</f>
        <v>26380041</v>
      </c>
    </row>
    <row r="25" spans="2:24" x14ac:dyDescent="0.25">
      <c r="B25" s="963" t="s">
        <v>648</v>
      </c>
      <c r="C25" s="964"/>
      <c r="D25" s="964"/>
      <c r="E25" s="964"/>
      <c r="F25" s="965"/>
      <c r="O25">
        <v>28.5</v>
      </c>
      <c r="S25" s="903"/>
      <c r="T25" s="903"/>
    </row>
    <row r="26" spans="2:24" x14ac:dyDescent="0.25">
      <c r="B26" s="539" t="s">
        <v>625</v>
      </c>
      <c r="C26" s="540" t="s">
        <v>626</v>
      </c>
      <c r="D26" s="540" t="s">
        <v>627</v>
      </c>
      <c r="E26" s="540" t="s">
        <v>628</v>
      </c>
      <c r="F26" s="541" t="s">
        <v>409</v>
      </c>
    </row>
    <row r="27" spans="2:24" x14ac:dyDescent="0.25">
      <c r="B27" s="539">
        <v>1</v>
      </c>
      <c r="C27" s="540">
        <v>596</v>
      </c>
      <c r="D27" s="540" t="s">
        <v>649</v>
      </c>
      <c r="E27" s="542">
        <v>2200</v>
      </c>
      <c r="F27" s="543">
        <f t="shared" ref="F27:F41" si="2">+E27*C27</f>
        <v>1311200</v>
      </c>
      <c r="T27" s="534"/>
    </row>
    <row r="28" spans="2:24" x14ac:dyDescent="0.25">
      <c r="B28" s="539">
        <v>2</v>
      </c>
      <c r="C28" s="540">
        <v>5</v>
      </c>
      <c r="D28" s="540" t="s">
        <v>650</v>
      </c>
      <c r="E28" s="542">
        <v>21800</v>
      </c>
      <c r="F28" s="543">
        <f t="shared" si="2"/>
        <v>109000</v>
      </c>
      <c r="T28" s="534"/>
    </row>
    <row r="29" spans="2:24" x14ac:dyDescent="0.25">
      <c r="B29" s="539">
        <v>3</v>
      </c>
      <c r="C29" s="540">
        <v>2</v>
      </c>
      <c r="D29" s="540" t="s">
        <v>651</v>
      </c>
      <c r="E29" s="542">
        <v>60000</v>
      </c>
      <c r="F29" s="543">
        <f t="shared" si="2"/>
        <v>120000</v>
      </c>
      <c r="K29" s="556">
        <v>3702857</v>
      </c>
      <c r="T29" s="534"/>
    </row>
    <row r="30" spans="2:24" x14ac:dyDescent="0.25">
      <c r="B30" s="539">
        <v>4</v>
      </c>
      <c r="C30" s="540">
        <v>1</v>
      </c>
      <c r="D30" s="540" t="s">
        <v>652</v>
      </c>
      <c r="E30" s="542">
        <v>770100</v>
      </c>
      <c r="F30" s="543">
        <f t="shared" si="2"/>
        <v>770100</v>
      </c>
      <c r="K30" s="556">
        <v>30800000</v>
      </c>
      <c r="T30" s="534"/>
    </row>
    <row r="31" spans="2:24" x14ac:dyDescent="0.25">
      <c r="B31" s="539">
        <v>5</v>
      </c>
      <c r="C31" s="540">
        <v>24</v>
      </c>
      <c r="D31" s="540" t="s">
        <v>653</v>
      </c>
      <c r="E31" s="542">
        <v>47850</v>
      </c>
      <c r="F31" s="543">
        <f t="shared" si="2"/>
        <v>1148400</v>
      </c>
      <c r="I31">
        <f>+C14/200</f>
        <v>13</v>
      </c>
      <c r="K31" s="555">
        <v>2400000</v>
      </c>
      <c r="T31" s="534"/>
    </row>
    <row r="32" spans="2:24" x14ac:dyDescent="0.25">
      <c r="B32" s="539">
        <v>6</v>
      </c>
      <c r="C32" s="540">
        <v>10</v>
      </c>
      <c r="D32" s="540" t="s">
        <v>654</v>
      </c>
      <c r="E32" s="542">
        <v>35000</v>
      </c>
      <c r="F32" s="543">
        <f t="shared" si="2"/>
        <v>350000</v>
      </c>
      <c r="K32" s="555">
        <f>+SUM(K29:K31)</f>
        <v>36902857</v>
      </c>
      <c r="T32" s="534"/>
    </row>
    <row r="33" spans="2:20" x14ac:dyDescent="0.25">
      <c r="B33" s="539">
        <v>7</v>
      </c>
      <c r="C33" s="540">
        <v>44</v>
      </c>
      <c r="D33" s="540" t="s">
        <v>655</v>
      </c>
      <c r="E33" s="542">
        <v>11900</v>
      </c>
      <c r="F33" s="543">
        <f t="shared" si="2"/>
        <v>523600</v>
      </c>
      <c r="T33" s="534"/>
    </row>
    <row r="34" spans="2:20" x14ac:dyDescent="0.25">
      <c r="B34" s="539">
        <v>8</v>
      </c>
      <c r="C34" s="540">
        <v>1</v>
      </c>
      <c r="D34" s="540" t="s">
        <v>656</v>
      </c>
      <c r="E34" s="542">
        <v>909900</v>
      </c>
      <c r="F34" s="543">
        <f t="shared" si="2"/>
        <v>909900</v>
      </c>
      <c r="T34" s="534"/>
    </row>
    <row r="35" spans="2:20" x14ac:dyDescent="0.25">
      <c r="B35" s="539">
        <v>9</v>
      </c>
      <c r="C35" s="540">
        <v>8</v>
      </c>
      <c r="D35" s="540" t="s">
        <v>659</v>
      </c>
      <c r="E35" s="542">
        <v>92000</v>
      </c>
      <c r="F35" s="543">
        <f t="shared" si="2"/>
        <v>736000</v>
      </c>
      <c r="T35" s="534"/>
    </row>
    <row r="36" spans="2:20" x14ac:dyDescent="0.25">
      <c r="B36" s="539">
        <v>10</v>
      </c>
      <c r="C36" s="540">
        <v>27</v>
      </c>
      <c r="D36" s="540" t="s">
        <v>657</v>
      </c>
      <c r="E36" s="542">
        <v>23850</v>
      </c>
      <c r="F36" s="543">
        <f t="shared" si="2"/>
        <v>643950</v>
      </c>
      <c r="T36" s="534"/>
    </row>
    <row r="37" spans="2:20" x14ac:dyDescent="0.25">
      <c r="B37" s="539">
        <v>11</v>
      </c>
      <c r="C37" s="540">
        <v>32</v>
      </c>
      <c r="D37" s="540" t="s">
        <v>658</v>
      </c>
      <c r="E37" s="538">
        <v>31950</v>
      </c>
      <c r="F37" s="543">
        <f t="shared" si="2"/>
        <v>1022400</v>
      </c>
      <c r="T37" s="534"/>
    </row>
    <row r="38" spans="2:20" x14ac:dyDescent="0.25">
      <c r="B38" s="539">
        <v>12</v>
      </c>
      <c r="C38" s="540">
        <v>15</v>
      </c>
      <c r="D38" s="540" t="s">
        <v>660</v>
      </c>
      <c r="E38" s="538">
        <v>95000</v>
      </c>
      <c r="F38" s="543">
        <f t="shared" si="2"/>
        <v>1425000</v>
      </c>
      <c r="M38">
        <f>195-333</f>
        <v>-138</v>
      </c>
    </row>
    <row r="39" spans="2:20" x14ac:dyDescent="0.25">
      <c r="B39" s="539">
        <v>13</v>
      </c>
      <c r="C39" s="540">
        <v>4</v>
      </c>
      <c r="D39" s="540" t="s">
        <v>664</v>
      </c>
      <c r="E39" s="538">
        <v>208000</v>
      </c>
      <c r="F39" s="543">
        <f t="shared" si="2"/>
        <v>832000</v>
      </c>
      <c r="G39" s="551"/>
    </row>
    <row r="40" spans="2:20" x14ac:dyDescent="0.25">
      <c r="B40" s="539">
        <v>14</v>
      </c>
      <c r="C40" s="540">
        <v>5</v>
      </c>
      <c r="D40" s="540" t="s">
        <v>665</v>
      </c>
      <c r="E40" s="538">
        <v>21000</v>
      </c>
      <c r="F40" s="543">
        <f t="shared" si="2"/>
        <v>105000</v>
      </c>
    </row>
    <row r="41" spans="2:20" x14ac:dyDescent="0.25">
      <c r="B41" s="539">
        <v>15</v>
      </c>
      <c r="C41" s="540">
        <v>10</v>
      </c>
      <c r="D41" s="540" t="s">
        <v>669</v>
      </c>
      <c r="E41" s="538">
        <v>15000</v>
      </c>
      <c r="F41" s="543">
        <f t="shared" si="2"/>
        <v>150000</v>
      </c>
    </row>
    <row r="42" spans="2:20" x14ac:dyDescent="0.25">
      <c r="B42" s="969" t="s">
        <v>666</v>
      </c>
      <c r="C42" s="960"/>
      <c r="D42" s="960"/>
      <c r="E42" s="960"/>
      <c r="F42" s="544">
        <f>+SUM(F27:F41)</f>
        <v>10156550</v>
      </c>
      <c r="H42" s="536"/>
    </row>
    <row r="43" spans="2:20" ht="15.75" thickBot="1" x14ac:dyDescent="0.3">
      <c r="B43" s="961" t="s">
        <v>675</v>
      </c>
      <c r="C43" s="962"/>
      <c r="D43" s="962"/>
      <c r="E43" s="962"/>
      <c r="F43" s="549">
        <f>+SUM(F7,F24,F42)</f>
        <v>43226591</v>
      </c>
      <c r="H43" s="536"/>
    </row>
    <row r="44" spans="2:20" x14ac:dyDescent="0.25">
      <c r="B44" s="963" t="s">
        <v>647</v>
      </c>
      <c r="C44" s="964"/>
      <c r="D44" s="964"/>
      <c r="E44" s="964"/>
      <c r="F44" s="965"/>
    </row>
    <row r="45" spans="2:20" x14ac:dyDescent="0.25">
      <c r="B45" s="539" t="s">
        <v>619</v>
      </c>
      <c r="C45" s="540" t="s">
        <v>616</v>
      </c>
      <c r="D45" s="540" t="s">
        <v>620</v>
      </c>
      <c r="E45" s="540" t="s">
        <v>617</v>
      </c>
      <c r="F45" s="541" t="s">
        <v>618</v>
      </c>
    </row>
    <row r="46" spans="2:20" x14ac:dyDescent="0.25">
      <c r="B46" s="539">
        <v>1</v>
      </c>
      <c r="C46" s="540">
        <v>1</v>
      </c>
      <c r="D46" s="540" t="s">
        <v>621</v>
      </c>
      <c r="E46" s="545">
        <v>2829696</v>
      </c>
      <c r="F46" s="546">
        <f>+E46*C46</f>
        <v>2829696</v>
      </c>
    </row>
    <row r="47" spans="2:20" x14ac:dyDescent="0.25">
      <c r="B47" s="539">
        <v>2</v>
      </c>
      <c r="C47" s="540">
        <v>1</v>
      </c>
      <c r="D47" s="540" t="s">
        <v>646</v>
      </c>
      <c r="E47" s="545">
        <v>1886400</v>
      </c>
      <c r="F47" s="546">
        <f>+E47*C47</f>
        <v>1886400</v>
      </c>
    </row>
    <row r="48" spans="2:20" x14ac:dyDescent="0.25">
      <c r="B48" s="539">
        <v>3</v>
      </c>
      <c r="C48" s="540">
        <v>1</v>
      </c>
      <c r="D48" s="540" t="s">
        <v>661</v>
      </c>
      <c r="E48" s="545">
        <f>828116*1.62</f>
        <v>1341547.9200000002</v>
      </c>
      <c r="F48" s="546">
        <f>+E48*C48</f>
        <v>1341547.9200000002</v>
      </c>
    </row>
    <row r="49" spans="1:22" ht="15.75" thickBot="1" x14ac:dyDescent="0.3">
      <c r="B49" s="961" t="s">
        <v>645</v>
      </c>
      <c r="C49" s="962"/>
      <c r="D49" s="962"/>
      <c r="E49" s="962"/>
      <c r="F49" s="548">
        <f>+SUM(F46:F48)</f>
        <v>6057643.9199999999</v>
      </c>
    </row>
    <row r="50" spans="1:22" x14ac:dyDescent="0.25">
      <c r="B50" s="969" t="s">
        <v>670</v>
      </c>
      <c r="C50" s="960"/>
      <c r="D50" s="960"/>
      <c r="E50" s="960"/>
      <c r="F50" s="547">
        <f>+SUM(F7+F24+F42+F49)</f>
        <v>49284234.920000002</v>
      </c>
    </row>
    <row r="51" spans="1:22" x14ac:dyDescent="0.25">
      <c r="B51" s="969" t="s">
        <v>671</v>
      </c>
      <c r="C51" s="960"/>
      <c r="D51" s="960"/>
      <c r="E51" s="960"/>
      <c r="F51" s="547">
        <v>6000000</v>
      </c>
    </row>
    <row r="52" spans="1:22" x14ac:dyDescent="0.25">
      <c r="B52" s="969" t="s">
        <v>672</v>
      </c>
      <c r="C52" s="960"/>
      <c r="D52" s="960"/>
      <c r="E52" s="960"/>
      <c r="F52" s="547">
        <f>2%*(F50+F51)</f>
        <v>1105684.6984000001</v>
      </c>
    </row>
    <row r="53" spans="1:22" ht="15.75" thickBot="1" x14ac:dyDescent="0.3">
      <c r="B53" s="961" t="s">
        <v>673</v>
      </c>
      <c r="C53" s="962"/>
      <c r="D53" s="962"/>
      <c r="E53" s="962"/>
      <c r="F53" s="548">
        <f>+SUM(F50:F52)</f>
        <v>56389919.6184</v>
      </c>
    </row>
    <row r="56" spans="1:22" x14ac:dyDescent="0.25">
      <c r="B56" s="552" t="s">
        <v>676</v>
      </c>
      <c r="C56" s="553" t="s">
        <v>677</v>
      </c>
    </row>
    <row r="57" spans="1:22" x14ac:dyDescent="0.25">
      <c r="A57" s="537">
        <f>+F53</f>
        <v>56389919.6184</v>
      </c>
      <c r="B57" s="552">
        <v>0</v>
      </c>
      <c r="C57" s="554">
        <f>+A57</f>
        <v>56389919.6184</v>
      </c>
    </row>
    <row r="58" spans="1:22" x14ac:dyDescent="0.25">
      <c r="A58" s="535">
        <f>+A57/15</f>
        <v>3759327.97456</v>
      </c>
      <c r="B58" s="552">
        <v>1</v>
      </c>
      <c r="C58" s="554">
        <f t="shared" ref="C58:C72" si="3">+C57-$A$58</f>
        <v>52630591.64384</v>
      </c>
      <c r="R58" s="536"/>
      <c r="S58" s="536"/>
      <c r="T58" s="536"/>
      <c r="U58" s="536"/>
      <c r="V58" s="536"/>
    </row>
    <row r="59" spans="1:22" x14ac:dyDescent="0.25">
      <c r="A59" s="535"/>
      <c r="B59" s="552">
        <v>2</v>
      </c>
      <c r="C59" s="554">
        <f t="shared" si="3"/>
        <v>48871263.66928</v>
      </c>
      <c r="R59" s="536"/>
      <c r="S59" s="536"/>
      <c r="T59" s="536"/>
      <c r="U59" s="536"/>
      <c r="V59" s="536"/>
    </row>
    <row r="60" spans="1:22" x14ac:dyDescent="0.25">
      <c r="B60" s="552">
        <v>3</v>
      </c>
      <c r="C60" s="554">
        <f t="shared" si="3"/>
        <v>45111935.69472</v>
      </c>
      <c r="R60" s="536"/>
      <c r="S60" s="536"/>
      <c r="T60" s="536"/>
      <c r="U60" s="536"/>
      <c r="V60" s="536"/>
    </row>
    <row r="61" spans="1:22" x14ac:dyDescent="0.25">
      <c r="B61" s="552">
        <v>4</v>
      </c>
      <c r="C61" s="554">
        <f t="shared" si="3"/>
        <v>41352607.72016</v>
      </c>
      <c r="D61" s="533"/>
      <c r="E61" s="533"/>
      <c r="R61" s="536"/>
      <c r="S61" s="536"/>
      <c r="T61" s="536"/>
      <c r="U61" s="536"/>
      <c r="V61" s="536"/>
    </row>
    <row r="62" spans="1:22" x14ac:dyDescent="0.25">
      <c r="B62" s="552">
        <v>5</v>
      </c>
      <c r="C62" s="554">
        <f t="shared" si="3"/>
        <v>37593279.7456</v>
      </c>
      <c r="R62" s="536"/>
      <c r="S62" s="536"/>
      <c r="T62" s="536"/>
      <c r="U62" s="536"/>
      <c r="V62" s="536"/>
    </row>
    <row r="63" spans="1:22" x14ac:dyDescent="0.25">
      <c r="B63" s="552">
        <v>6</v>
      </c>
      <c r="C63" s="554">
        <f t="shared" si="3"/>
        <v>33833951.77104</v>
      </c>
      <c r="R63" s="536"/>
      <c r="S63" s="536"/>
      <c r="T63" s="536"/>
      <c r="U63" s="536"/>
      <c r="V63" s="536"/>
    </row>
    <row r="64" spans="1:22" x14ac:dyDescent="0.25">
      <c r="B64" s="552">
        <v>7</v>
      </c>
      <c r="C64" s="554">
        <f t="shared" si="3"/>
        <v>30074623.79648</v>
      </c>
      <c r="R64" s="536"/>
      <c r="S64" s="536"/>
      <c r="T64" s="536"/>
      <c r="U64" s="536"/>
      <c r="V64" s="536"/>
    </row>
    <row r="65" spans="2:22" x14ac:dyDescent="0.25">
      <c r="B65" s="552">
        <v>8</v>
      </c>
      <c r="C65" s="554">
        <f t="shared" si="3"/>
        <v>26315295.82192</v>
      </c>
      <c r="R65" s="536"/>
      <c r="S65" s="536"/>
      <c r="T65" s="536"/>
      <c r="U65" s="536"/>
      <c r="V65" s="536"/>
    </row>
    <row r="66" spans="2:22" x14ac:dyDescent="0.25">
      <c r="B66" s="552">
        <v>9</v>
      </c>
      <c r="C66" s="554">
        <f t="shared" si="3"/>
        <v>22555967.84736</v>
      </c>
      <c r="R66" s="536"/>
      <c r="S66" s="536"/>
      <c r="T66" s="536"/>
      <c r="U66" s="536"/>
      <c r="V66" s="536"/>
    </row>
    <row r="67" spans="2:22" x14ac:dyDescent="0.25">
      <c r="B67" s="552">
        <v>10</v>
      </c>
      <c r="C67" s="554">
        <f t="shared" si="3"/>
        <v>18796639.8728</v>
      </c>
      <c r="R67" s="536"/>
      <c r="S67" s="536"/>
      <c r="T67" s="536"/>
      <c r="U67" s="536"/>
      <c r="V67" s="536"/>
    </row>
    <row r="68" spans="2:22" x14ac:dyDescent="0.25">
      <c r="B68" s="552">
        <v>11</v>
      </c>
      <c r="C68" s="554">
        <f t="shared" si="3"/>
        <v>15037311.89824</v>
      </c>
      <c r="R68" s="536"/>
      <c r="S68" s="536"/>
      <c r="T68" s="536"/>
      <c r="U68" s="536"/>
      <c r="V68" s="536"/>
    </row>
    <row r="69" spans="2:22" x14ac:dyDescent="0.25">
      <c r="B69" s="552">
        <v>12</v>
      </c>
      <c r="C69" s="554">
        <f t="shared" si="3"/>
        <v>11277983.92368</v>
      </c>
      <c r="R69" s="536"/>
      <c r="S69" s="536"/>
      <c r="T69" s="536"/>
      <c r="U69" s="536"/>
      <c r="V69" s="536"/>
    </row>
    <row r="70" spans="2:22" x14ac:dyDescent="0.25">
      <c r="B70" s="552">
        <v>13</v>
      </c>
      <c r="C70" s="554">
        <f t="shared" si="3"/>
        <v>7518655.94912</v>
      </c>
      <c r="R70" s="536"/>
      <c r="S70" s="536"/>
      <c r="T70" s="536"/>
      <c r="U70" s="536"/>
      <c r="V70" s="536"/>
    </row>
    <row r="71" spans="2:22" x14ac:dyDescent="0.25">
      <c r="B71" s="552">
        <v>14</v>
      </c>
      <c r="C71" s="554">
        <f t="shared" si="3"/>
        <v>3759327.97456</v>
      </c>
      <c r="R71" s="536"/>
      <c r="S71" s="536"/>
      <c r="T71" s="536"/>
      <c r="U71" s="536"/>
      <c r="V71" s="536"/>
    </row>
    <row r="72" spans="2:22" x14ac:dyDescent="0.25">
      <c r="B72" s="552">
        <v>15</v>
      </c>
      <c r="C72" s="554">
        <f t="shared" si="3"/>
        <v>0</v>
      </c>
      <c r="R72" s="536"/>
      <c r="S72" s="536"/>
      <c r="T72" s="536"/>
      <c r="U72" s="536"/>
      <c r="V72" s="536"/>
    </row>
    <row r="73" spans="2:22" x14ac:dyDescent="0.25">
      <c r="R73" s="536"/>
      <c r="S73" s="536"/>
      <c r="T73" s="536"/>
      <c r="U73" s="536"/>
      <c r="V73" s="536"/>
    </row>
    <row r="74" spans="2:22" x14ac:dyDescent="0.25">
      <c r="B74" s="903"/>
      <c r="C74" s="903"/>
      <c r="D74" s="903"/>
      <c r="E74" s="903"/>
    </row>
    <row r="75" spans="2:22" x14ac:dyDescent="0.25">
      <c r="K75" s="536"/>
      <c r="L75" s="536"/>
      <c r="M75" s="536"/>
      <c r="N75" s="536"/>
      <c r="O75" s="536"/>
      <c r="P75" s="536"/>
      <c r="Q75" s="536"/>
    </row>
    <row r="76" spans="2:22" x14ac:dyDescent="0.25">
      <c r="K76" s="536"/>
      <c r="L76" s="536"/>
      <c r="M76" s="536"/>
      <c r="N76" s="536"/>
      <c r="O76" s="536"/>
      <c r="P76" s="536"/>
      <c r="Q76" s="536"/>
    </row>
    <row r="77" spans="2:22" x14ac:dyDescent="0.25">
      <c r="K77" s="536"/>
      <c r="L77" s="536"/>
      <c r="M77" s="536"/>
      <c r="N77" s="536"/>
      <c r="O77" s="536"/>
      <c r="P77" s="536"/>
      <c r="Q77" s="536"/>
    </row>
    <row r="78" spans="2:22" x14ac:dyDescent="0.25">
      <c r="K78" s="536"/>
      <c r="L78" s="536"/>
      <c r="M78" s="536"/>
      <c r="N78" s="536"/>
      <c r="O78" s="536"/>
      <c r="P78" s="536"/>
      <c r="Q78" s="536"/>
    </row>
    <row r="79" spans="2:22" x14ac:dyDescent="0.25">
      <c r="K79" s="536"/>
      <c r="L79" s="536"/>
      <c r="M79" s="536"/>
      <c r="N79" s="536"/>
      <c r="O79" s="536"/>
      <c r="P79" s="536"/>
      <c r="Q79" s="536"/>
    </row>
    <row r="80" spans="2:22" x14ac:dyDescent="0.25">
      <c r="K80" s="536"/>
      <c r="L80" s="536"/>
      <c r="M80" s="536"/>
      <c r="N80" s="536"/>
      <c r="O80" s="536"/>
      <c r="P80" s="536"/>
      <c r="Q80" s="536"/>
    </row>
    <row r="81" spans="4:17" x14ac:dyDescent="0.25">
      <c r="K81" s="536"/>
      <c r="L81" s="536"/>
      <c r="M81" s="536"/>
      <c r="N81" s="536"/>
      <c r="O81" s="536"/>
      <c r="P81" s="536"/>
      <c r="Q81" s="536"/>
    </row>
    <row r="82" spans="4:17" x14ac:dyDescent="0.25">
      <c r="K82" s="536"/>
      <c r="L82" s="536"/>
      <c r="M82" s="536"/>
      <c r="N82" s="536"/>
      <c r="O82" s="536"/>
      <c r="P82" s="536"/>
      <c r="Q82" s="536"/>
    </row>
    <row r="83" spans="4:17" x14ac:dyDescent="0.25">
      <c r="K83" s="536"/>
      <c r="L83" s="536"/>
      <c r="M83" s="536"/>
      <c r="N83" s="536"/>
      <c r="O83" s="536"/>
      <c r="P83" s="536"/>
      <c r="Q83" s="536"/>
    </row>
    <row r="86" spans="4:17" x14ac:dyDescent="0.25">
      <c r="D86" t="s">
        <v>623</v>
      </c>
      <c r="E86" t="s">
        <v>624</v>
      </c>
    </row>
    <row r="87" spans="4:17" x14ac:dyDescent="0.25">
      <c r="D87">
        <f>60/1000</f>
        <v>0.06</v>
      </c>
    </row>
    <row r="88" spans="4:17" x14ac:dyDescent="0.25">
      <c r="D88">
        <f>120/1000</f>
        <v>0.12</v>
      </c>
    </row>
    <row r="89" spans="4:17" x14ac:dyDescent="0.25">
      <c r="D89">
        <f>240/1000</f>
        <v>0.24</v>
      </c>
    </row>
    <row r="90" spans="4:17" x14ac:dyDescent="0.25">
      <c r="D90">
        <f>+D87*D88*D89</f>
        <v>1.7279999999999999E-3</v>
      </c>
      <c r="H90" t="s">
        <v>385</v>
      </c>
    </row>
    <row r="91" spans="4:17" x14ac:dyDescent="0.25">
      <c r="D91" t="s">
        <v>622</v>
      </c>
    </row>
    <row r="93" spans="4:17" x14ac:dyDescent="0.25">
      <c r="D93">
        <v>4.4499170559319996</v>
      </c>
    </row>
    <row r="95" spans="4:17" x14ac:dyDescent="0.25">
      <c r="D95">
        <f>+D93/D90</f>
        <v>2575.1834814421295</v>
      </c>
    </row>
  </sheetData>
  <mergeCells count="17">
    <mergeCell ref="B43:E43"/>
    <mergeCell ref="B74:E74"/>
    <mergeCell ref="B25:F25"/>
    <mergeCell ref="B44:F44"/>
    <mergeCell ref="B49:E49"/>
    <mergeCell ref="B42:E42"/>
    <mergeCell ref="B50:E50"/>
    <mergeCell ref="B51:E51"/>
    <mergeCell ref="B52:E52"/>
    <mergeCell ref="B53:E53"/>
    <mergeCell ref="K2:K3"/>
    <mergeCell ref="S25:T25"/>
    <mergeCell ref="B24:E24"/>
    <mergeCell ref="B8:F8"/>
    <mergeCell ref="B7:E7"/>
    <mergeCell ref="B2:F2"/>
    <mergeCell ref="B3:F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D_Inicial</vt:lpstr>
      <vt:lpstr>D_Energetico_A</vt:lpstr>
      <vt:lpstr>Hoja1</vt:lpstr>
      <vt:lpstr>Diseño Economico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2020-01-16T21:06:56Z</dcterms:modified>
</cp:coreProperties>
</file>