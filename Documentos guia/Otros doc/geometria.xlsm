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filterPrivacy="1" codeName="ThisWorkbook"/>
  <xr:revisionPtr revIDLastSave="0" documentId="13_ncr:1_{3C3FCC8D-E6F9-45F9-96BC-A80B5AFD5BE7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Hoja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" i="1" l="1"/>
  <c r="S39" i="1" l="1"/>
  <c r="S38" i="1"/>
  <c r="S30" i="1"/>
  <c r="R31" i="1"/>
  <c r="R32" i="1" l="1"/>
  <c r="S32" i="1" s="1"/>
  <c r="S31" i="1"/>
  <c r="F19" i="1"/>
  <c r="R33" i="1" l="1"/>
  <c r="S33" i="1" s="1"/>
  <c r="M8" i="1"/>
  <c r="M10" i="1"/>
  <c r="T33" i="1" l="1"/>
  <c r="T34" i="1" s="1"/>
  <c r="S34" i="1"/>
  <c r="M9" i="1"/>
  <c r="C3" i="1"/>
  <c r="F4" i="1"/>
  <c r="E4" i="1"/>
  <c r="M12" i="1"/>
  <c r="M11" i="1"/>
  <c r="T35" i="1" l="1"/>
  <c r="U34" i="1"/>
  <c r="G6" i="1"/>
  <c r="C75" i="1"/>
  <c r="C69" i="1"/>
  <c r="C58" i="1"/>
  <c r="C59" i="1" s="1"/>
  <c r="C53" i="1"/>
  <c r="C43" i="1"/>
  <c r="C42" i="1"/>
  <c r="C48" i="1" s="1"/>
  <c r="C37" i="1"/>
  <c r="C44" i="1" s="1"/>
  <c r="F26" i="1"/>
  <c r="F29" i="1" s="1"/>
  <c r="F30" i="1" s="1"/>
  <c r="C24" i="1"/>
  <c r="I21" i="1" s="1"/>
  <c r="I23" i="1"/>
  <c r="I24" i="1" s="1"/>
  <c r="I25" i="1" s="1"/>
  <c r="I26" i="1" s="1"/>
  <c r="C8" i="1"/>
  <c r="G7" i="1" s="1"/>
  <c r="G8" i="1" s="1"/>
  <c r="C5" i="1"/>
  <c r="C16" i="1" s="1"/>
  <c r="C10" i="1" l="1"/>
  <c r="G9" i="1"/>
  <c r="C12" i="1" s="1"/>
  <c r="C46" i="1"/>
  <c r="C61" i="1"/>
  <c r="C60" i="1"/>
  <c r="C64" i="1" s="1"/>
  <c r="I20" i="1"/>
  <c r="I22" i="1" s="1"/>
  <c r="I27" i="1" s="1"/>
  <c r="C29" i="1" s="1"/>
  <c r="F21" i="1"/>
  <c r="F23" i="1" s="1"/>
  <c r="F24" i="1" s="1"/>
  <c r="F20" i="1"/>
  <c r="F27" i="1"/>
  <c r="F28" i="1" s="1"/>
  <c r="E75" i="1"/>
  <c r="C76" i="1"/>
  <c r="C80" i="1" s="1"/>
  <c r="C77" i="1"/>
  <c r="C28" i="1" l="1"/>
  <c r="C30" i="1"/>
  <c r="F22" i="1"/>
  <c r="F25" i="1" s="1"/>
  <c r="C27" i="1" s="1"/>
  <c r="C32" i="1" s="1"/>
  <c r="C62" i="1"/>
  <c r="C63" i="1" s="1"/>
  <c r="C78" i="1"/>
  <c r="C79" i="1" s="1"/>
  <c r="C14" i="1"/>
</calcChain>
</file>

<file path=xl/sharedStrings.xml><?xml version="1.0" encoding="utf-8"?>
<sst xmlns="http://schemas.openxmlformats.org/spreadsheetml/2006/main" count="188" uniqueCount="73">
  <si>
    <t>Semiesferica  Concentradora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</si>
  <si>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</si>
  <si>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m</t>
  </si>
  <si>
    <t xml:space="preserve">A </t>
  </si>
  <si>
    <t>R</t>
  </si>
  <si>
    <t>A1</t>
  </si>
  <si>
    <t>h fa</t>
  </si>
  <si>
    <t>x</t>
  </si>
  <si>
    <r>
      <t xml:space="preserve">Ang  </t>
    </r>
    <r>
      <rPr>
        <sz val="12"/>
        <color theme="1"/>
        <rFont val="Calibri"/>
        <family val="2"/>
      </rPr>
      <t>α</t>
    </r>
  </si>
  <si>
    <t>rad</t>
  </si>
  <si>
    <t>A2</t>
  </si>
  <si>
    <t>V</t>
  </si>
  <si>
    <r>
      <t>V</t>
    </r>
    <r>
      <rPr>
        <sz val="6"/>
        <color theme="1"/>
        <rFont val="Calibri"/>
        <family val="2"/>
        <scheme val="minor"/>
      </rPr>
      <t>TJ</t>
    </r>
  </si>
  <si>
    <t>m3</t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</si>
  <si>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</si>
  <si>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</si>
  <si>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A</t>
    </r>
    <r>
      <rPr>
        <sz val="6"/>
        <color theme="1"/>
        <rFont val="Calibri"/>
        <family val="2"/>
        <scheme val="minor"/>
      </rPr>
      <t>TC</t>
    </r>
  </si>
  <si>
    <t>m2</t>
  </si>
  <si>
    <t>Semicilindrica Aleteada Concentradora</t>
  </si>
  <si>
    <t>A</t>
  </si>
  <si>
    <t>h</t>
  </si>
  <si>
    <t>d</t>
  </si>
  <si>
    <t>x1</t>
  </si>
  <si>
    <r>
      <t>h</t>
    </r>
    <r>
      <rPr>
        <sz val="8"/>
        <color theme="1"/>
        <rFont val="Calibri"/>
        <family val="2"/>
        <scheme val="minor"/>
      </rPr>
      <t>c</t>
    </r>
  </si>
  <si>
    <t>ϴ</t>
  </si>
  <si>
    <t>x2</t>
  </si>
  <si>
    <t>L</t>
  </si>
  <si>
    <t>s</t>
  </si>
  <si>
    <r>
      <t>A</t>
    </r>
    <r>
      <rPr>
        <sz val="8"/>
        <color theme="1"/>
        <rFont val="Calibri"/>
        <family val="2"/>
        <scheme val="minor"/>
      </rPr>
      <t>sccil</t>
    </r>
  </si>
  <si>
    <r>
      <t>V</t>
    </r>
    <r>
      <rPr>
        <sz val="8"/>
        <color theme="1"/>
        <rFont val="Calibri"/>
        <family val="2"/>
        <scheme val="minor"/>
      </rPr>
      <t>cil</t>
    </r>
  </si>
  <si>
    <t>N Aletas</t>
  </si>
  <si>
    <t>Ad</t>
  </si>
  <si>
    <r>
      <t>A</t>
    </r>
    <r>
      <rPr>
        <sz val="8"/>
        <color theme="1"/>
        <rFont val="Calibri"/>
        <family val="2"/>
        <scheme val="minor"/>
      </rPr>
      <t>cil</t>
    </r>
  </si>
  <si>
    <t>Ax</t>
  </si>
  <si>
    <t>h Al</t>
  </si>
  <si>
    <r>
      <t>R</t>
    </r>
    <r>
      <rPr>
        <sz val="8"/>
        <color theme="1"/>
        <rFont val="Calibri"/>
        <family val="2"/>
        <scheme val="minor"/>
      </rPr>
      <t>ca</t>
    </r>
  </si>
  <si>
    <r>
      <t>V</t>
    </r>
    <r>
      <rPr>
        <sz val="8"/>
        <color theme="1"/>
        <rFont val="Calibri"/>
        <family val="2"/>
        <scheme val="minor"/>
      </rPr>
      <t>sc</t>
    </r>
  </si>
  <si>
    <r>
      <t>V</t>
    </r>
    <r>
      <rPr>
        <sz val="8"/>
        <color theme="1"/>
        <rFont val="Calibri"/>
        <family val="2"/>
        <scheme val="minor"/>
      </rPr>
      <t>ca</t>
    </r>
  </si>
  <si>
    <r>
      <t>A</t>
    </r>
    <r>
      <rPr>
        <sz val="8"/>
        <color theme="1"/>
        <rFont val="Calibri"/>
        <family val="2"/>
        <scheme val="minor"/>
      </rPr>
      <t>sc</t>
    </r>
  </si>
  <si>
    <r>
      <t>A</t>
    </r>
    <r>
      <rPr>
        <sz val="8"/>
        <color theme="1"/>
        <rFont val="Calibri"/>
        <family val="2"/>
        <scheme val="minor"/>
      </rPr>
      <t>ca</t>
    </r>
  </si>
  <si>
    <t>Area TTC</t>
  </si>
  <si>
    <t>Plana Aleteada Concentradora</t>
  </si>
  <si>
    <r>
      <t xml:space="preserve">H </t>
    </r>
    <r>
      <rPr>
        <sz val="8"/>
        <color theme="1"/>
        <rFont val="Calibri"/>
        <family val="2"/>
        <scheme val="minor"/>
      </rPr>
      <t>fl</t>
    </r>
  </si>
  <si>
    <r>
      <t xml:space="preserve">H </t>
    </r>
    <r>
      <rPr>
        <sz val="8"/>
        <color theme="1"/>
        <rFont val="Calibri"/>
        <family val="2"/>
        <scheme val="minor"/>
      </rPr>
      <t>fn</t>
    </r>
  </si>
  <si>
    <t>h Aletas</t>
  </si>
  <si>
    <t>Area</t>
  </si>
  <si>
    <r>
      <t>Volumen</t>
    </r>
    <r>
      <rPr>
        <sz val="8"/>
        <color theme="1"/>
        <rFont val="Calibri"/>
        <family val="2"/>
        <scheme val="minor"/>
      </rPr>
      <t xml:space="preserve"> Fon</t>
    </r>
  </si>
  <si>
    <t>Volumen</t>
  </si>
  <si>
    <t>% de Llenado</t>
  </si>
  <si>
    <t>%</t>
  </si>
  <si>
    <t>Pirtubular Cuadrada Aleteada Concentradora</t>
  </si>
  <si>
    <t>H Aleas</t>
  </si>
  <si>
    <t>Lado Tubo</t>
  </si>
  <si>
    <t>N Tubos</t>
  </si>
  <si>
    <t>Volumen T</t>
  </si>
  <si>
    <t>Acanalada Aleteada Concentradora</t>
  </si>
  <si>
    <t>N Alets X Can</t>
  </si>
  <si>
    <t>Lado canal</t>
  </si>
  <si>
    <t>N Canales</t>
  </si>
  <si>
    <t>Volumen de Jugo</t>
  </si>
  <si>
    <r>
      <t>Vp</t>
    </r>
    <r>
      <rPr>
        <sz val="6"/>
        <color theme="1"/>
        <rFont val="Calibri"/>
        <family val="2"/>
        <scheme val="minor"/>
      </rPr>
      <t>A</t>
    </r>
  </si>
  <si>
    <t>A interior</t>
  </si>
  <si>
    <t>A Exterior</t>
  </si>
  <si>
    <t>H fa</t>
  </si>
  <si>
    <t>h fn</t>
  </si>
  <si>
    <t>Esp Lamina fondo</t>
  </si>
  <si>
    <t>Esp Lamina falca</t>
  </si>
  <si>
    <t>º</t>
  </si>
  <si>
    <t>m^3</t>
  </si>
  <si>
    <t>m^2</t>
  </si>
  <si>
    <t>a</t>
  </si>
  <si>
    <t>hc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</si>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</sst>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0"/>
    <numFmt numFmtId="165" formatCode="0.000"/>
    <numFmt numFmtId="166" formatCode="#,##0.0"/>
    <numFmt numFmtId="167" formatCode="0.0E+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</font>
    <font>
      <sz val="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164" fontId="2" fillId="0" borderId="4" xfId="0" applyNumberFormat="1" applyFont="1" applyFill="1" applyBorder="1" applyAlignment="1">
      <alignment horizontal="center" vertical="center"/>
    </xf>
    <xf numFmtId="164" fontId="0" fillId="0" borderId="5" xfId="0" applyNumberFormat="1" applyFill="1" applyBorder="1" applyAlignment="1">
      <alignment horizontal="center" vertical="center"/>
    </xf>
    <xf numFmtId="164" fontId="0" fillId="0" borderId="0" xfId="0" applyNumberFormat="1" applyFill="1" applyBorder="1" applyAlignment="1">
      <alignment horizontal="center" vertical="center"/>
    </xf>
    <xf numFmtId="164" fontId="0" fillId="0" borderId="6" xfId="0" applyNumberFormat="1" applyFill="1" applyBorder="1" applyAlignment="1">
      <alignment horizontal="center" vertical="center"/>
    </xf>
    <xf numFmtId="164" fontId="2" fillId="0" borderId="7" xfId="0" applyNumberFormat="1" applyFont="1" applyFill="1" applyBorder="1" applyAlignment="1">
      <alignment horizontal="center" vertical="center"/>
    </xf>
    <xf numFmtId="164" fontId="0" fillId="0" borderId="8" xfId="0" applyNumberFormat="1" applyFill="1" applyBorder="1" applyAlignment="1">
      <alignment horizontal="center" vertical="center"/>
    </xf>
    <xf numFmtId="164" fontId="0" fillId="0" borderId="7" xfId="0" applyNumberForma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4" fontId="0" fillId="0" borderId="10" xfId="0" applyNumberFormat="1" applyFill="1" applyBorder="1" applyAlignment="1">
      <alignment horizontal="center" vertical="center"/>
    </xf>
    <xf numFmtId="164" fontId="0" fillId="0" borderId="11" xfId="0" applyNumberFormat="1" applyFill="1" applyBorder="1" applyAlignment="1">
      <alignment horizontal="center" vertical="center"/>
    </xf>
    <xf numFmtId="164" fontId="0" fillId="0" borderId="12" xfId="0" applyNumberFormat="1" applyFill="1" applyBorder="1" applyAlignment="1">
      <alignment horizontal="center" vertical="center"/>
    </xf>
    <xf numFmtId="164" fontId="0" fillId="0" borderId="13" xfId="0" applyNumberForma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164" fontId="0" fillId="0" borderId="4" xfId="0" applyNumberFormat="1" applyFill="1" applyBorder="1" applyAlignment="1">
      <alignment horizontal="center" vertical="center"/>
    </xf>
    <xf numFmtId="164" fontId="0" fillId="0" borderId="0" xfId="0" applyNumberFormat="1" applyFont="1" applyFill="1" applyBorder="1" applyAlignment="1">
      <alignment horizontal="center" vertical="center"/>
    </xf>
    <xf numFmtId="164" fontId="7" fillId="0" borderId="10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6" xfId="0" applyFill="1" applyBorder="1" applyAlignment="1">
      <alignment horizontal="center" vertical="center"/>
    </xf>
    <xf numFmtId="164" fontId="0" fillId="0" borderId="16" xfId="0" applyNumberFormat="1" applyFill="1" applyBorder="1" applyAlignment="1">
      <alignment horizontal="center" vertical="center"/>
    </xf>
    <xf numFmtId="164" fontId="0" fillId="0" borderId="17" xfId="0" applyNumberFormat="1" applyFill="1" applyBorder="1" applyAlignment="1">
      <alignment horizontal="center" vertical="center"/>
    </xf>
    <xf numFmtId="9" fontId="0" fillId="0" borderId="8" xfId="1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 vertical="center"/>
    </xf>
    <xf numFmtId="0" fontId="0" fillId="2" borderId="18" xfId="0" applyFill="1" applyBorder="1"/>
    <xf numFmtId="0" fontId="0" fillId="2" borderId="20" xfId="0" applyFill="1" applyBorder="1"/>
    <xf numFmtId="164" fontId="2" fillId="2" borderId="7" xfId="0" applyNumberFormat="1" applyFont="1" applyFill="1" applyBorder="1" applyAlignment="1">
      <alignment horizontal="center" vertical="center"/>
    </xf>
    <xf numFmtId="0" fontId="0" fillId="2" borderId="21" xfId="0" applyFill="1" applyBorder="1"/>
    <xf numFmtId="164" fontId="0" fillId="2" borderId="7" xfId="0" applyNumberFormat="1" applyFill="1" applyBorder="1" applyAlignment="1">
      <alignment horizontal="center" vertical="center"/>
    </xf>
    <xf numFmtId="0" fontId="0" fillId="2" borderId="7" xfId="0" applyFill="1" applyBorder="1"/>
    <xf numFmtId="0" fontId="0" fillId="0" borderId="21" xfId="0" applyBorder="1"/>
    <xf numFmtId="0" fontId="0" fillId="0" borderId="22" xfId="0" applyBorder="1"/>
    <xf numFmtId="0" fontId="0" fillId="3" borderId="14" xfId="0" applyFill="1" applyBorder="1"/>
    <xf numFmtId="0" fontId="0" fillId="3" borderId="15" xfId="0" applyFill="1" applyBorder="1"/>
    <xf numFmtId="0" fontId="0" fillId="3" borderId="23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24" xfId="0" applyFill="1" applyBorder="1"/>
    <xf numFmtId="0" fontId="0" fillId="3" borderId="12" xfId="0" applyFill="1" applyBorder="1"/>
    <xf numFmtId="0" fontId="0" fillId="3" borderId="13" xfId="0" applyFill="1" applyBorder="1"/>
    <xf numFmtId="166" fontId="0" fillId="0" borderId="0" xfId="0" applyNumberFormat="1"/>
    <xf numFmtId="165" fontId="0" fillId="2" borderId="19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7" fontId="0" fillId="2" borderId="8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220775</xdr:colOff>
      <xdr:row>2</xdr:row>
      <xdr:rowOff>53185</xdr:rowOff>
    </xdr:from>
    <xdr:ext cx="2205169" cy="1705766"/>
    <xdr:pic>
      <xdr:nvPicPr>
        <xdr:cNvPr id="2" name="Imagen 1">
          <a:extLst>
            <a:ext uri="{FF2B5EF4-FFF2-40B4-BE49-F238E27FC236}">
              <a16:creationId xmlns:a16="http://schemas.microsoft.com/office/drawing/2014/main" id="{A80B1E35-195C-4177-9167-2AF90204CE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93575" y="434185"/>
          <a:ext cx="2205169" cy="1705766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43658</xdr:colOff>
      <xdr:row>4</xdr:row>
      <xdr:rowOff>72233</xdr:rowOff>
    </xdr:from>
    <xdr:ext cx="1758197" cy="956467"/>
    <xdr:pic>
      <xdr:nvPicPr>
        <xdr:cNvPr id="3" name="Imagen 2">
          <a:extLst>
            <a:ext uri="{FF2B5EF4-FFF2-40B4-BE49-F238E27FC236}">
              <a16:creationId xmlns:a16="http://schemas.microsoft.com/office/drawing/2014/main" id="{1E628047-5571-4C9E-95EB-FFE71E1CD4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7658" y="821533"/>
          <a:ext cx="1758197" cy="95646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19886</xdr:colOff>
      <xdr:row>34</xdr:row>
      <xdr:rowOff>29482</xdr:rowOff>
    </xdr:from>
    <xdr:ext cx="3163661" cy="2627859"/>
    <xdr:pic>
      <xdr:nvPicPr>
        <xdr:cNvPr id="4" name="Imagen 3">
          <a:extLst>
            <a:ext uri="{FF2B5EF4-FFF2-40B4-BE49-F238E27FC236}">
              <a16:creationId xmlns:a16="http://schemas.microsoft.com/office/drawing/2014/main" id="{ABE9CF97-7744-49E2-B756-90609AC7D66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94636" y="17866632"/>
          <a:ext cx="3163661" cy="2627859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39017</xdr:colOff>
      <xdr:row>50</xdr:row>
      <xdr:rowOff>35717</xdr:rowOff>
    </xdr:from>
    <xdr:ext cx="2983439" cy="2472533"/>
    <xdr:pic>
      <xdr:nvPicPr>
        <xdr:cNvPr id="5" name="Imagen 4">
          <a:extLst>
            <a:ext uri="{FF2B5EF4-FFF2-40B4-BE49-F238E27FC236}">
              <a16:creationId xmlns:a16="http://schemas.microsoft.com/office/drawing/2014/main" id="{D01C8198-EFC8-4B97-B649-7F0A5496B8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4350" y="9243217"/>
          <a:ext cx="2983439" cy="2472533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28853</xdr:colOff>
      <xdr:row>67</xdr:row>
      <xdr:rowOff>161396</xdr:rowOff>
    </xdr:from>
    <xdr:ext cx="2867660" cy="2039938"/>
    <xdr:pic>
      <xdr:nvPicPr>
        <xdr:cNvPr id="6" name="Imagen 5">
          <a:extLst>
            <a:ext uri="{FF2B5EF4-FFF2-40B4-BE49-F238E27FC236}">
              <a16:creationId xmlns:a16="http://schemas.microsoft.com/office/drawing/2014/main" id="{8B1C1D0E-8FB1-43D2-AA41-1BC23EC565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9603" y="12480396"/>
          <a:ext cx="2867660" cy="2039938"/>
        </a:xfrm>
        <a:prstGeom prst="rect">
          <a:avLst/>
        </a:prstGeom>
        <a:noFill/>
        <a:ln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U80"/>
  <sheetViews>
    <sheetView tabSelected="1" zoomScale="60" zoomScaleNormal="60" workbookViewId="0">
      <selection activeCell="E6" sqref="E6"/>
    </sheetView>
  </sheetViews>
  <sheetFormatPr baseColWidth="10" defaultColWidth="8.7109375" defaultRowHeight="15" x14ac:dyDescent="0.25"/>
  <cols>
    <col min="2" max="2" width="11.85546875" bestFit="1" customWidth="1"/>
    <col min="3" max="3" width="6.7109375" bestFit="1" customWidth="1"/>
    <col min="4" max="4" width="3.85546875" bestFit="1" customWidth="1"/>
    <col min="5" max="7" width="5.7109375" bestFit="1" customWidth="1"/>
    <col min="8" max="8" width="3.140625" bestFit="1" customWidth="1"/>
    <col min="9" max="9" width="5.7109375" bestFit="1" customWidth="1"/>
    <col min="10" max="10" width="8.7109375" customWidth="1"/>
    <col min="12" max="12" width="15" bestFit="1" customWidth="1"/>
    <col min="13" max="13" width="11.140625" bestFit="1" customWidth="1"/>
    <col min="18" max="18" width="12.140625" bestFit="1" customWidth="1"/>
    <col min="19" max="19" width="14.42578125" bestFit="1" customWidth="1"/>
    <col min="20" max="20" width="11.42578125" bestFit="1" customWidth="1"/>
  </cols>
  <sheetData>
    <row r="1" spans="2:17" ht="15.75" thickBot="1" x14ac:dyDescent="0.3"/>
    <row r="2" spans="2:17" ht="15.75" thickBot="1" x14ac:dyDescent="0.3">
      <c r="B2" s="51" t="s">
        <v>0</v>
      </c>
      <c r="C2" s="52"/>
      <c r="D2" s="52"/>
      <c r="E2" s="52"/>
      <c r="F2" s="52"/>
      <c r="G2" s="52"/>
      <c r="H2" s="52"/>
      <c r="I2" s="52"/>
      <c r="J2" s="53"/>
    </row>
    <row r="3" spans="2:17" x14ac:dyDescent="0.25">
      <c r="B3" s="1" t="s">
        <v>1</v>
      </c>
      <c r="C3" s="2">
        <f>0.44*C4</f>
        <v>0.308</v>
      </c>
      <c r="D3" s="2" t="s">
        <v>2</v>
      </c>
      <c r="E3" s="3"/>
      <c r="F3" s="3"/>
      <c r="G3" s="3"/>
      <c r="H3" s="3"/>
      <c r="I3" s="3"/>
      <c r="J3" s="4"/>
      <c r="L3" s="28" t="s">
        <v>59</v>
      </c>
      <c r="M3" s="46">
        <v>7.4999999999999997E-2</v>
      </c>
      <c r="N3" s="29" t="s">
        <v>68</v>
      </c>
      <c r="O3" s="36"/>
      <c r="P3" s="37"/>
      <c r="Q3" s="38"/>
    </row>
    <row r="4" spans="2:17" x14ac:dyDescent="0.25">
      <c r="B4" s="5" t="s">
        <v>3</v>
      </c>
      <c r="C4" s="6">
        <v>0.7</v>
      </c>
      <c r="D4" s="6" t="s">
        <v>2</v>
      </c>
      <c r="E4" s="3">
        <f>+C4/C3</f>
        <v>2.2727272727272725</v>
      </c>
      <c r="F4" s="3">
        <f>+C3/C4</f>
        <v>0.44</v>
      </c>
      <c r="G4" s="3"/>
      <c r="H4" s="3"/>
      <c r="I4" s="3"/>
      <c r="J4" s="4"/>
      <c r="L4" s="30" t="s">
        <v>63</v>
      </c>
      <c r="M4" s="47">
        <v>0.5</v>
      </c>
      <c r="N4" s="31" t="s">
        <v>2</v>
      </c>
      <c r="O4" s="39"/>
      <c r="P4" s="40"/>
      <c r="Q4" s="41"/>
    </row>
    <row r="5" spans="2:17" ht="15.75" x14ac:dyDescent="0.25">
      <c r="B5" s="7" t="s">
        <v>4</v>
      </c>
      <c r="C5" s="6">
        <f>((C4/2)^2+C3^2)/(2*C3)</f>
        <v>0.35286363636363638</v>
      </c>
      <c r="D5" s="6" t="s">
        <v>2</v>
      </c>
      <c r="E5" s="3"/>
      <c r="F5" s="3"/>
      <c r="G5" s="3"/>
      <c r="H5" s="3"/>
      <c r="I5" s="3"/>
      <c r="J5" s="4"/>
      <c r="L5" s="32" t="s">
        <v>8</v>
      </c>
      <c r="M5" s="47">
        <v>68</v>
      </c>
      <c r="N5" s="31" t="s">
        <v>67</v>
      </c>
      <c r="O5" s="39"/>
      <c r="P5" s="40"/>
      <c r="Q5" s="41"/>
    </row>
    <row r="6" spans="2:17" x14ac:dyDescent="0.25">
      <c r="B6" s="8"/>
      <c r="C6" s="9"/>
      <c r="D6" s="9"/>
      <c r="E6" s="3"/>
      <c r="F6" s="6" t="s">
        <v>5</v>
      </c>
      <c r="G6" s="6">
        <f>PI()*(C4/2)^2</f>
        <v>0.38484510006474959</v>
      </c>
      <c r="H6" s="3"/>
      <c r="I6" s="3"/>
      <c r="J6" s="4"/>
      <c r="L6" s="33" t="s">
        <v>65</v>
      </c>
      <c r="M6" s="50">
        <v>0.01</v>
      </c>
      <c r="N6" s="31" t="s">
        <v>2</v>
      </c>
      <c r="O6" s="39"/>
      <c r="P6" s="40"/>
      <c r="Q6" s="41"/>
    </row>
    <row r="7" spans="2:17" x14ac:dyDescent="0.25">
      <c r="B7" s="7" t="s">
        <v>6</v>
      </c>
      <c r="C7" s="6">
        <v>0.5</v>
      </c>
      <c r="D7" s="6" t="s">
        <v>2</v>
      </c>
      <c r="E7" s="3"/>
      <c r="F7" s="6" t="s">
        <v>7</v>
      </c>
      <c r="G7" s="6">
        <f>C4+2*(C7/TAN(C8))</f>
        <v>1.1040262258351567</v>
      </c>
      <c r="H7" s="3"/>
      <c r="I7" s="3"/>
      <c r="J7" s="4"/>
      <c r="L7" s="33" t="s">
        <v>66</v>
      </c>
      <c r="M7" s="50">
        <f>6/1000</f>
        <v>6.0000000000000001E-3</v>
      </c>
      <c r="N7" s="31" t="s">
        <v>2</v>
      </c>
      <c r="O7" s="39"/>
      <c r="P7" s="40"/>
      <c r="Q7" s="41"/>
    </row>
    <row r="8" spans="2:17" ht="15.75" x14ac:dyDescent="0.25">
      <c r="B8" s="7" t="s">
        <v>8</v>
      </c>
      <c r="C8" s="6">
        <f>68*PI()/180</f>
        <v>1.1868238913561442</v>
      </c>
      <c r="D8" s="6" t="s">
        <v>9</v>
      </c>
      <c r="E8" s="3"/>
      <c r="F8" s="6" t="s">
        <v>10</v>
      </c>
      <c r="G8" s="6">
        <f>G7^2</f>
        <v>1.2188739073318204</v>
      </c>
      <c r="H8" s="3"/>
      <c r="I8" s="3"/>
      <c r="J8" s="4"/>
      <c r="L8" s="5" t="s">
        <v>3</v>
      </c>
      <c r="M8" s="48">
        <f>An_p_sfs(M3)</f>
        <v>0.70135948954025418</v>
      </c>
      <c r="N8" s="34" t="s">
        <v>2</v>
      </c>
      <c r="O8" s="39"/>
      <c r="P8" s="40"/>
      <c r="Q8" s="41"/>
    </row>
    <row r="9" spans="2:17" x14ac:dyDescent="0.25">
      <c r="B9" s="8"/>
      <c r="C9" s="9"/>
      <c r="D9" s="9"/>
      <c r="E9" s="3"/>
      <c r="F9" s="6" t="s">
        <v>11</v>
      </c>
      <c r="G9" s="6">
        <f>(C7*(G6+G8+SQRT(G6*G8)))/3</f>
        <v>0.38143524080255703</v>
      </c>
      <c r="H9" s="3"/>
      <c r="I9" s="3"/>
      <c r="J9" s="4"/>
      <c r="L9" s="7" t="s">
        <v>64</v>
      </c>
      <c r="M9" s="48">
        <f>+M8*0.44</f>
        <v>0.30859817539771184</v>
      </c>
      <c r="N9" s="34" t="s">
        <v>2</v>
      </c>
      <c r="O9" s="39"/>
      <c r="P9" s="40"/>
      <c r="Q9" s="41"/>
    </row>
    <row r="10" spans="2:17" x14ac:dyDescent="0.25">
      <c r="B10" s="7" t="s">
        <v>12</v>
      </c>
      <c r="C10" s="6">
        <f>(PI()*C3^2*(3*C5-C3))/3</f>
        <v>7.4564713078465419E-2</v>
      </c>
      <c r="D10" s="6" t="s">
        <v>13</v>
      </c>
      <c r="E10" s="3"/>
      <c r="F10" s="3"/>
      <c r="G10" s="3"/>
      <c r="H10" s="3"/>
      <c r="I10" s="3"/>
      <c r="J10" s="4"/>
      <c r="L10" s="7" t="s">
        <v>60</v>
      </c>
      <c r="M10" s="48">
        <f>Vtotal_p_sfs(M3,M4,M8,M5)</f>
        <v>0.45754776061102043</v>
      </c>
      <c r="N10" s="34" t="s">
        <v>68</v>
      </c>
      <c r="O10" s="39"/>
      <c r="P10" s="40"/>
      <c r="Q10" s="41"/>
    </row>
    <row r="11" spans="2:17" x14ac:dyDescent="0.25">
      <c r="B11" s="8"/>
      <c r="C11" s="9"/>
      <c r="D11" s="9"/>
      <c r="E11" s="3"/>
      <c r="F11" s="3"/>
      <c r="G11" s="3"/>
      <c r="H11" s="3"/>
      <c r="I11" s="3"/>
      <c r="J11" s="4"/>
      <c r="L11" s="7" t="s">
        <v>61</v>
      </c>
      <c r="M11" s="48">
        <f>Area_in_p_Sfs(M8,M9)</f>
        <v>0.68552415970154701</v>
      </c>
      <c r="N11" s="34" t="s">
        <v>69</v>
      </c>
      <c r="O11" s="39"/>
      <c r="P11" s="40"/>
      <c r="Q11" s="41"/>
    </row>
    <row r="12" spans="2:17" ht="15.75" thickBot="1" x14ac:dyDescent="0.3">
      <c r="B12" s="7" t="s">
        <v>14</v>
      </c>
      <c r="C12" s="6">
        <f>G9</f>
        <v>0.38143524080255703</v>
      </c>
      <c r="D12" s="6" t="s">
        <v>13</v>
      </c>
      <c r="E12" s="3"/>
      <c r="F12" s="3"/>
      <c r="G12" s="3"/>
      <c r="H12" s="3"/>
      <c r="I12" s="3"/>
      <c r="J12" s="4"/>
      <c r="L12" s="10" t="s">
        <v>62</v>
      </c>
      <c r="M12" s="49">
        <f>Area_Ex_p_Sfs(M8,M9,M6)</f>
        <v>0.72757613164572987</v>
      </c>
      <c r="N12" s="35" t="s">
        <v>69</v>
      </c>
      <c r="O12" s="42"/>
      <c r="P12" s="43"/>
      <c r="Q12" s="44"/>
    </row>
    <row r="13" spans="2:17" x14ac:dyDescent="0.25">
      <c r="B13" s="8"/>
      <c r="C13" s="9"/>
      <c r="D13" s="9"/>
      <c r="E13" s="3"/>
      <c r="F13" s="3"/>
      <c r="G13" s="3"/>
      <c r="H13" s="3"/>
      <c r="I13" s="3"/>
      <c r="J13" s="4"/>
    </row>
    <row r="14" spans="2:17" x14ac:dyDescent="0.25">
      <c r="B14" s="7" t="s">
        <v>15</v>
      </c>
      <c r="C14" s="6">
        <f>C12+C10</f>
        <v>0.45599995388102244</v>
      </c>
      <c r="D14" s="6" t="s">
        <v>13</v>
      </c>
      <c r="E14" s="3"/>
      <c r="F14" s="9"/>
      <c r="G14" s="9"/>
      <c r="H14" s="9"/>
      <c r="I14" s="3"/>
      <c r="J14" s="4"/>
    </row>
    <row r="15" spans="2:17" x14ac:dyDescent="0.25">
      <c r="B15" s="8"/>
      <c r="C15" s="9"/>
      <c r="D15" s="9"/>
      <c r="E15" s="3"/>
      <c r="F15" s="9"/>
      <c r="G15" s="9"/>
      <c r="H15" s="9"/>
      <c r="I15" s="3"/>
      <c r="J15" s="4"/>
    </row>
    <row r="16" spans="2:17" ht="15.75" thickBot="1" x14ac:dyDescent="0.3">
      <c r="B16" s="10" t="s">
        <v>16</v>
      </c>
      <c r="C16" s="11">
        <f>2*PI()*C5*C3</f>
        <v>0.68286914555489187</v>
      </c>
      <c r="D16" s="11" t="s">
        <v>17</v>
      </c>
      <c r="E16" s="12"/>
      <c r="F16" s="12"/>
      <c r="G16" s="12"/>
      <c r="H16" s="12"/>
      <c r="I16" s="12"/>
      <c r="J16" s="13"/>
      <c r="P16" t="s">
        <v>70</v>
      </c>
      <c r="Q16" t="s">
        <v>71</v>
      </c>
    </row>
    <row r="17" spans="2:19" ht="15.75" thickBot="1" x14ac:dyDescent="0.3">
      <c r="B17" s="14"/>
      <c r="C17" s="14"/>
      <c r="D17" s="14"/>
      <c r="E17" s="14"/>
      <c r="F17" s="14"/>
      <c r="G17" s="14"/>
      <c r="H17" s="14"/>
      <c r="I17" s="14"/>
      <c r="J17" s="14"/>
      <c r="P17">
        <v>600</v>
      </c>
      <c r="Q17">
        <v>0.16</v>
      </c>
    </row>
    <row r="18" spans="2:19" ht="15.75" thickBot="1" x14ac:dyDescent="0.3">
      <c r="B18" s="51" t="s">
        <v>18</v>
      </c>
      <c r="C18" s="52"/>
      <c r="D18" s="52"/>
      <c r="E18" s="52"/>
      <c r="F18" s="52"/>
      <c r="G18" s="52"/>
      <c r="H18" s="52"/>
      <c r="I18" s="52"/>
      <c r="J18" s="53"/>
    </row>
    <row r="19" spans="2:19" x14ac:dyDescent="0.25">
      <c r="B19" s="15" t="s">
        <v>19</v>
      </c>
      <c r="C19" s="2">
        <v>0.6</v>
      </c>
      <c r="D19" s="2" t="s">
        <v>2</v>
      </c>
      <c r="E19" s="3" t="s">
        <v>4</v>
      </c>
      <c r="F19" s="3">
        <f>((C19/2)^2+C20^2)/(2*C20)</f>
        <v>0.31454545454545452</v>
      </c>
      <c r="G19" s="3" t="s">
        <v>2</v>
      </c>
      <c r="H19" s="3"/>
      <c r="I19" s="3"/>
      <c r="J19" s="4"/>
    </row>
    <row r="20" spans="2:19" x14ac:dyDescent="0.25">
      <c r="B20" s="7" t="s">
        <v>20</v>
      </c>
      <c r="C20" s="6">
        <v>0.22</v>
      </c>
      <c r="D20" s="6" t="s">
        <v>2</v>
      </c>
      <c r="E20" s="3" t="s">
        <v>21</v>
      </c>
      <c r="F20" s="3">
        <f>F19-C20</f>
        <v>9.4545454545454516E-2</v>
      </c>
      <c r="G20" s="3" t="s">
        <v>2</v>
      </c>
      <c r="H20" s="3" t="s">
        <v>22</v>
      </c>
      <c r="I20" s="3">
        <f>C19+2*(C23/TAN(C24))</f>
        <v>1.0040262258351567</v>
      </c>
      <c r="J20" s="4"/>
    </row>
    <row r="21" spans="2:19" x14ac:dyDescent="0.25">
      <c r="B21" s="7" t="s">
        <v>23</v>
      </c>
      <c r="C21" s="6">
        <v>0.16</v>
      </c>
      <c r="D21" s="6" t="s">
        <v>2</v>
      </c>
      <c r="E21" s="16" t="s">
        <v>24</v>
      </c>
      <c r="F21" s="3">
        <f>2*ASIN((C19/2)/F19)</f>
        <v>2.5309953400087326</v>
      </c>
      <c r="G21" s="3" t="s">
        <v>9</v>
      </c>
      <c r="H21" s="3" t="s">
        <v>25</v>
      </c>
      <c r="I21" s="3">
        <f>(C22+2*C21)+2*(C23/TAN(C24))</f>
        <v>1.5240262258351569</v>
      </c>
      <c r="J21" s="4"/>
    </row>
    <row r="22" spans="2:19" x14ac:dyDescent="0.25">
      <c r="B22" s="7" t="s">
        <v>26</v>
      </c>
      <c r="C22" s="6">
        <v>0.8</v>
      </c>
      <c r="D22" s="6" t="s">
        <v>2</v>
      </c>
      <c r="E22" s="16" t="s">
        <v>27</v>
      </c>
      <c r="F22" s="3">
        <f>F19*F21</f>
        <v>0.79611307967547396</v>
      </c>
      <c r="G22" s="3" t="s">
        <v>2</v>
      </c>
      <c r="H22" s="3" t="s">
        <v>5</v>
      </c>
      <c r="I22" s="3">
        <f>I21*I20</f>
        <v>1.5301622995990707</v>
      </c>
      <c r="J22" s="4"/>
    </row>
    <row r="23" spans="2:19" x14ac:dyDescent="0.25">
      <c r="B23" s="7" t="s">
        <v>6</v>
      </c>
      <c r="C23" s="6">
        <v>0.5</v>
      </c>
      <c r="D23" s="6" t="s">
        <v>2</v>
      </c>
      <c r="E23" s="16" t="s">
        <v>28</v>
      </c>
      <c r="F23" s="3">
        <f>F19^2*(F21)/2-(F19^2*SIN(F21)/2)</f>
        <v>9.6843238894415429E-2</v>
      </c>
      <c r="G23" s="3" t="s">
        <v>17</v>
      </c>
      <c r="H23" s="3" t="s">
        <v>4</v>
      </c>
      <c r="I23" s="3">
        <f>((C19/2)^2+C21^2)/(2*C21)</f>
        <v>0.36124999999999996</v>
      </c>
      <c r="J23" s="4"/>
    </row>
    <row r="24" spans="2:19" ht="15.75" x14ac:dyDescent="0.25">
      <c r="B24" s="7" t="s">
        <v>8</v>
      </c>
      <c r="C24" s="6">
        <f>68*PI()/180</f>
        <v>1.1868238913561442</v>
      </c>
      <c r="D24" s="6" t="s">
        <v>9</v>
      </c>
      <c r="E24" s="16" t="s">
        <v>29</v>
      </c>
      <c r="F24" s="3">
        <f>F23*C22</f>
        <v>7.7474591115532343E-2</v>
      </c>
      <c r="G24" s="3" t="s">
        <v>13</v>
      </c>
      <c r="H24" s="16" t="s">
        <v>24</v>
      </c>
      <c r="I24" s="3">
        <f>2*ASIN((C19/2)/I23)</f>
        <v>1.9598293050149134</v>
      </c>
      <c r="J24" s="4"/>
      <c r="P24" t="s">
        <v>72</v>
      </c>
    </row>
    <row r="25" spans="2:19" x14ac:dyDescent="0.25">
      <c r="B25" s="7" t="s">
        <v>30</v>
      </c>
      <c r="C25" s="6">
        <v>11</v>
      </c>
      <c r="D25" s="6" t="s">
        <v>31</v>
      </c>
      <c r="E25" s="16" t="s">
        <v>32</v>
      </c>
      <c r="F25" s="3">
        <f>F22*C22</f>
        <v>0.63689046374037916</v>
      </c>
      <c r="G25" s="3" t="s">
        <v>13</v>
      </c>
      <c r="H25" s="16" t="s">
        <v>33</v>
      </c>
      <c r="I25" s="3">
        <f>(I23^2*I24/2)-(I23^2*SIN(I24)/2)</f>
        <v>6.7505393268867619E-2</v>
      </c>
      <c r="J25" s="4"/>
    </row>
    <row r="26" spans="2:19" x14ac:dyDescent="0.25">
      <c r="B26" s="7" t="s">
        <v>34</v>
      </c>
      <c r="C26" s="6">
        <v>0.1</v>
      </c>
      <c r="D26" s="6" t="s">
        <v>2</v>
      </c>
      <c r="E26" s="3" t="s">
        <v>35</v>
      </c>
      <c r="F26" s="3">
        <f>((F19)^2+C21^2)/(2*C21)</f>
        <v>0.3891838842975206</v>
      </c>
      <c r="G26" s="3" t="s">
        <v>2</v>
      </c>
      <c r="H26" s="16" t="s">
        <v>10</v>
      </c>
      <c r="I26" s="3">
        <f>C19*C22+2*I25</f>
        <v>0.61501078653773522</v>
      </c>
      <c r="J26" s="4"/>
    </row>
    <row r="27" spans="2:19" x14ac:dyDescent="0.25">
      <c r="B27" s="7" t="s">
        <v>16</v>
      </c>
      <c r="C27" s="6">
        <f>F25+2*F30</f>
        <v>0.91053952741364685</v>
      </c>
      <c r="D27" s="6" t="s">
        <v>17</v>
      </c>
      <c r="E27" s="3" t="s">
        <v>36</v>
      </c>
      <c r="F27" s="3">
        <f>(PI()*C21^2*(3*F26-C21)/3)</f>
        <v>2.7010703964497285E-2</v>
      </c>
      <c r="G27" s="3" t="s">
        <v>13</v>
      </c>
      <c r="H27" s="16" t="s">
        <v>11</v>
      </c>
      <c r="I27" s="3">
        <f>(C23*(I22+I26+SQRT(I22*I26)))/3</f>
        <v>0.51920980233358682</v>
      </c>
      <c r="J27" s="4"/>
    </row>
    <row r="28" spans="2:19" x14ac:dyDescent="0.25">
      <c r="B28" s="7" t="s">
        <v>12</v>
      </c>
      <c r="C28" s="6">
        <f>F24+2*F28</f>
        <v>9.6366470767001541E-2</v>
      </c>
      <c r="D28" s="6" t="s">
        <v>13</v>
      </c>
      <c r="E28" s="3" t="s">
        <v>37</v>
      </c>
      <c r="F28" s="3">
        <f>(C20/(F19*2))*F27</f>
        <v>9.4459398257346009E-3</v>
      </c>
      <c r="G28" s="3" t="s">
        <v>13</v>
      </c>
      <c r="H28" s="3"/>
      <c r="I28" s="3"/>
      <c r="J28" s="4"/>
    </row>
    <row r="29" spans="2:19" x14ac:dyDescent="0.25">
      <c r="B29" s="7" t="s">
        <v>14</v>
      </c>
      <c r="C29" s="6">
        <f>I27</f>
        <v>0.51920980233358682</v>
      </c>
      <c r="D29" s="6" t="s">
        <v>13</v>
      </c>
      <c r="E29" s="3" t="s">
        <v>38</v>
      </c>
      <c r="F29" s="3">
        <f>2*PI()*F26*C21</f>
        <v>0.39125031417748185</v>
      </c>
      <c r="G29" s="3" t="s">
        <v>17</v>
      </c>
      <c r="H29" s="3"/>
      <c r="I29" s="3"/>
      <c r="J29" s="4"/>
    </row>
    <row r="30" spans="2:19" x14ac:dyDescent="0.25">
      <c r="B30" s="7" t="s">
        <v>15</v>
      </c>
      <c r="C30" s="6">
        <f>C29+C28</f>
        <v>0.61557627310058838</v>
      </c>
      <c r="D30" s="6" t="s">
        <v>13</v>
      </c>
      <c r="E30" s="3" t="s">
        <v>39</v>
      </c>
      <c r="F30" s="3">
        <f>F29*(C20/(F19*2))</f>
        <v>0.13682453183663384</v>
      </c>
      <c r="G30" s="3" t="s">
        <v>17</v>
      </c>
      <c r="H30" s="3"/>
      <c r="I30" s="3"/>
      <c r="J30" s="4"/>
      <c r="R30" s="45">
        <v>6300</v>
      </c>
      <c r="S30" s="45">
        <f t="shared" ref="S30:S31" si="0">+R30*3402.92</f>
        <v>21438396</v>
      </c>
    </row>
    <row r="31" spans="2:19" x14ac:dyDescent="0.25">
      <c r="B31" s="8"/>
      <c r="C31" s="9"/>
      <c r="D31" s="9"/>
      <c r="E31" s="3"/>
      <c r="F31" s="3"/>
      <c r="G31" s="3"/>
      <c r="H31" s="3"/>
      <c r="I31" s="3"/>
      <c r="J31" s="4"/>
      <c r="R31" s="45">
        <f>+R30*0.93</f>
        <v>5859</v>
      </c>
      <c r="S31" s="45">
        <f t="shared" si="0"/>
        <v>19937708.280000001</v>
      </c>
    </row>
    <row r="32" spans="2:19" ht="15.75" thickBot="1" x14ac:dyDescent="0.3">
      <c r="B32" s="17" t="s">
        <v>40</v>
      </c>
      <c r="C32" s="11">
        <f>C22*C26*2*C25+C27</f>
        <v>2.6705395274136472</v>
      </c>
      <c r="D32" s="11" t="s">
        <v>17</v>
      </c>
      <c r="E32" s="12"/>
      <c r="F32" s="12"/>
      <c r="G32" s="12"/>
      <c r="H32" s="12"/>
      <c r="I32" s="12"/>
      <c r="J32" s="13"/>
      <c r="R32" s="45">
        <f>+R31*0.2</f>
        <v>1171.8</v>
      </c>
      <c r="S32" s="45">
        <f>+R32*3402.92</f>
        <v>3987541.656</v>
      </c>
    </row>
    <row r="33" spans="2:21" ht="15.75" thickBot="1" x14ac:dyDescent="0.3">
      <c r="B33" s="18"/>
      <c r="C33" s="18"/>
      <c r="D33" s="18"/>
      <c r="E33" s="18"/>
      <c r="F33" s="18"/>
      <c r="G33" s="18"/>
      <c r="H33" s="18"/>
      <c r="I33" s="18"/>
      <c r="J33" s="18"/>
      <c r="R33" s="45">
        <f>+R31-R32</f>
        <v>4687.2</v>
      </c>
      <c r="S33" s="45">
        <f>+R33*3402.92</f>
        <v>15950166.624</v>
      </c>
      <c r="T33">
        <f>+S33*0.0886</f>
        <v>1413184.7628863999</v>
      </c>
    </row>
    <row r="34" spans="2:21" ht="15.75" thickBot="1" x14ac:dyDescent="0.3">
      <c r="B34" s="54" t="s">
        <v>41</v>
      </c>
      <c r="C34" s="55"/>
      <c r="D34" s="55"/>
      <c r="E34" s="52"/>
      <c r="F34" s="52"/>
      <c r="G34" s="52"/>
      <c r="H34" s="52"/>
      <c r="I34" s="52"/>
      <c r="J34" s="53"/>
      <c r="S34" s="45">
        <f>+S33+S32</f>
        <v>19937708.280000001</v>
      </c>
      <c r="T34" s="45">
        <f>+T33+S33</f>
        <v>17363351.386886399</v>
      </c>
      <c r="U34">
        <f>+T34/12</f>
        <v>1446945.9489072</v>
      </c>
    </row>
    <row r="35" spans="2:21" x14ac:dyDescent="0.25">
      <c r="B35" s="7" t="s">
        <v>42</v>
      </c>
      <c r="C35" s="6">
        <v>0.5</v>
      </c>
      <c r="D35" s="6" t="s">
        <v>2</v>
      </c>
      <c r="E35" s="9"/>
      <c r="F35" s="9"/>
      <c r="G35" s="9"/>
      <c r="H35" s="9"/>
      <c r="I35" s="9"/>
      <c r="J35" s="19"/>
      <c r="T35" s="45">
        <f>+T34+S32</f>
        <v>21350893.042886399</v>
      </c>
    </row>
    <row r="36" spans="2:21" x14ac:dyDescent="0.25">
      <c r="B36" s="7" t="s">
        <v>43</v>
      </c>
      <c r="C36" s="6">
        <v>0.2</v>
      </c>
      <c r="D36" s="6" t="s">
        <v>2</v>
      </c>
      <c r="E36" s="9"/>
      <c r="F36" s="9"/>
      <c r="G36" s="9"/>
      <c r="H36" s="9"/>
      <c r="I36" s="9"/>
      <c r="J36" s="19"/>
      <c r="S36">
        <v>11000000</v>
      </c>
    </row>
    <row r="37" spans="2:21" ht="15.75" x14ac:dyDescent="0.25">
      <c r="B37" s="7" t="s">
        <v>8</v>
      </c>
      <c r="C37" s="6">
        <f>68*PI()/180</f>
        <v>1.1868238913561442</v>
      </c>
      <c r="D37" s="6" t="s">
        <v>9</v>
      </c>
      <c r="E37" s="9"/>
      <c r="F37" s="9"/>
      <c r="G37" s="9"/>
      <c r="H37" s="9"/>
      <c r="I37" s="9"/>
      <c r="J37" s="19"/>
      <c r="S37">
        <v>5715182</v>
      </c>
    </row>
    <row r="38" spans="2:21" x14ac:dyDescent="0.25">
      <c r="B38" s="7" t="s">
        <v>19</v>
      </c>
      <c r="C38" s="6">
        <v>0.6</v>
      </c>
      <c r="D38" s="6" t="s">
        <v>2</v>
      </c>
      <c r="E38" s="9"/>
      <c r="F38" s="9"/>
      <c r="G38" s="9"/>
      <c r="H38" s="9"/>
      <c r="I38" s="9"/>
      <c r="J38" s="19"/>
      <c r="S38">
        <f>+S36-S37</f>
        <v>5284818</v>
      </c>
    </row>
    <row r="39" spans="2:21" x14ac:dyDescent="0.25">
      <c r="B39" s="7" t="s">
        <v>26</v>
      </c>
      <c r="C39" s="6">
        <v>0.8</v>
      </c>
      <c r="D39" s="6" t="s">
        <v>2</v>
      </c>
      <c r="E39" s="9"/>
      <c r="F39" s="9"/>
      <c r="G39" s="9"/>
      <c r="H39" s="9"/>
      <c r="I39" s="9"/>
      <c r="J39" s="19"/>
      <c r="S39">
        <f>+S37-1005130</f>
        <v>4710052</v>
      </c>
    </row>
    <row r="40" spans="2:21" x14ac:dyDescent="0.25">
      <c r="B40" s="7" t="s">
        <v>30</v>
      </c>
      <c r="C40" s="6">
        <v>20</v>
      </c>
      <c r="D40" s="6" t="s">
        <v>31</v>
      </c>
      <c r="E40" s="9"/>
      <c r="F40" s="9"/>
      <c r="G40" s="9"/>
      <c r="H40" s="9"/>
      <c r="I40" s="9"/>
      <c r="J40" s="19"/>
    </row>
    <row r="41" spans="2:21" x14ac:dyDescent="0.25">
      <c r="B41" s="7" t="s">
        <v>44</v>
      </c>
      <c r="C41" s="6">
        <v>0.1</v>
      </c>
      <c r="D41" s="6" t="s">
        <v>2</v>
      </c>
      <c r="E41" s="9"/>
      <c r="F41" s="9"/>
      <c r="G41" s="9"/>
      <c r="H41" s="9"/>
      <c r="I41" s="9"/>
      <c r="J41" s="19"/>
    </row>
    <row r="42" spans="2:21" x14ac:dyDescent="0.25">
      <c r="B42" s="7" t="s">
        <v>45</v>
      </c>
      <c r="C42" s="6">
        <f>(C38*C39+2*C38*C36+2*C36*C39)</f>
        <v>1.04</v>
      </c>
      <c r="D42" s="6" t="s">
        <v>17</v>
      </c>
      <c r="E42" s="9"/>
      <c r="F42" s="9"/>
      <c r="G42" s="9"/>
      <c r="H42" s="9"/>
      <c r="I42" s="9"/>
      <c r="J42" s="19"/>
    </row>
    <row r="43" spans="2:21" x14ac:dyDescent="0.25">
      <c r="B43" s="7" t="s">
        <v>46</v>
      </c>
      <c r="C43" s="6">
        <f>C36*C38*C39</f>
        <v>9.6000000000000002E-2</v>
      </c>
      <c r="D43" s="6" t="s">
        <v>13</v>
      </c>
      <c r="E43" s="9"/>
      <c r="F43" s="9"/>
      <c r="G43" s="9"/>
      <c r="H43" s="9"/>
      <c r="I43" s="9"/>
      <c r="J43" s="19"/>
    </row>
    <row r="44" spans="2:21" x14ac:dyDescent="0.25">
      <c r="B44" s="7" t="s">
        <v>47</v>
      </c>
      <c r="C44" s="6">
        <f>(C38*C36*C39)+(C38+C35/TAN(C37))*C35*C39</f>
        <v>0.41680524516703132</v>
      </c>
      <c r="D44" s="6" t="s">
        <v>13</v>
      </c>
      <c r="E44" s="9"/>
      <c r="F44" s="9"/>
      <c r="G44" s="9"/>
      <c r="H44" s="9"/>
      <c r="I44" s="9"/>
      <c r="J44" s="19"/>
    </row>
    <row r="45" spans="2:21" x14ac:dyDescent="0.25">
      <c r="B45" s="20"/>
      <c r="C45" s="21"/>
      <c r="D45" s="21"/>
      <c r="E45" s="9"/>
      <c r="F45" s="9"/>
      <c r="G45" s="9"/>
      <c r="H45" s="9"/>
      <c r="I45" s="9"/>
      <c r="J45" s="19"/>
    </row>
    <row r="46" spans="2:21" x14ac:dyDescent="0.25">
      <c r="B46" s="7" t="s">
        <v>48</v>
      </c>
      <c r="C46" s="22">
        <f>C43/C44</f>
        <v>0.23032339710967117</v>
      </c>
      <c r="D46" s="6" t="s">
        <v>49</v>
      </c>
      <c r="E46" s="9"/>
      <c r="F46" s="9"/>
      <c r="G46" s="9"/>
      <c r="H46" s="9"/>
      <c r="I46" s="9"/>
      <c r="J46" s="19"/>
    </row>
    <row r="47" spans="2:21" x14ac:dyDescent="0.25">
      <c r="B47" s="20"/>
      <c r="C47" s="21"/>
      <c r="D47" s="21"/>
      <c r="E47" s="9"/>
      <c r="F47" s="9"/>
      <c r="G47" s="9"/>
      <c r="H47" s="9"/>
      <c r="I47" s="9"/>
      <c r="J47" s="19"/>
    </row>
    <row r="48" spans="2:21" ht="15.75" thickBot="1" x14ac:dyDescent="0.3">
      <c r="B48" s="17" t="s">
        <v>40</v>
      </c>
      <c r="C48" s="11">
        <f>C41*C39*C40*2+C42</f>
        <v>4.24</v>
      </c>
      <c r="D48" s="11" t="s">
        <v>17</v>
      </c>
      <c r="E48" s="23"/>
      <c r="F48" s="23"/>
      <c r="G48" s="23"/>
      <c r="H48" s="23"/>
      <c r="I48" s="23"/>
      <c r="J48" s="24"/>
    </row>
    <row r="49" spans="2:10" ht="15.75" thickBot="1" x14ac:dyDescent="0.3">
      <c r="B49" s="18"/>
      <c r="C49" s="18"/>
      <c r="D49" s="18"/>
      <c r="E49" s="18"/>
      <c r="F49" s="18"/>
      <c r="G49" s="18"/>
      <c r="H49" s="18"/>
      <c r="I49" s="18"/>
      <c r="J49" s="18"/>
    </row>
    <row r="50" spans="2:10" ht="15.75" thickBot="1" x14ac:dyDescent="0.3">
      <c r="B50" s="54" t="s">
        <v>50</v>
      </c>
      <c r="C50" s="55"/>
      <c r="D50" s="55"/>
      <c r="E50" s="52"/>
      <c r="F50" s="52"/>
      <c r="G50" s="52"/>
      <c r="H50" s="52"/>
      <c r="I50" s="52"/>
      <c r="J50" s="53"/>
    </row>
    <row r="51" spans="2:10" x14ac:dyDescent="0.25">
      <c r="B51" s="7" t="s">
        <v>42</v>
      </c>
      <c r="C51" s="6">
        <v>0.5</v>
      </c>
      <c r="D51" s="6" t="s">
        <v>2</v>
      </c>
      <c r="E51" s="9"/>
      <c r="F51" s="9"/>
      <c r="G51" s="9"/>
      <c r="H51" s="9"/>
      <c r="I51" s="9"/>
      <c r="J51" s="19"/>
    </row>
    <row r="52" spans="2:10" x14ac:dyDescent="0.25">
      <c r="B52" s="7" t="s">
        <v>43</v>
      </c>
      <c r="C52" s="6">
        <v>0.25</v>
      </c>
      <c r="D52" s="6" t="s">
        <v>2</v>
      </c>
      <c r="E52" s="9"/>
      <c r="F52" s="9"/>
      <c r="G52" s="9"/>
      <c r="H52" s="9"/>
      <c r="I52" s="9"/>
      <c r="J52" s="19"/>
    </row>
    <row r="53" spans="2:10" ht="15.75" x14ac:dyDescent="0.25">
      <c r="B53" s="7" t="s">
        <v>8</v>
      </c>
      <c r="C53" s="6">
        <f>68*PI()/180</f>
        <v>1.1868238913561442</v>
      </c>
      <c r="D53" s="6" t="s">
        <v>9</v>
      </c>
      <c r="E53" s="9"/>
      <c r="F53" s="9"/>
      <c r="G53" s="9"/>
      <c r="H53" s="9"/>
      <c r="I53" s="9"/>
      <c r="J53" s="19"/>
    </row>
    <row r="54" spans="2:10" x14ac:dyDescent="0.25">
      <c r="B54" s="7" t="s">
        <v>19</v>
      </c>
      <c r="C54" s="6">
        <v>0.6</v>
      </c>
      <c r="D54" s="6" t="s">
        <v>2</v>
      </c>
      <c r="E54" s="9"/>
      <c r="F54" s="9"/>
      <c r="G54" s="9"/>
      <c r="H54" s="9"/>
      <c r="I54" s="9"/>
      <c r="J54" s="19"/>
    </row>
    <row r="55" spans="2:10" x14ac:dyDescent="0.25">
      <c r="B55" s="7" t="s">
        <v>26</v>
      </c>
      <c r="C55" s="6">
        <v>0.8</v>
      </c>
      <c r="D55" s="6" t="s">
        <v>2</v>
      </c>
      <c r="E55" s="9"/>
      <c r="F55" s="9"/>
      <c r="G55" s="9"/>
      <c r="H55" s="9"/>
      <c r="I55" s="9"/>
      <c r="J55" s="19"/>
    </row>
    <row r="56" spans="2:10" x14ac:dyDescent="0.25">
      <c r="B56" s="7" t="s">
        <v>30</v>
      </c>
      <c r="C56" s="6">
        <v>20</v>
      </c>
      <c r="D56" s="6" t="s">
        <v>31</v>
      </c>
      <c r="E56" s="9"/>
      <c r="F56" s="9"/>
      <c r="G56" s="9"/>
      <c r="H56" s="9"/>
      <c r="I56" s="9"/>
      <c r="J56" s="19"/>
    </row>
    <row r="57" spans="2:10" x14ac:dyDescent="0.25">
      <c r="B57" s="7" t="s">
        <v>51</v>
      </c>
      <c r="C57" s="6">
        <v>0.1</v>
      </c>
      <c r="D57" s="6" t="s">
        <v>2</v>
      </c>
      <c r="E57" s="9"/>
      <c r="F57" s="9"/>
      <c r="G57" s="9"/>
      <c r="H57" s="9"/>
      <c r="I57" s="9"/>
      <c r="J57" s="19"/>
    </row>
    <row r="58" spans="2:10" x14ac:dyDescent="0.25">
      <c r="B58" s="25" t="s">
        <v>52</v>
      </c>
      <c r="C58" s="26">
        <f>C52/2</f>
        <v>0.125</v>
      </c>
      <c r="D58" s="26" t="s">
        <v>2</v>
      </c>
      <c r="E58" s="9"/>
      <c r="F58" s="9"/>
      <c r="G58" s="9"/>
      <c r="H58" s="9"/>
      <c r="I58" s="9"/>
      <c r="J58" s="19"/>
    </row>
    <row r="59" spans="2:10" x14ac:dyDescent="0.25">
      <c r="B59" s="25" t="s">
        <v>53</v>
      </c>
      <c r="C59" s="26">
        <f>INT(C54/(C58*2))</f>
        <v>2</v>
      </c>
      <c r="D59" s="26" t="s">
        <v>31</v>
      </c>
      <c r="E59" s="9"/>
      <c r="F59" s="9"/>
      <c r="G59" s="9"/>
      <c r="H59" s="9"/>
      <c r="I59" s="9"/>
      <c r="J59" s="19"/>
    </row>
    <row r="60" spans="2:10" x14ac:dyDescent="0.25">
      <c r="B60" s="7" t="s">
        <v>45</v>
      </c>
      <c r="C60" s="6">
        <f>(C54*C55+2*C55*C52+2*C54*C52)-2*C59*C58^2</f>
        <v>1.1174999999999999</v>
      </c>
      <c r="D60" s="6" t="s">
        <v>17</v>
      </c>
      <c r="E60" s="9"/>
      <c r="F60" s="9"/>
      <c r="G60" s="9"/>
      <c r="H60" s="9"/>
      <c r="I60" s="9"/>
      <c r="J60" s="19"/>
    </row>
    <row r="61" spans="2:10" x14ac:dyDescent="0.25">
      <c r="B61" s="7" t="s">
        <v>46</v>
      </c>
      <c r="C61" s="6">
        <f>(C54*C52-C59*C58^2)*C55</f>
        <v>9.5000000000000001E-2</v>
      </c>
      <c r="D61" s="6" t="s">
        <v>13</v>
      </c>
      <c r="E61" s="9"/>
      <c r="F61" s="9"/>
      <c r="G61" s="9"/>
      <c r="H61" s="9"/>
      <c r="I61" s="9"/>
      <c r="J61" s="19"/>
    </row>
    <row r="62" spans="2:10" x14ac:dyDescent="0.25">
      <c r="B62" s="7" t="s">
        <v>54</v>
      </c>
      <c r="C62" s="6">
        <f>C61+(C55*C51*(C54+C51/TAN(C53)))</f>
        <v>0.41580524516703132</v>
      </c>
      <c r="D62" s="6" t="s">
        <v>13</v>
      </c>
      <c r="E62" s="9"/>
      <c r="F62" s="9"/>
      <c r="G62" s="9"/>
      <c r="H62" s="9"/>
      <c r="I62" s="9"/>
      <c r="J62" s="19"/>
    </row>
    <row r="63" spans="2:10" x14ac:dyDescent="0.25">
      <c r="B63" s="7" t="s">
        <v>48</v>
      </c>
      <c r="C63" s="22">
        <f>C61/C62</f>
        <v>0.22847234637898317</v>
      </c>
      <c r="D63" s="9" t="s">
        <v>49</v>
      </c>
      <c r="E63" s="9"/>
      <c r="F63" s="9"/>
      <c r="G63" s="9"/>
      <c r="H63" s="9"/>
      <c r="I63" s="9"/>
      <c r="J63" s="19"/>
    </row>
    <row r="64" spans="2:10" ht="15.75" thickBot="1" x14ac:dyDescent="0.3">
      <c r="B64" s="17" t="s">
        <v>40</v>
      </c>
      <c r="C64" s="11">
        <f>C57*C55*C56*2+C60</f>
        <v>4.3175000000000008</v>
      </c>
      <c r="D64" s="11" t="s">
        <v>17</v>
      </c>
      <c r="E64" s="23"/>
      <c r="F64" s="23"/>
      <c r="G64" s="23"/>
      <c r="H64" s="23"/>
      <c r="I64" s="23"/>
      <c r="J64" s="24"/>
    </row>
    <row r="65" spans="2:10" ht="15.75" thickBot="1" x14ac:dyDescent="0.3">
      <c r="B65" s="18"/>
      <c r="C65" s="18"/>
      <c r="D65" s="18"/>
      <c r="E65" s="18"/>
      <c r="F65" s="18"/>
      <c r="G65" s="18"/>
      <c r="H65" s="18"/>
      <c r="I65" s="18"/>
      <c r="J65" s="18"/>
    </row>
    <row r="66" spans="2:10" ht="15.75" thickBot="1" x14ac:dyDescent="0.3">
      <c r="B66" s="54" t="s">
        <v>55</v>
      </c>
      <c r="C66" s="55"/>
      <c r="D66" s="55"/>
      <c r="E66" s="52"/>
      <c r="F66" s="52"/>
      <c r="G66" s="52"/>
      <c r="H66" s="52"/>
      <c r="I66" s="52"/>
      <c r="J66" s="53"/>
    </row>
    <row r="67" spans="2:10" x14ac:dyDescent="0.25">
      <c r="B67" s="7" t="s">
        <v>42</v>
      </c>
      <c r="C67" s="6">
        <v>0.5</v>
      </c>
      <c r="D67" s="6" t="s">
        <v>2</v>
      </c>
      <c r="E67" s="9"/>
      <c r="F67" s="9"/>
      <c r="G67" s="9"/>
      <c r="H67" s="9"/>
      <c r="I67" s="9"/>
      <c r="J67" s="19"/>
    </row>
    <row r="68" spans="2:10" x14ac:dyDescent="0.25">
      <c r="B68" s="7" t="s">
        <v>43</v>
      </c>
      <c r="C68" s="6">
        <v>0.245</v>
      </c>
      <c r="D68" s="6" t="s">
        <v>2</v>
      </c>
      <c r="E68" s="9"/>
      <c r="F68" s="9"/>
      <c r="G68" s="9"/>
      <c r="H68" s="9"/>
      <c r="I68" s="9"/>
      <c r="J68" s="19"/>
    </row>
    <row r="69" spans="2:10" ht="15.75" x14ac:dyDescent="0.25">
      <c r="B69" s="7" t="s">
        <v>8</v>
      </c>
      <c r="C69" s="6">
        <f>68*PI()/180</f>
        <v>1.1868238913561442</v>
      </c>
      <c r="D69" s="6" t="s">
        <v>9</v>
      </c>
      <c r="E69" s="9"/>
      <c r="F69" s="9"/>
      <c r="G69" s="9"/>
      <c r="H69" s="9"/>
      <c r="I69" s="9"/>
      <c r="J69" s="19"/>
    </row>
    <row r="70" spans="2:10" x14ac:dyDescent="0.25">
      <c r="B70" s="7" t="s">
        <v>19</v>
      </c>
      <c r="C70" s="6">
        <v>0.6</v>
      </c>
      <c r="D70" s="6" t="s">
        <v>2</v>
      </c>
      <c r="E70" s="9"/>
      <c r="F70" s="9"/>
      <c r="G70" s="9"/>
      <c r="H70" s="9"/>
      <c r="I70" s="9"/>
      <c r="J70" s="19"/>
    </row>
    <row r="71" spans="2:10" x14ac:dyDescent="0.25">
      <c r="B71" s="7" t="s">
        <v>26</v>
      </c>
      <c r="C71" s="6">
        <v>0.8</v>
      </c>
      <c r="D71" s="6" t="s">
        <v>2</v>
      </c>
      <c r="E71" s="9"/>
      <c r="F71" s="9"/>
      <c r="G71" s="9"/>
      <c r="H71" s="9"/>
      <c r="I71" s="9"/>
      <c r="J71" s="19"/>
    </row>
    <row r="72" spans="2:10" x14ac:dyDescent="0.25">
      <c r="B72" s="7" t="s">
        <v>56</v>
      </c>
      <c r="C72" s="6">
        <v>4</v>
      </c>
      <c r="D72" s="6" t="s">
        <v>31</v>
      </c>
      <c r="E72" s="9"/>
      <c r="F72" s="9"/>
      <c r="G72" s="9"/>
      <c r="H72" s="9"/>
      <c r="I72" s="9"/>
      <c r="J72" s="19"/>
    </row>
    <row r="73" spans="2:10" x14ac:dyDescent="0.25">
      <c r="B73" s="7" t="s">
        <v>51</v>
      </c>
      <c r="C73" s="6">
        <v>0.1</v>
      </c>
      <c r="D73" s="6" t="s">
        <v>2</v>
      </c>
      <c r="E73" s="9"/>
      <c r="F73" s="9"/>
      <c r="G73" s="9"/>
      <c r="H73" s="9"/>
      <c r="I73" s="9"/>
      <c r="J73" s="19"/>
    </row>
    <row r="74" spans="2:10" x14ac:dyDescent="0.25">
      <c r="B74" s="25" t="s">
        <v>57</v>
      </c>
      <c r="C74" s="26">
        <v>0.12</v>
      </c>
      <c r="D74" s="26" t="s">
        <v>2</v>
      </c>
      <c r="E74" s="9"/>
      <c r="F74" s="9"/>
      <c r="G74" s="9"/>
      <c r="H74" s="9"/>
      <c r="I74" s="9"/>
      <c r="J74" s="19"/>
    </row>
    <row r="75" spans="2:10" x14ac:dyDescent="0.25">
      <c r="B75" s="25" t="s">
        <v>58</v>
      </c>
      <c r="C75" s="26">
        <f>INT((C70+C74)/(C74*2))</f>
        <v>3</v>
      </c>
      <c r="D75" s="26" t="s">
        <v>31</v>
      </c>
      <c r="E75" s="27">
        <f>C70/(2*C75-1)</f>
        <v>0.12</v>
      </c>
      <c r="F75" s="9"/>
      <c r="G75" s="9"/>
      <c r="H75" s="9"/>
      <c r="I75" s="9"/>
      <c r="J75" s="19"/>
    </row>
    <row r="76" spans="2:10" x14ac:dyDescent="0.25">
      <c r="B76" s="7" t="s">
        <v>45</v>
      </c>
      <c r="C76" s="6">
        <f>(C70*C71+2*C71*C68+2*C70*C68)-2*(C75-1)*C74^2</f>
        <v>1.1083999999999998</v>
      </c>
      <c r="D76" s="6" t="s">
        <v>17</v>
      </c>
      <c r="E76" s="9"/>
      <c r="F76" s="9"/>
      <c r="G76" s="9"/>
      <c r="H76" s="9"/>
      <c r="I76" s="9"/>
      <c r="J76" s="19"/>
    </row>
    <row r="77" spans="2:10" x14ac:dyDescent="0.25">
      <c r="B77" s="7" t="s">
        <v>46</v>
      </c>
      <c r="C77" s="6">
        <f>((C70*(C68-C74))+C75*(C74^2))*C71</f>
        <v>9.4560000000000005E-2</v>
      </c>
      <c r="D77" s="6" t="s">
        <v>13</v>
      </c>
      <c r="E77" s="9"/>
      <c r="F77" s="9"/>
      <c r="G77" s="9"/>
      <c r="H77" s="9"/>
      <c r="I77" s="9"/>
      <c r="J77" s="19"/>
    </row>
    <row r="78" spans="2:10" x14ac:dyDescent="0.25">
      <c r="B78" s="7" t="s">
        <v>54</v>
      </c>
      <c r="C78" s="6">
        <f>C77+(C71*C67*(C70+C67/TAN(C69)))</f>
        <v>0.41536524516703133</v>
      </c>
      <c r="D78" s="6" t="s">
        <v>13</v>
      </c>
      <c r="E78" s="9"/>
      <c r="F78" s="9"/>
      <c r="G78" s="9"/>
      <c r="H78" s="9"/>
      <c r="I78" s="9"/>
      <c r="J78" s="19"/>
    </row>
    <row r="79" spans="2:10" x14ac:dyDescent="0.25">
      <c r="B79" s="7" t="s">
        <v>48</v>
      </c>
      <c r="C79" s="22">
        <f>C77/C78</f>
        <v>0.22765506045642908</v>
      </c>
      <c r="D79" s="9" t="s">
        <v>49</v>
      </c>
      <c r="E79" s="9"/>
      <c r="F79" s="9"/>
      <c r="G79" s="9"/>
      <c r="H79" s="9"/>
      <c r="I79" s="9"/>
      <c r="J79" s="19"/>
    </row>
    <row r="80" spans="2:10" ht="15.75" thickBot="1" x14ac:dyDescent="0.3">
      <c r="B80" s="17" t="s">
        <v>40</v>
      </c>
      <c r="C80" s="11">
        <f>C73*C71*C72*2*C75+C76</f>
        <v>3.0284000000000004</v>
      </c>
      <c r="D80" s="11" t="s">
        <v>17</v>
      </c>
      <c r="E80" s="23"/>
      <c r="F80" s="23"/>
      <c r="G80" s="23"/>
      <c r="H80" s="23"/>
      <c r="I80" s="23"/>
      <c r="J80" s="24"/>
    </row>
  </sheetData>
  <mergeCells count="5">
    <mergeCell ref="B2:J2"/>
    <mergeCell ref="B18:J18"/>
    <mergeCell ref="B34:J34"/>
    <mergeCell ref="B50:J50"/>
    <mergeCell ref="B66:J66"/>
  </mergeCells>
  <conditionalFormatting sqref="M8:M9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2019-08-09T14:38:07Z</dcterms:modified>
</cp:coreProperties>
</file>