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5E439213-DF58-4596-B099-804FCD406951}" xr6:coauthVersionLast="36" xr6:coauthVersionMax="36" xr10:uidLastSave="{00000000-0000-0000-0000-000000000000}"/>
  <bookViews>
    <workbookView xWindow="0" yWindow="0" windowWidth="22260" windowHeight="12650" xr2:uid="{00000000-000D-0000-FFFF-FFFF00000000}"/>
  </bookViews>
  <sheets>
    <sheet name="Cimpa" sheetId="1" r:id="rId1"/>
  </sheets>
  <functionGroups builtInGroupCount="19"/>
  <externalReferences>
    <externalReference r:id="rId2"/>
    <externalReference r:id="rId3"/>
  </externalReferenc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70" i="1" l="1"/>
  <c r="K170" i="1"/>
  <c r="L170" i="1"/>
  <c r="M170" i="1"/>
  <c r="N170" i="1"/>
  <c r="O170" i="1"/>
  <c r="P170" i="1"/>
  <c r="J172" i="1"/>
  <c r="K172" i="1"/>
  <c r="L172" i="1"/>
  <c r="M172" i="1"/>
  <c r="N172" i="1"/>
  <c r="O172" i="1"/>
  <c r="P172" i="1"/>
  <c r="K74" i="1"/>
  <c r="K181" i="1" s="1"/>
  <c r="L74" i="1"/>
  <c r="L181" i="1" s="1"/>
  <c r="M74" i="1"/>
  <c r="M181" i="1" s="1"/>
  <c r="N74" i="1"/>
  <c r="N87" i="1" s="1"/>
  <c r="O74" i="1"/>
  <c r="O87" i="1" s="1"/>
  <c r="P74" i="1"/>
  <c r="P181" i="1" s="1"/>
  <c r="K75" i="1"/>
  <c r="L75" i="1"/>
  <c r="M75" i="1"/>
  <c r="N75" i="1"/>
  <c r="P75" i="1"/>
  <c r="K78" i="1"/>
  <c r="L78" i="1"/>
  <c r="M78" i="1"/>
  <c r="N78" i="1"/>
  <c r="O78" i="1"/>
  <c r="P78" i="1"/>
  <c r="J78" i="1"/>
  <c r="J75" i="1"/>
  <c r="J74" i="1"/>
  <c r="J87" i="1" s="1"/>
  <c r="S104" i="1"/>
  <c r="Q109" i="1"/>
  <c r="M76" i="1"/>
  <c r="P76" i="1"/>
  <c r="N76" i="1"/>
  <c r="K76" i="1"/>
  <c r="L76" i="1"/>
  <c r="J76" i="1"/>
  <c r="L87" i="1" l="1"/>
  <c r="K87" i="1"/>
  <c r="M87" i="1"/>
  <c r="O181" i="1"/>
  <c r="N181" i="1"/>
  <c r="P87" i="1"/>
  <c r="M77" i="1"/>
  <c r="L77" i="1"/>
  <c r="K77" i="1"/>
  <c r="N77" i="1"/>
  <c r="P77" i="1"/>
  <c r="J77" i="1"/>
  <c r="J140" i="1"/>
  <c r="K140" i="1"/>
  <c r="L140" i="1"/>
  <c r="M140" i="1"/>
  <c r="N140" i="1"/>
  <c r="O140" i="1"/>
  <c r="O148" i="1" s="1"/>
  <c r="P140" i="1"/>
  <c r="P148" i="1" s="1"/>
  <c r="J148" i="1"/>
  <c r="K148" i="1"/>
  <c r="L148" i="1"/>
  <c r="M148" i="1"/>
  <c r="N148" i="1"/>
  <c r="J149" i="1"/>
  <c r="K149" i="1"/>
  <c r="L149" i="1"/>
  <c r="M149" i="1"/>
  <c r="N149" i="1"/>
  <c r="O149" i="1"/>
  <c r="P149" i="1"/>
  <c r="R20" i="1"/>
  <c r="Q95" i="1"/>
  <c r="S95" i="1" s="1"/>
  <c r="AL13" i="1"/>
  <c r="AL12" i="1"/>
  <c r="M83" i="1" l="1"/>
  <c r="P83" i="1"/>
  <c r="L83" i="1"/>
  <c r="N83" i="1"/>
  <c r="K83" i="1"/>
  <c r="J83" i="1"/>
  <c r="S99" i="1"/>
  <c r="S103" i="1" s="1"/>
  <c r="S100" i="1"/>
  <c r="I179" i="1" l="1"/>
  <c r="E179" i="1"/>
  <c r="G179" i="1"/>
  <c r="F179" i="1"/>
  <c r="H179" i="1"/>
  <c r="J179" i="1" l="1"/>
  <c r="E74" i="1"/>
  <c r="I51" i="1" l="1"/>
  <c r="I172" i="1" s="1"/>
  <c r="H51" i="1"/>
  <c r="H172" i="1" s="1"/>
  <c r="G51" i="1"/>
  <c r="C210" i="1" s="1"/>
  <c r="F51" i="1"/>
  <c r="E51" i="1"/>
  <c r="C212" i="1" l="1"/>
  <c r="G172" i="1"/>
  <c r="C211" i="1"/>
  <c r="F149" i="1"/>
  <c r="G149" i="1"/>
  <c r="H149" i="1"/>
  <c r="I149" i="1"/>
  <c r="E149" i="1"/>
  <c r="F74" i="1" l="1"/>
  <c r="I74" i="1" l="1"/>
  <c r="I76" i="1"/>
  <c r="I170" i="1"/>
  <c r="G140" i="1" l="1"/>
  <c r="G148" i="1" s="1"/>
  <c r="F140" i="1"/>
  <c r="F148" i="1" s="1"/>
  <c r="E140" i="1"/>
  <c r="E148" i="1" s="1"/>
  <c r="F172" i="1"/>
  <c r="E172" i="1"/>
  <c r="AA48" i="1"/>
  <c r="AB48" i="1" s="1"/>
  <c r="I49" i="1"/>
  <c r="I48" i="1"/>
  <c r="G48" i="1"/>
  <c r="H48" i="1"/>
  <c r="F48" i="1"/>
  <c r="H49" i="1"/>
  <c r="AB51" i="1" s="1"/>
  <c r="G49" i="1"/>
  <c r="F49" i="1"/>
  <c r="E49" i="1"/>
  <c r="E48" i="1"/>
  <c r="H170" i="1"/>
  <c r="G170" i="1"/>
  <c r="F170" i="1"/>
  <c r="E170" i="1"/>
  <c r="Y51" i="1" l="1"/>
  <c r="AA51" i="1"/>
  <c r="Z51" i="1"/>
  <c r="AC51" i="1"/>
  <c r="D199" i="1"/>
  <c r="F188" i="1"/>
  <c r="C209" i="1" s="1"/>
  <c r="G188" i="1"/>
  <c r="H188" i="1"/>
  <c r="I188" i="1"/>
  <c r="E188" i="1"/>
  <c r="C208" i="1" s="1"/>
  <c r="AD51" i="1" l="1"/>
  <c r="Y52" i="1" s="1"/>
  <c r="H75" i="1"/>
  <c r="AA52" i="1" l="1"/>
  <c r="I63" i="1"/>
  <c r="Z36" i="1"/>
  <c r="L98" i="1"/>
  <c r="Z52" i="1" l="1"/>
  <c r="AB52" i="1"/>
  <c r="AC52" i="1"/>
  <c r="I65" i="1"/>
  <c r="I140" i="1" l="1"/>
  <c r="I148" i="1" s="1"/>
  <c r="H140" i="1"/>
  <c r="H148" i="1" s="1"/>
  <c r="G110" i="1" l="1"/>
  <c r="C106" i="1" l="1"/>
  <c r="F61" i="1"/>
  <c r="G61" i="1"/>
  <c r="H61" i="1"/>
  <c r="F35" i="1"/>
  <c r="E35" i="1"/>
  <c r="D21" i="1"/>
  <c r="R6" i="1"/>
  <c r="R18" i="1"/>
  <c r="R5" i="1"/>
  <c r="R17" i="1"/>
  <c r="R4" i="1"/>
  <c r="R16" i="1"/>
  <c r="D200" i="1"/>
  <c r="D12" i="1"/>
  <c r="K8" i="1" s="1"/>
  <c r="K11" i="1" s="1"/>
  <c r="J79" i="1"/>
  <c r="K79" i="1"/>
  <c r="M79" i="1"/>
  <c r="K109" i="1"/>
  <c r="L79" i="1"/>
  <c r="N79" i="1"/>
  <c r="P79" i="1"/>
  <c r="S110" i="1" l="1"/>
  <c r="S111" i="1" s="1"/>
  <c r="P80" i="1"/>
  <c r="P84" i="1"/>
  <c r="P82" i="1"/>
  <c r="P85" i="1"/>
  <c r="K84" i="1"/>
  <c r="K80" i="1"/>
  <c r="K82" i="1"/>
  <c r="K85" i="1"/>
  <c r="N80" i="1"/>
  <c r="N84" i="1"/>
  <c r="N85" i="1"/>
  <c r="N82" i="1"/>
  <c r="L84" i="1"/>
  <c r="L85" i="1"/>
  <c r="L80" i="1"/>
  <c r="L82" i="1"/>
  <c r="M84" i="1"/>
  <c r="M82" i="1"/>
  <c r="M85" i="1"/>
  <c r="M80" i="1"/>
  <c r="J80" i="1"/>
  <c r="J84" i="1"/>
  <c r="J82" i="1"/>
  <c r="J85" i="1"/>
  <c r="AL21" i="1"/>
  <c r="H78" i="1" s="1"/>
  <c r="C98" i="1"/>
  <c r="F62" i="1"/>
  <c r="F63" i="1" s="1"/>
  <c r="F65" i="1" s="1"/>
  <c r="D22" i="1"/>
  <c r="C95" i="1"/>
  <c r="E61" i="1"/>
  <c r="H63" i="1"/>
  <c r="H65" i="1" s="1"/>
  <c r="E128" i="1"/>
  <c r="K88" i="1"/>
  <c r="M88" i="1"/>
  <c r="L88" i="1"/>
  <c r="P88" i="1"/>
  <c r="J88" i="1"/>
  <c r="N88" i="1"/>
  <c r="K6" i="1" l="1"/>
  <c r="O75" i="1"/>
  <c r="F66" i="1"/>
  <c r="F67" i="1" s="1"/>
  <c r="I78" i="1"/>
  <c r="E63" i="1"/>
  <c r="E65" i="1" s="1"/>
  <c r="H66" i="1"/>
  <c r="I66" i="1"/>
  <c r="R8" i="1"/>
  <c r="R12" i="1" s="1"/>
  <c r="R9" i="1"/>
  <c r="F128" i="1"/>
  <c r="R10" i="1"/>
  <c r="G63" i="1"/>
  <c r="G66" i="1" s="1"/>
  <c r="N89" i="1"/>
  <c r="P89" i="1"/>
  <c r="M89" i="1"/>
  <c r="K89" i="1"/>
  <c r="J89" i="1"/>
  <c r="L89" i="1"/>
  <c r="L136" i="1" l="1"/>
  <c r="J136" i="1"/>
  <c r="K136" i="1"/>
  <c r="M136" i="1"/>
  <c r="P136" i="1"/>
  <c r="N136" i="1"/>
  <c r="H64" i="1"/>
  <c r="K10" i="1"/>
  <c r="M137" i="1"/>
  <c r="M163" i="1"/>
  <c r="J137" i="1"/>
  <c r="J163" i="1"/>
  <c r="K137" i="1"/>
  <c r="K163" i="1"/>
  <c r="K4" i="1"/>
  <c r="L137" i="1"/>
  <c r="L163" i="1"/>
  <c r="K9" i="1"/>
  <c r="I64" i="1"/>
  <c r="I68" i="1" s="1"/>
  <c r="I195" i="1" s="1"/>
  <c r="F212" i="1" s="1"/>
  <c r="K7" i="1"/>
  <c r="N137" i="1"/>
  <c r="N163" i="1"/>
  <c r="P137" i="1"/>
  <c r="P163" i="1"/>
  <c r="K5" i="1"/>
  <c r="K3" i="1"/>
  <c r="K14" i="1" s="1"/>
  <c r="D20" i="1"/>
  <c r="E66" i="1"/>
  <c r="E67" i="1" s="1"/>
  <c r="R13" i="1"/>
  <c r="H67" i="1"/>
  <c r="I67" i="1"/>
  <c r="G128" i="1"/>
  <c r="R14" i="1"/>
  <c r="G65" i="1"/>
  <c r="K12" i="1"/>
  <c r="O79" i="1"/>
  <c r="K18" i="1" l="1"/>
  <c r="K22" i="1"/>
  <c r="O84" i="1"/>
  <c r="G64" i="1"/>
  <c r="E64" i="1" s="1"/>
  <c r="F64" i="1" s="1"/>
  <c r="L63" i="1" s="1"/>
  <c r="K15" i="1"/>
  <c r="F4" i="1" s="1"/>
  <c r="I69" i="1"/>
  <c r="K20" i="1"/>
  <c r="H128" i="1"/>
  <c r="G67" i="1"/>
  <c r="K19" i="1"/>
  <c r="F68" i="1" l="1"/>
  <c r="E68" i="1"/>
  <c r="E69" i="1" s="1"/>
  <c r="H68" i="1"/>
  <c r="H69" i="1" s="1"/>
  <c r="G68" i="1"/>
  <c r="K13" i="1"/>
  <c r="R21" i="1"/>
  <c r="C93" i="1"/>
  <c r="K21" i="1"/>
  <c r="L64" i="1"/>
  <c r="L65" i="1" s="1"/>
  <c r="I128" i="1"/>
  <c r="J128" i="1" s="1"/>
  <c r="K128" i="1" s="1"/>
  <c r="L128" i="1" s="1"/>
  <c r="M128" i="1" s="1"/>
  <c r="N128" i="1" s="1"/>
  <c r="O128" i="1" s="1"/>
  <c r="P128" i="1" s="1"/>
  <c r="F69" i="1"/>
  <c r="G69" i="1"/>
  <c r="O76" i="1"/>
  <c r="O77" i="1" l="1"/>
  <c r="G97" i="1"/>
  <c r="C104" i="1"/>
  <c r="R22" i="1"/>
  <c r="AN4" i="1" s="1"/>
  <c r="G112" i="1"/>
  <c r="Q102" i="1"/>
  <c r="J69" i="1"/>
  <c r="D5" i="1"/>
  <c r="O82" i="1" l="1"/>
  <c r="O85" i="1"/>
  <c r="O83" i="1"/>
  <c r="O80" i="1"/>
  <c r="G95" i="1"/>
  <c r="G105" i="1" s="1"/>
  <c r="G94" i="1"/>
  <c r="G96" i="1"/>
  <c r="AO16" i="1"/>
  <c r="S102" i="1"/>
  <c r="S105" i="1" s="1"/>
  <c r="AQ6" i="1"/>
  <c r="AL6" i="1"/>
  <c r="AM6" i="1"/>
  <c r="Q94" i="1"/>
  <c r="S94" i="1" s="1"/>
  <c r="AN6" i="1"/>
  <c r="AO6" i="1"/>
  <c r="E87" i="1"/>
  <c r="F181" i="1"/>
  <c r="G74" i="1"/>
  <c r="H74" i="1"/>
  <c r="H181" i="1" s="1"/>
  <c r="O88" i="1"/>
  <c r="H79" i="1"/>
  <c r="H76" i="1"/>
  <c r="AO7" i="1" l="1"/>
  <c r="AO8" i="1" s="1"/>
  <c r="AN7" i="1"/>
  <c r="AN8" i="1" s="1"/>
  <c r="AQ7" i="1"/>
  <c r="AQ8" i="1" s="1"/>
  <c r="AM7" i="1"/>
  <c r="AM8" i="1" s="1"/>
  <c r="AL7" i="1"/>
  <c r="AL8" i="1" s="1"/>
  <c r="G103" i="1"/>
  <c r="K93" i="1" s="1"/>
  <c r="G98" i="1"/>
  <c r="G99" i="1" s="1"/>
  <c r="D211" i="1"/>
  <c r="G181" i="1"/>
  <c r="H84" i="1"/>
  <c r="E181" i="1"/>
  <c r="I87" i="1"/>
  <c r="I181" i="1"/>
  <c r="H189" i="1"/>
  <c r="G75" i="1"/>
  <c r="I77" i="1"/>
  <c r="G78" i="1"/>
  <c r="H77" i="1"/>
  <c r="H83" i="1" s="1"/>
  <c r="H87" i="1"/>
  <c r="G87" i="1"/>
  <c r="F87" i="1"/>
  <c r="I79" i="1"/>
  <c r="G76" i="1"/>
  <c r="O89" i="1"/>
  <c r="O136" i="1" l="1"/>
  <c r="O137" i="1" s="1"/>
  <c r="G104" i="1"/>
  <c r="K94" i="1" s="1"/>
  <c r="G100" i="1"/>
  <c r="AL9" i="1"/>
  <c r="AL10" i="1"/>
  <c r="AL11" i="1" s="1"/>
  <c r="AQ10" i="1"/>
  <c r="AQ9" i="1"/>
  <c r="AO10" i="1"/>
  <c r="AO11" i="1" s="1"/>
  <c r="AO9" i="1"/>
  <c r="AM10" i="1"/>
  <c r="AM11" i="1" s="1"/>
  <c r="AM9" i="1"/>
  <c r="AN10" i="1"/>
  <c r="AN11" i="1" s="1"/>
  <c r="AN9" i="1"/>
  <c r="AQ11" i="1"/>
  <c r="D212" i="1"/>
  <c r="J181" i="1"/>
  <c r="I83" i="1"/>
  <c r="I84" i="1"/>
  <c r="I80" i="1"/>
  <c r="H80" i="1"/>
  <c r="I189" i="1"/>
  <c r="H195" i="1"/>
  <c r="F211" i="1" s="1"/>
  <c r="E75" i="1"/>
  <c r="G77" i="1"/>
  <c r="G83" i="1" s="1"/>
  <c r="I85" i="1"/>
  <c r="I82" i="1"/>
  <c r="H85" i="1"/>
  <c r="H82" i="1"/>
  <c r="E78" i="1"/>
  <c r="I88" i="1"/>
  <c r="G79" i="1"/>
  <c r="H88" i="1"/>
  <c r="O163" i="1" l="1"/>
  <c r="G107" i="1"/>
  <c r="K96" i="1" s="1"/>
  <c r="AP11" i="1"/>
  <c r="G108" i="1"/>
  <c r="G101" i="1"/>
  <c r="G106" i="1" s="1"/>
  <c r="D210" i="1"/>
  <c r="I196" i="1"/>
  <c r="E212" i="1" s="1"/>
  <c r="H196" i="1"/>
  <c r="E211" i="1" s="1"/>
  <c r="G80" i="1"/>
  <c r="G84" i="1"/>
  <c r="K110" i="1"/>
  <c r="D113" i="1" l="1"/>
  <c r="D201" i="1"/>
  <c r="AP10" i="1"/>
  <c r="Q99" i="1" s="1"/>
  <c r="Q103" i="1" s="1"/>
  <c r="AP7" i="1"/>
  <c r="AP6" i="1"/>
  <c r="Q97" i="1" s="1"/>
  <c r="Q100" i="1"/>
  <c r="AP5" i="1"/>
  <c r="Q96" i="1" s="1"/>
  <c r="Q104" i="1" s="1"/>
  <c r="AP9" i="1"/>
  <c r="AP8" i="1"/>
  <c r="Q98" i="1" s="1"/>
  <c r="K95" i="1"/>
  <c r="G111" i="1"/>
  <c r="G109" i="1"/>
  <c r="K97" i="1"/>
  <c r="G189" i="1"/>
  <c r="G82" i="1"/>
  <c r="G85" i="1"/>
  <c r="H89" i="1"/>
  <c r="I89" i="1"/>
  <c r="G88" i="1"/>
  <c r="E76" i="1"/>
  <c r="M122" i="1" l="1"/>
  <c r="P122" i="1"/>
  <c r="K122" i="1"/>
  <c r="J122" i="1"/>
  <c r="L122" i="1"/>
  <c r="N122" i="1"/>
  <c r="O122" i="1"/>
  <c r="E77" i="1"/>
  <c r="F75" i="1"/>
  <c r="F78" i="1"/>
  <c r="F76" i="1"/>
  <c r="E79" i="1"/>
  <c r="E83" i="1" l="1"/>
  <c r="K98" i="1"/>
  <c r="K99" i="1" s="1"/>
  <c r="Q105" i="1"/>
  <c r="Q107" i="1" s="1"/>
  <c r="K103" i="1"/>
  <c r="K105" i="1"/>
  <c r="K101" i="1"/>
  <c r="K102" i="1"/>
  <c r="K104" i="1"/>
  <c r="H122" i="1"/>
  <c r="I122" i="1"/>
  <c r="G122" i="1"/>
  <c r="F122" i="1"/>
  <c r="E122" i="1"/>
  <c r="D208" i="1"/>
  <c r="G196" i="1"/>
  <c r="E210" i="1" s="1"/>
  <c r="E84" i="1"/>
  <c r="H136" i="1"/>
  <c r="H137" i="1" s="1"/>
  <c r="I136" i="1"/>
  <c r="I137" i="1" s="1"/>
  <c r="F195" i="1"/>
  <c r="F209" i="1" s="1"/>
  <c r="G195" i="1"/>
  <c r="F210" i="1" s="1"/>
  <c r="E195" i="1"/>
  <c r="F208" i="1" s="1"/>
  <c r="E189" i="1"/>
  <c r="E80" i="1"/>
  <c r="F77" i="1"/>
  <c r="F83" i="1" s="1"/>
  <c r="E82" i="1"/>
  <c r="E85" i="1"/>
  <c r="K100" i="1"/>
  <c r="E88" i="1"/>
  <c r="F79" i="1"/>
  <c r="K106" i="1" l="1"/>
  <c r="D209" i="1"/>
  <c r="E196" i="1"/>
  <c r="E208" i="1" s="1"/>
  <c r="F80" i="1"/>
  <c r="F84" i="1"/>
  <c r="G89" i="1"/>
  <c r="H163" i="1" l="1"/>
  <c r="I163" i="1"/>
  <c r="G136" i="1"/>
  <c r="G137" i="1" s="1"/>
  <c r="F189" i="1"/>
  <c r="F82" i="1"/>
  <c r="F85" i="1"/>
  <c r="F88" i="1"/>
  <c r="E89" i="1"/>
  <c r="F196" i="1" l="1"/>
  <c r="E209" i="1" s="1"/>
  <c r="G163" i="1"/>
  <c r="E136" i="1"/>
  <c r="E137" i="1" s="1"/>
  <c r="F89" i="1"/>
  <c r="E163" i="1" l="1"/>
  <c r="F136" i="1"/>
  <c r="F163" i="1" s="1"/>
  <c r="F137" i="1" l="1"/>
  <c r="Q111" i="1"/>
  <c r="E116" i="1" s="1"/>
  <c r="E118" i="1"/>
  <c r="E117" i="1" l="1"/>
  <c r="E119" i="1"/>
  <c r="E191" i="1" l="1"/>
  <c r="H208" i="1" s="1"/>
  <c r="E120" i="1"/>
  <c r="E194" i="1"/>
  <c r="K208" i="1" s="1"/>
  <c r="F116" i="1"/>
  <c r="F117" i="1"/>
  <c r="F118" i="1"/>
  <c r="F119" i="1"/>
  <c r="F191" i="1" l="1"/>
  <c r="H209" i="1" s="1"/>
  <c r="F120" i="1"/>
  <c r="F194" i="1"/>
  <c r="K209" i="1" s="1"/>
  <c r="G116" i="1"/>
  <c r="G117" i="1"/>
  <c r="E121" i="1"/>
  <c r="E127" i="1"/>
  <c r="G118" i="1"/>
  <c r="E129" i="1"/>
  <c r="G119" i="1"/>
  <c r="E130" i="1"/>
  <c r="G120" i="1" l="1"/>
  <c r="E135" i="1"/>
  <c r="G191" i="1"/>
  <c r="H210" i="1" s="1"/>
  <c r="F121" i="1"/>
  <c r="F127" i="1"/>
  <c r="E132" i="1"/>
  <c r="E131" i="1"/>
  <c r="E162" i="1"/>
  <c r="E177" i="1" s="1"/>
  <c r="E156" i="1"/>
  <c r="G194" i="1"/>
  <c r="K210" i="1" s="1"/>
  <c r="H116" i="1"/>
  <c r="H117" i="1"/>
  <c r="H119" i="1"/>
  <c r="F130" i="1"/>
  <c r="F129" i="1"/>
  <c r="H118" i="1"/>
  <c r="E141" i="1" l="1"/>
  <c r="H120" i="1"/>
  <c r="H191" i="1"/>
  <c r="H211" i="1" s="1"/>
  <c r="F135" i="1"/>
  <c r="G121" i="1"/>
  <c r="G127" i="1"/>
  <c r="E158" i="1"/>
  <c r="E165" i="1" s="1"/>
  <c r="E176" i="1" s="1"/>
  <c r="E157" i="1"/>
  <c r="E164" i="1" s="1"/>
  <c r="E175" i="1" s="1"/>
  <c r="E178" i="1" s="1"/>
  <c r="H194" i="1"/>
  <c r="K211" i="1" s="1"/>
  <c r="I116" i="1"/>
  <c r="I117" i="1"/>
  <c r="F132" i="1"/>
  <c r="F162" i="1"/>
  <c r="F177" i="1" s="1"/>
  <c r="F131" i="1"/>
  <c r="F156" i="1"/>
  <c r="E138" i="1"/>
  <c r="E139" i="1"/>
  <c r="I119" i="1"/>
  <c r="G129" i="1"/>
  <c r="G130" i="1"/>
  <c r="I118" i="1"/>
  <c r="E145" i="1" l="1"/>
  <c r="E147" i="1" s="1"/>
  <c r="E150" i="1" s="1"/>
  <c r="E151" i="1" s="1"/>
  <c r="F141" i="1"/>
  <c r="E142" i="1"/>
  <c r="E146" i="1"/>
  <c r="E143" i="1"/>
  <c r="I191" i="1"/>
  <c r="H212" i="1" s="1"/>
  <c r="S115" i="1"/>
  <c r="I120" i="1"/>
  <c r="G135" i="1"/>
  <c r="F138" i="1"/>
  <c r="F139" i="1"/>
  <c r="E193" i="1"/>
  <c r="J208" i="1" s="1"/>
  <c r="M208" i="1" s="1"/>
  <c r="H121" i="1"/>
  <c r="H127" i="1"/>
  <c r="F158" i="1"/>
  <c r="F165" i="1" s="1"/>
  <c r="F176" i="1" s="1"/>
  <c r="F157" i="1"/>
  <c r="F164" i="1" s="1"/>
  <c r="F175" i="1" s="1"/>
  <c r="F178" i="1" s="1"/>
  <c r="I194" i="1"/>
  <c r="K212" i="1" s="1"/>
  <c r="J116" i="1"/>
  <c r="J117" i="1"/>
  <c r="G132" i="1"/>
  <c r="G162" i="1"/>
  <c r="G177" i="1" s="1"/>
  <c r="G131" i="1"/>
  <c r="G156" i="1"/>
  <c r="H129" i="1"/>
  <c r="S117" i="1"/>
  <c r="H130" i="1"/>
  <c r="J118" i="1"/>
  <c r="J119" i="1"/>
  <c r="F142" i="1" l="1"/>
  <c r="E152" i="1"/>
  <c r="E192" i="1" s="1"/>
  <c r="I208" i="1" s="1"/>
  <c r="L208" i="1" s="1"/>
  <c r="G141" i="1"/>
  <c r="F146" i="1"/>
  <c r="F143" i="1"/>
  <c r="E144" i="1"/>
  <c r="H135" i="1"/>
  <c r="J120" i="1"/>
  <c r="G145" i="1"/>
  <c r="G146" i="1"/>
  <c r="G142" i="1"/>
  <c r="G144" i="1" s="1"/>
  <c r="G143" i="1"/>
  <c r="G147" i="1" s="1"/>
  <c r="G150" i="1" s="1"/>
  <c r="I121" i="1"/>
  <c r="I127" i="1"/>
  <c r="G158" i="1"/>
  <c r="G165" i="1" s="1"/>
  <c r="G176" i="1" s="1"/>
  <c r="G157" i="1"/>
  <c r="G164" i="1" s="1"/>
  <c r="G175" i="1" s="1"/>
  <c r="F193" i="1"/>
  <c r="J209" i="1" s="1"/>
  <c r="M209" i="1" s="1"/>
  <c r="H132" i="1"/>
  <c r="H162" i="1"/>
  <c r="H177" i="1" s="1"/>
  <c r="H131" i="1"/>
  <c r="H156" i="1"/>
  <c r="S118" i="1"/>
  <c r="K116" i="1"/>
  <c r="K117" i="1"/>
  <c r="E180" i="1"/>
  <c r="F145" i="1"/>
  <c r="F147" i="1" s="1"/>
  <c r="F150" i="1" s="1"/>
  <c r="G139" i="1"/>
  <c r="G138" i="1"/>
  <c r="K119" i="1"/>
  <c r="G151" i="1"/>
  <c r="K118" i="1"/>
  <c r="I129" i="1"/>
  <c r="I130" i="1"/>
  <c r="G178" i="1" l="1"/>
  <c r="F144" i="1"/>
  <c r="H141" i="1"/>
  <c r="I135" i="1"/>
  <c r="K120" i="1"/>
  <c r="G152" i="1"/>
  <c r="G192" i="1" s="1"/>
  <c r="I210" i="1" s="1"/>
  <c r="L210" i="1" s="1"/>
  <c r="H145" i="1"/>
  <c r="H146" i="1"/>
  <c r="H142" i="1"/>
  <c r="H143" i="1"/>
  <c r="H147" i="1" s="1"/>
  <c r="H150" i="1" s="1"/>
  <c r="I132" i="1"/>
  <c r="I162" i="1"/>
  <c r="I177" i="1" s="1"/>
  <c r="I131" i="1"/>
  <c r="I156" i="1"/>
  <c r="F151" i="1"/>
  <c r="F152" i="1"/>
  <c r="L116" i="1"/>
  <c r="L117" i="1"/>
  <c r="J121" i="1"/>
  <c r="J127" i="1"/>
  <c r="E190" i="1"/>
  <c r="G208" i="1" s="1"/>
  <c r="E182" i="1"/>
  <c r="T114" i="1"/>
  <c r="S121" i="1"/>
  <c r="H158" i="1"/>
  <c r="H165" i="1" s="1"/>
  <c r="H176" i="1" s="1"/>
  <c r="H157" i="1"/>
  <c r="H164" i="1" s="1"/>
  <c r="H175" i="1" s="1"/>
  <c r="H178" i="1" s="1"/>
  <c r="H139" i="1"/>
  <c r="H138" i="1"/>
  <c r="G193" i="1"/>
  <c r="J210" i="1" s="1"/>
  <c r="M210" i="1" s="1"/>
  <c r="L119" i="1"/>
  <c r="H151" i="1"/>
  <c r="L118" i="1"/>
  <c r="J130" i="1"/>
  <c r="J129" i="1"/>
  <c r="G180" i="1" l="1"/>
  <c r="I141" i="1"/>
  <c r="H144" i="1"/>
  <c r="J135" i="1"/>
  <c r="L120" i="1"/>
  <c r="I143" i="1"/>
  <c r="I147" i="1" s="1"/>
  <c r="I150" i="1" s="1"/>
  <c r="G190" i="1"/>
  <c r="G210" i="1" s="1"/>
  <c r="G182" i="1"/>
  <c r="K121" i="1"/>
  <c r="K127" i="1"/>
  <c r="S119" i="1"/>
  <c r="J132" i="1"/>
  <c r="J162" i="1"/>
  <c r="J177" i="1" s="1"/>
  <c r="J131" i="1"/>
  <c r="J156" i="1"/>
  <c r="H152" i="1"/>
  <c r="H192" i="1" s="1"/>
  <c r="I211" i="1" s="1"/>
  <c r="L211" i="1" s="1"/>
  <c r="H193" i="1"/>
  <c r="J211" i="1" s="1"/>
  <c r="M211" i="1" s="1"/>
  <c r="H180" i="1"/>
  <c r="M116" i="1"/>
  <c r="M117" i="1"/>
  <c r="F192" i="1"/>
  <c r="I209" i="1" s="1"/>
  <c r="L209" i="1" s="1"/>
  <c r="F180" i="1"/>
  <c r="I158" i="1"/>
  <c r="I165" i="1" s="1"/>
  <c r="I176" i="1" s="1"/>
  <c r="I157" i="1"/>
  <c r="I164" i="1" s="1"/>
  <c r="I175" i="1" s="1"/>
  <c r="I178" i="1" s="1"/>
  <c r="I138" i="1"/>
  <c r="I139" i="1"/>
  <c r="I145" i="1" s="1"/>
  <c r="M119" i="1"/>
  <c r="K130" i="1"/>
  <c r="K129" i="1"/>
  <c r="I151" i="1"/>
  <c r="M118" i="1"/>
  <c r="J141" i="1" l="1"/>
  <c r="I146" i="1"/>
  <c r="I142" i="1"/>
  <c r="I144" i="1" s="1"/>
  <c r="M120" i="1"/>
  <c r="K135" i="1"/>
  <c r="I193" i="1"/>
  <c r="J212" i="1" s="1"/>
  <c r="M212" i="1" s="1"/>
  <c r="L121" i="1"/>
  <c r="L127" i="1"/>
  <c r="H190" i="1"/>
  <c r="G211" i="1" s="1"/>
  <c r="H182" i="1"/>
  <c r="F190" i="1"/>
  <c r="G209" i="1" s="1"/>
  <c r="F182" i="1"/>
  <c r="J180" i="1"/>
  <c r="J157" i="1"/>
  <c r="J164" i="1" s="1"/>
  <c r="J175" i="1" s="1"/>
  <c r="J178" i="1" s="1"/>
  <c r="J158" i="1"/>
  <c r="J165" i="1" s="1"/>
  <c r="J176" i="1" s="1"/>
  <c r="J138" i="1"/>
  <c r="J139" i="1"/>
  <c r="J145" i="1" s="1"/>
  <c r="N116" i="1"/>
  <c r="N117" i="1"/>
  <c r="K132" i="1"/>
  <c r="K162" i="1"/>
  <c r="K177" i="1" s="1"/>
  <c r="K131" i="1"/>
  <c r="K141" i="1" s="1"/>
  <c r="K156" i="1"/>
  <c r="I152" i="1"/>
  <c r="I192" i="1" s="1"/>
  <c r="I212" i="1" s="1"/>
  <c r="L212" i="1" s="1"/>
  <c r="N119" i="1"/>
  <c r="N118" i="1"/>
  <c r="L129" i="1"/>
  <c r="L130" i="1"/>
  <c r="J143" i="1" l="1"/>
  <c r="J147" i="1" s="1"/>
  <c r="J150" i="1" s="1"/>
  <c r="J152" i="1" s="1"/>
  <c r="J142" i="1"/>
  <c r="J144" i="1" s="1"/>
  <c r="J146" i="1"/>
  <c r="N120" i="1"/>
  <c r="L135" i="1"/>
  <c r="L141" i="1" s="1"/>
  <c r="K158" i="1"/>
  <c r="K165" i="1" s="1"/>
  <c r="K176" i="1" s="1"/>
  <c r="K157" i="1"/>
  <c r="K164" i="1" s="1"/>
  <c r="K175" i="1" s="1"/>
  <c r="K178" i="1" s="1"/>
  <c r="O116" i="1"/>
  <c r="O117" i="1"/>
  <c r="L132" i="1"/>
  <c r="L162" i="1"/>
  <c r="L177" i="1" s="1"/>
  <c r="L131" i="1"/>
  <c r="L156" i="1"/>
  <c r="I180" i="1"/>
  <c r="S122" i="1"/>
  <c r="K139" i="1"/>
  <c r="K143" i="1" s="1"/>
  <c r="K147" i="1" s="1"/>
  <c r="K150" i="1" s="1"/>
  <c r="K138" i="1"/>
  <c r="M121" i="1"/>
  <c r="M127" i="1"/>
  <c r="K151" i="1"/>
  <c r="O118" i="1"/>
  <c r="J151" i="1"/>
  <c r="O119" i="1"/>
  <c r="M130" i="1"/>
  <c r="M129" i="1"/>
  <c r="K146" i="1" l="1"/>
  <c r="K142" i="1"/>
  <c r="K144" i="1" s="1"/>
  <c r="K145" i="1"/>
  <c r="M135" i="1"/>
  <c r="O120" i="1"/>
  <c r="K152" i="1"/>
  <c r="L158" i="1"/>
  <c r="L165" i="1" s="1"/>
  <c r="L176" i="1" s="1"/>
  <c r="L157" i="1"/>
  <c r="L164" i="1" s="1"/>
  <c r="L175" i="1" s="1"/>
  <c r="L178" i="1" s="1"/>
  <c r="N121" i="1"/>
  <c r="N127" i="1"/>
  <c r="L139" i="1"/>
  <c r="L146" i="1" s="1"/>
  <c r="L138" i="1"/>
  <c r="M162" i="1"/>
  <c r="M177" i="1" s="1"/>
  <c r="M132" i="1"/>
  <c r="M131" i="1"/>
  <c r="M156" i="1"/>
  <c r="L145" i="1"/>
  <c r="L143" i="1"/>
  <c r="L147" i="1" s="1"/>
  <c r="L150" i="1" s="1"/>
  <c r="L142" i="1"/>
  <c r="L144" i="1" s="1"/>
  <c r="I190" i="1"/>
  <c r="G212" i="1" s="1"/>
  <c r="I182" i="1"/>
  <c r="L180" i="1"/>
  <c r="K180" i="1"/>
  <c r="P117" i="1"/>
  <c r="P116" i="1"/>
  <c r="N129" i="1"/>
  <c r="P119" i="1"/>
  <c r="L151" i="1"/>
  <c r="P118" i="1"/>
  <c r="N130" i="1"/>
  <c r="M141" i="1" l="1"/>
  <c r="N135" i="1"/>
  <c r="P120" i="1"/>
  <c r="M139" i="1"/>
  <c r="M146" i="1" s="1"/>
  <c r="M138" i="1"/>
  <c r="N162" i="1"/>
  <c r="N177" i="1" s="1"/>
  <c r="N132" i="1"/>
  <c r="N131" i="1"/>
  <c r="N156" i="1"/>
  <c r="J182" i="1"/>
  <c r="N180" i="1"/>
  <c r="O121" i="1"/>
  <c r="O127" i="1"/>
  <c r="L152" i="1"/>
  <c r="M158" i="1"/>
  <c r="M165" i="1" s="1"/>
  <c r="M176" i="1" s="1"/>
  <c r="M157" i="1"/>
  <c r="M164" i="1" s="1"/>
  <c r="M175" i="1" s="1"/>
  <c r="M178" i="1" s="1"/>
  <c r="M180" i="1"/>
  <c r="O180" i="1" s="1"/>
  <c r="O130" i="1"/>
  <c r="O129" i="1"/>
  <c r="P180" i="1" l="1"/>
  <c r="O135" i="1"/>
  <c r="M145" i="1"/>
  <c r="O132" i="1"/>
  <c r="O162" i="1"/>
  <c r="O177" i="1" s="1"/>
  <c r="O156" i="1"/>
  <c r="O131" i="1"/>
  <c r="K182" i="1"/>
  <c r="N138" i="1"/>
  <c r="N139" i="1"/>
  <c r="M142" i="1"/>
  <c r="P121" i="1"/>
  <c r="P127" i="1"/>
  <c r="N141" i="1"/>
  <c r="N158" i="1"/>
  <c r="N165" i="1" s="1"/>
  <c r="N176" i="1" s="1"/>
  <c r="N157" i="1"/>
  <c r="N164" i="1" s="1"/>
  <c r="N175" i="1" s="1"/>
  <c r="N178" i="1" s="1"/>
  <c r="M143" i="1"/>
  <c r="M147" i="1" s="1"/>
  <c r="M150" i="1" s="1"/>
  <c r="P130" i="1"/>
  <c r="M151" i="1"/>
  <c r="P129" i="1"/>
  <c r="P135" i="1" l="1"/>
  <c r="P132" i="1"/>
  <c r="P162" i="1"/>
  <c r="P177" i="1" s="1"/>
  <c r="P131" i="1"/>
  <c r="P141" i="1" s="1"/>
  <c r="P156" i="1"/>
  <c r="O139" i="1"/>
  <c r="O138" i="1"/>
  <c r="M152" i="1"/>
  <c r="M144" i="1"/>
  <c r="O158" i="1"/>
  <c r="O165" i="1" s="1"/>
  <c r="O176" i="1" s="1"/>
  <c r="O157" i="1"/>
  <c r="O164" i="1" s="1"/>
  <c r="O175" i="1" s="1"/>
  <c r="O178" i="1" s="1"/>
  <c r="O141" i="1"/>
  <c r="N146" i="1"/>
  <c r="N145" i="1"/>
  <c r="N143" i="1"/>
  <c r="N147" i="1" s="1"/>
  <c r="N150" i="1" s="1"/>
  <c r="N142" i="1"/>
  <c r="L182" i="1"/>
  <c r="N151" i="1"/>
  <c r="N144" i="1" l="1"/>
  <c r="N152" i="1"/>
  <c r="O145" i="1"/>
  <c r="O146" i="1"/>
  <c r="O143" i="1"/>
  <c r="O147" i="1" s="1"/>
  <c r="O150" i="1" s="1"/>
  <c r="O142" i="1"/>
  <c r="P158" i="1"/>
  <c r="P165" i="1" s="1"/>
  <c r="P176" i="1" s="1"/>
  <c r="P157" i="1"/>
  <c r="P164" i="1" s="1"/>
  <c r="P175" i="1" s="1"/>
  <c r="P178" i="1" s="1"/>
  <c r="P138" i="1"/>
  <c r="P139" i="1"/>
  <c r="P146" i="1" s="1"/>
  <c r="M182" i="1"/>
  <c r="O151" i="1"/>
  <c r="O152" i="1" l="1"/>
  <c r="O144" i="1"/>
  <c r="N182" i="1"/>
  <c r="P145" i="1"/>
  <c r="O182" i="1"/>
  <c r="P182" i="1" s="1"/>
  <c r="P142" i="1"/>
  <c r="P143" i="1"/>
  <c r="P147" i="1" s="1"/>
  <c r="P150" i="1" s="1"/>
  <c r="P151" i="1"/>
  <c r="P152" i="1" l="1"/>
  <c r="P144" i="1"/>
</calcChain>
</file>

<file path=xl/sharedStrings.xml><?xml version="1.0" encoding="utf-8"?>
<sst xmlns="http://schemas.openxmlformats.org/spreadsheetml/2006/main" count="774" uniqueCount="468">
  <si>
    <t>Datos de Entrada</t>
  </si>
  <si>
    <t>Masas</t>
  </si>
  <si>
    <t>Calores Requeridos</t>
  </si>
  <si>
    <t>Otros Datos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</si>
  <si>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</si>
  <si>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</si>
  <si>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</si>
  <si>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</si>
  <si>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</si>
  <si>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</si>
  <si>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</si>
  <si>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</si>
  <si>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</si>
  <si>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</si>
  <si>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</si>
  <si>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</si>
  <si>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</si>
  <si>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</si>
  <si>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</si>
  <si>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</si>
  <si>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</si>
  <si>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</si>
  <si>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</si>
  <si>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</si>
  <si>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</si>
  <si>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</si>
  <si>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</si>
  <si>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</si>
  <si>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</si>
  <si>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</si>
  <si>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</si>
  <si>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</si>
  <si>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</si>
  <si>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</si>
  <si>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</si>
  <si>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</si>
  <si>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</si>
  <si>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</si>
  <si>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</si>
  <si>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</si>
  <si>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</si>
  <si>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</si>
  <si>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</si>
  <si>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</si>
  <si>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</si>
  <si>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Plana</t>
  </si>
  <si>
    <t>Ad</t>
  </si>
  <si>
    <t>Densidades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</si>
  <si>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</si>
  <si>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</si>
  <si>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</si>
  <si>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</si>
  <si>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</si>
  <si>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</si>
  <si>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</si>
  <si>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</si>
  <si>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</si>
  <si>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</si>
  <si>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</si>
  <si>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</si>
  <si>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</si>
  <si>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</si>
  <si>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</si>
  <si>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</si>
  <si>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</si>
  <si>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</si>
  <si>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</si>
  <si>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</si>
  <si>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</si>
  <si>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</si>
  <si>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</si>
  <si>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</si>
  <si>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</si>
  <si>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</si>
  <si>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</si>
  <si>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</si>
  <si>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</si>
  <si>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</si>
  <si>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</si>
  <si>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</si>
  <si>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</si>
  <si>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Geometrias</t>
  </si>
  <si>
    <t>Numero de Pailas</t>
  </si>
  <si>
    <t>Nps</t>
  </si>
  <si>
    <t>Paila N°</t>
  </si>
  <si>
    <t>Npa</t>
  </si>
  <si>
    <t>Orden del flujo</t>
  </si>
  <si>
    <t>Orf</t>
  </si>
  <si>
    <t>Tipo de Paila</t>
  </si>
  <si>
    <t>TpPA</t>
  </si>
  <si>
    <t>SEMIESFERICA</t>
  </si>
  <si>
    <t>SEMICILINDRICA</t>
  </si>
  <si>
    <t>PLANA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</si>
  <si>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</si>
  <si>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</si>
  <si>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</si>
  <si>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</si>
  <si>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</si>
  <si>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</si>
  <si>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</si>
  <si>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</si>
  <si>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</si>
  <si>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</si>
  <si>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</si>
  <si>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</si>
  <si>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</si>
  <si>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SI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</si>
  <si>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</si>
  <si>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</si>
  <si>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</si>
  <si>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</si>
  <si>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</si>
  <si>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</si>
  <si>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</si>
  <si>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</si>
  <si>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</si>
  <si>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</si>
  <si>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</si>
  <si>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</si>
  <si>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</si>
  <si>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</si>
  <si>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</si>
  <si>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</si>
  <si>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</si>
  <si>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</si>
  <si>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t>Area Paredes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</si>
  <si>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</si>
  <si>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</si>
  <si>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</si>
  <si>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</si>
  <si>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</si>
  <si>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</si>
  <si>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Calculados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</si>
  <si>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</si>
  <si>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</si>
  <si>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</si>
  <si>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</si>
  <si>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</si>
  <si>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</si>
  <si>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</si>
  <si>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</si>
  <si>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</si>
  <si>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Temperatura de Ebullicion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</si>
  <si>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</si>
  <si>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</si>
  <si>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</si>
  <si>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</si>
  <si>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</si>
  <si>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</si>
  <si>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</si>
  <si>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</si>
  <si>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</si>
  <si>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</si>
  <si>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</si>
  <si>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</si>
  <si>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</si>
  <si>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</si>
  <si>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</si>
  <si>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</si>
  <si>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</si>
  <si>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</si>
  <si>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</si>
  <si>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</si>
  <si>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</si>
  <si>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</si>
  <si>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</si>
  <si>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</si>
  <si>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</si>
  <si>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</si>
  <si>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</si>
  <si>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</si>
  <si>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</si>
  <si>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</si>
  <si>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</si>
  <si>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</si>
  <si>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</si>
  <si>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</si>
  <si>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</si>
  <si>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</si>
  <si>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</si>
  <si>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</si>
  <si>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</si>
  <si>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</si>
  <si>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</si>
  <si>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</si>
  <si>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</si>
  <si>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</si>
  <si>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</si>
  <si>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</si>
  <si>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</si>
  <si>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</si>
  <si>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</si>
  <si>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</si>
  <si>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</si>
  <si>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</si>
  <si>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</si>
  <si>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</si>
  <si>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</si>
  <si>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</si>
  <si>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</si>
  <si>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</si>
  <si>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</si>
  <si>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</si>
  <si>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</si>
  <si>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Melotera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</si>
  <si>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</si>
  <si>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</si>
  <si>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</si>
  <si>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</si>
  <si>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</si>
  <si>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</si>
  <si>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</si>
  <si>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</si>
  <si>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</si>
  <si>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</si>
  <si>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</si>
  <si>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</si>
  <si>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</si>
  <si>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</si>
  <si>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</si>
  <si>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</si>
  <si>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</si>
  <si>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</si>
  <si>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</si>
  <si>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</si>
  <si>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</si>
  <si>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</si>
  <si>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</si>
  <si>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</si>
  <si>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</si>
  <si>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</si>
  <si>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</si>
  <si>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</si>
  <si>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</si>
  <si>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</si>
  <si>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</si>
  <si>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</si>
  <si>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</si>
  <si>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</si>
  <si>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</si>
  <si>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</si>
  <si>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</si>
  <si>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</si>
  <si>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</si>
  <si>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</si>
  <si>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</si>
  <si>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</si>
  <si>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</si>
  <si>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</si>
  <si>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</si>
  <si>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</si>
  <si>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</si>
  <si>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</si>
  <si>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</si>
  <si>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</si>
  <si>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</si>
  <si>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</si>
  <si>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</si>
  <si>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</si>
  <si>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</si>
  <si>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</si>
  <si>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</si>
  <si>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</si>
  <si>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</si>
  <si>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</si>
  <si>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</si>
  <si>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</si>
  <si>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</si>
  <si>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</si>
  <si>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</si>
  <si>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</si>
  <si>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</si>
  <si>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</si>
  <si>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</si>
  <si>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</si>
  <si>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</si>
  <si>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</si>
  <si>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</si>
  <si>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</si>
  <si>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</si>
  <si>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</si>
  <si>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</si>
  <si>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Borrar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</si>
  <si>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</si>
  <si>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</si>
  <si>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</si>
  <si>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</si>
  <si>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</si>
  <si>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</si>
  <si>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</si>
  <si>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</si>
  <si>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</si>
  <si>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</si>
  <si>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</si>
  <si>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</si>
  <si>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</si>
  <si>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</si>
  <si>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</si>
  <si>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</si>
  <si>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</si>
  <si>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</si>
  <si>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</si>
  <si>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</si>
  <si>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</si>
  <si>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</si>
  <si>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</si>
  <si>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</si>
  <si>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</si>
  <si>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</si>
  <si>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</si>
  <si>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</si>
  <si>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</si>
  <si>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</si>
  <si>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</si>
  <si>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</si>
  <si>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</si>
  <si>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</si>
  <si>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</si>
  <si>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</si>
  <si>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</si>
  <si>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</si>
  <si>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</si>
  <si>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</si>
  <si>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</si>
  <si>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</si>
  <si>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</si>
  <si>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-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</si>
  <si>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</si>
  <si>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</si>
  <si>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</si>
  <si>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</si>
  <si>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</si>
  <si>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</si>
  <si>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</si>
  <si>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</si>
  <si>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</si>
  <si>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</si>
  <si>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</si>
  <si>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</si>
  <si>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</si>
  <si>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</si>
  <si>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</si>
  <si>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</si>
  <si>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</si>
  <si>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</si>
  <si>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</si>
  <si>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</si>
  <si>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</si>
  <si>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</si>
  <si>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</si>
  <si>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</si>
  <si>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</si>
  <si>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</si>
  <si>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</si>
  <si>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Masa de agua evaporada (Kg)</t>
  </si>
  <si>
    <t>Tabla resultados Articulo</t>
  </si>
  <si>
    <t>Temp. Jugo (°C)</t>
  </si>
  <si>
    <t>Conductividad del jugo</t>
  </si>
  <si>
    <t>Area Piso y Techo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</si>
  <si>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</si>
  <si>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</si>
  <si>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</si>
  <si>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</si>
  <si>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</si>
  <si>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</si>
  <si>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Distribucion de Concentracion de solidos Solubles iniciales</t>
  </si>
  <si>
    <t>Calor por Radiación</t>
  </si>
  <si>
    <t>Areas que Cambian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</si>
  <si>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</si>
  <si>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</si>
  <si>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</si>
  <si>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</si>
  <si>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</si>
  <si>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</si>
  <si>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</si>
  <si>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</si>
  <si>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</si>
  <si>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</si>
  <si>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</si>
  <si>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</si>
  <si>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</si>
  <si>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>Eficiencia Global</t>
  </si>
  <si>
    <t>Ancho Seccion</t>
  </si>
  <si>
    <t>Area Calculada</t>
  </si>
  <si>
    <t>Especial &gt; 40 Kg</t>
  </si>
  <si>
    <t>Arp</t>
  </si>
  <si>
    <t>Longitud Seccion</t>
  </si>
  <si>
    <t>Ancho de Seccion</t>
  </si>
  <si>
    <t>Ansp</t>
  </si>
  <si>
    <t>N° Secciones An</t>
  </si>
  <si>
    <t>Lonsp</t>
  </si>
  <si>
    <t>N° Secciones An cl</t>
  </si>
  <si>
    <t>Numero de Secciones</t>
  </si>
  <si>
    <t>N°sp</t>
  </si>
  <si>
    <t>AD</t>
  </si>
  <si>
    <t>N° Secciones Lon</t>
  </si>
  <si>
    <t>Numero de Hileras</t>
  </si>
  <si>
    <t>N°hPrr</t>
  </si>
  <si>
    <t>Secciones Totales</t>
  </si>
  <si>
    <t>Ancho de Parrilla</t>
  </si>
  <si>
    <t>AnPrr</t>
  </si>
  <si>
    <t>ArpC</t>
  </si>
  <si>
    <t>Volumen Calculado</t>
  </si>
  <si>
    <t>Vcam</t>
  </si>
  <si>
    <t>m^3</t>
  </si>
  <si>
    <t>Ancho de camara</t>
  </si>
  <si>
    <t>AnCam</t>
  </si>
  <si>
    <t>Longitud Camara</t>
  </si>
  <si>
    <t>LonCam</t>
  </si>
  <si>
    <t xml:space="preserve">Altura camara </t>
  </si>
  <si>
    <t>Hcam</t>
  </si>
  <si>
    <t>Parrilla</t>
  </si>
  <si>
    <t>Calculada</t>
  </si>
  <si>
    <t>Manual</t>
  </si>
  <si>
    <t>Geometria camara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</si>
  <si>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</si>
  <si>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</si>
  <si>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</si>
  <si>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</si>
  <si>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</si>
  <si>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</si>
  <si>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</si>
  <si>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</si>
  <si>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</si>
  <si>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</si>
  <si>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</si>
  <si>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</si>
  <si>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</si>
  <si>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</si>
  <si>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</si>
  <si>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</si>
  <si>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</si>
  <si>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</si>
  <si>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</si>
  <si>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</si>
  <si>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</si>
  <si>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</si>
  <si>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</si>
  <si>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</si>
  <si>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</si>
  <si>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</si>
  <si>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</si>
  <si>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</si>
  <si>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</si>
  <si>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</si>
  <si>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</si>
  <si>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</si>
  <si>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</si>
  <si>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</si>
  <si>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</si>
  <si>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</si>
  <si>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</si>
  <si>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</si>
  <si>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</si>
  <si>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</si>
  <si>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</si>
  <si>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Area Necesaria</t>
  </si>
  <si>
    <t>Area TTL Cam</t>
  </si>
  <si>
    <t>Refractario</t>
  </si>
  <si>
    <t>Tipo de ladrillo</t>
  </si>
  <si>
    <t>Comun</t>
  </si>
  <si>
    <t>-----</t>
  </si>
  <si>
    <t>Semirefractario</t>
  </si>
  <si>
    <t>W/m°C</t>
  </si>
  <si>
    <t>Esp Camara</t>
  </si>
  <si>
    <t>Q Perd Camara</t>
  </si>
  <si>
    <t>W</t>
  </si>
  <si>
    <t>chim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</si>
</sst>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"/>
    <numFmt numFmtId="165" formatCode="0.000"/>
    <numFmt numFmtId="166" formatCode="0.000E+00"/>
    <numFmt numFmtId="167" formatCode="0.00000"/>
    <numFmt numFmtId="168" formatCode="0.0000"/>
    <numFmt numFmtId="169" formatCode="0.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93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5" xfId="0" applyNumberFormat="1" applyFill="1" applyBorder="1" applyAlignment="1">
      <alignment horizontal="left" vertical="center"/>
    </xf>
    <xf numFmtId="164" fontId="0" fillId="2" borderId="26" xfId="0" applyNumberFormat="1" applyFill="1" applyBorder="1" applyAlignment="1">
      <alignment horizontal="center" vertical="center"/>
    </xf>
    <xf numFmtId="164" fontId="0" fillId="2" borderId="27" xfId="0" applyNumberForma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9" xfId="0" applyNumberFormat="1" applyFill="1" applyBorder="1" applyAlignment="1">
      <alignment horizontal="left" vertical="center"/>
    </xf>
    <xf numFmtId="164" fontId="0" fillId="2" borderId="20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4" fontId="0" fillId="0" borderId="10" xfId="0" applyNumberFormat="1" applyFill="1" applyBorder="1" applyAlignment="1">
      <alignment vertical="center" shrinkToFit="1"/>
    </xf>
    <xf numFmtId="164" fontId="0" fillId="0" borderId="11" xfId="0" applyNumberFormat="1" applyFill="1" applyBorder="1" applyAlignment="1">
      <alignment vertical="center" shrinkToFit="1"/>
    </xf>
    <xf numFmtId="164" fontId="0" fillId="0" borderId="12" xfId="0" applyNumberFormat="1" applyFill="1" applyBorder="1" applyAlignment="1">
      <alignment vertical="center" shrinkToFit="1"/>
    </xf>
    <xf numFmtId="0" fontId="0" fillId="0" borderId="16" xfId="0" applyFill="1" applyBorder="1" applyAlignment="1">
      <alignment vertical="center" shrinkToFit="1"/>
    </xf>
    <xf numFmtId="0" fontId="0" fillId="0" borderId="17" xfId="0" applyFill="1" applyBorder="1" applyAlignment="1">
      <alignment vertical="center" shrinkToFit="1"/>
    </xf>
    <xf numFmtId="0" fontId="0" fillId="0" borderId="18" xfId="0" applyFill="1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0" fontId="0" fillId="0" borderId="11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36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0" xfId="0" applyFill="1" applyBorder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8" fillId="4" borderId="43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0" borderId="45" xfId="0" applyBorder="1" applyAlignment="1"/>
    <xf numFmtId="0" fontId="2" fillId="4" borderId="0" xfId="0" applyFont="1" applyFill="1" applyAlignment="1">
      <alignment horizontal="center" vertical="center" shrinkToFit="1"/>
    </xf>
    <xf numFmtId="0" fontId="0" fillId="7" borderId="7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9" xfId="0" applyFill="1" applyBorder="1" applyAlignment="1">
      <alignment horizontal="left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165" fontId="0" fillId="6" borderId="29" xfId="0" applyNumberFormat="1" applyFill="1" applyBorder="1" applyAlignment="1">
      <alignment horizontal="center" vertical="center"/>
    </xf>
    <xf numFmtId="165" fontId="0" fillId="6" borderId="30" xfId="0" applyNumberForma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0" fontId="2" fillId="4" borderId="0" xfId="0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8" fillId="9" borderId="34" xfId="0" applyNumberFormat="1" applyFont="1" applyFill="1" applyBorder="1" applyProtection="1">
      <protection hidden="1"/>
    </xf>
    <xf numFmtId="0" fontId="8" fillId="8" borderId="8" xfId="0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1" fontId="0" fillId="4" borderId="0" xfId="0" applyNumberFormat="1" applyFill="1"/>
    <xf numFmtId="0" fontId="8" fillId="4" borderId="5" xfId="0" applyFont="1" applyFill="1" applyBorder="1" applyAlignment="1">
      <alignment horizontal="center"/>
    </xf>
    <xf numFmtId="0" fontId="8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4" fontId="8" fillId="10" borderId="8" xfId="0" applyNumberFormat="1" applyFont="1" applyFill="1" applyBorder="1" applyAlignment="1">
      <alignment horizontal="center" vertical="center"/>
    </xf>
    <xf numFmtId="164" fontId="8" fillId="10" borderId="9" xfId="0" applyNumberFormat="1" applyFont="1" applyFill="1" applyBorder="1" applyAlignment="1">
      <alignment horizontal="center" vertical="center"/>
    </xf>
    <xf numFmtId="165" fontId="8" fillId="8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0" fillId="0" borderId="49" xfId="0" applyBorder="1" applyAlignment="1"/>
    <xf numFmtId="0" fontId="6" fillId="11" borderId="33" xfId="0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/>
    </xf>
    <xf numFmtId="0" fontId="8" fillId="11" borderId="19" xfId="0" applyFont="1" applyFill="1" applyBorder="1" applyAlignment="1">
      <alignment horizontal="center" vertical="center"/>
    </xf>
    <xf numFmtId="0" fontId="8" fillId="11" borderId="20" xfId="0" applyFont="1" applyFill="1" applyBorder="1" applyAlignment="1">
      <alignment horizontal="center" vertical="center"/>
    </xf>
    <xf numFmtId="165" fontId="0" fillId="11" borderId="20" xfId="0" applyNumberFormat="1" applyFill="1" applyBorder="1" applyAlignment="1">
      <alignment horizontal="center"/>
    </xf>
    <xf numFmtId="165" fontId="0" fillId="11" borderId="21" xfId="0" applyNumberFormat="1" applyFill="1" applyBorder="1" applyAlignment="1">
      <alignment horizont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165" fontId="0" fillId="11" borderId="8" xfId="0" applyNumberFormat="1" applyFill="1" applyBorder="1" applyAlignment="1">
      <alignment horizontal="center"/>
    </xf>
    <xf numFmtId="165" fontId="0" fillId="11" borderId="9" xfId="0" applyNumberFormat="1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20" xfId="0" applyFill="1" applyBorder="1" applyAlignment="1">
      <alignment horizontal="center"/>
    </xf>
    <xf numFmtId="164" fontId="0" fillId="11" borderId="1" xfId="0" applyNumberFormat="1" applyFill="1" applyBorder="1" applyAlignment="1">
      <alignment horizontal="left" vertical="center"/>
    </xf>
    <xf numFmtId="164" fontId="0" fillId="11" borderId="2" xfId="0" applyNumberFormat="1" applyFill="1" applyBorder="1" applyAlignment="1">
      <alignment horizontal="center" vertical="center"/>
    </xf>
    <xf numFmtId="164" fontId="0" fillId="11" borderId="3" xfId="0" applyNumberFormat="1" applyFill="1" applyBorder="1" applyAlignment="1">
      <alignment horizontal="center" vertical="center"/>
    </xf>
    <xf numFmtId="0" fontId="0" fillId="11" borderId="7" xfId="0" applyFill="1" applyBorder="1" applyAlignment="1">
      <alignment horizontal="left" vertical="center"/>
    </xf>
    <xf numFmtId="0" fontId="0" fillId="11" borderId="9" xfId="0" applyFill="1" applyBorder="1" applyAlignment="1">
      <alignment horizontal="center" vertical="center"/>
    </xf>
    <xf numFmtId="0" fontId="0" fillId="11" borderId="7" xfId="0" applyFill="1" applyBorder="1"/>
    <xf numFmtId="0" fontId="0" fillId="11" borderId="8" xfId="0" applyFill="1" applyBorder="1"/>
    <xf numFmtId="9" fontId="0" fillId="11" borderId="8" xfId="0" applyNumberFormat="1" applyFill="1" applyBorder="1" applyAlignment="1">
      <alignment horizontal="center"/>
    </xf>
    <xf numFmtId="0" fontId="0" fillId="11" borderId="9" xfId="0" applyFill="1" applyBorder="1"/>
    <xf numFmtId="0" fontId="0" fillId="11" borderId="19" xfId="0" applyFill="1" applyBorder="1" applyAlignment="1">
      <alignment horizontal="left" vertical="center"/>
    </xf>
    <xf numFmtId="0" fontId="0" fillId="11" borderId="20" xfId="0" applyFill="1" applyBorder="1" applyAlignment="1">
      <alignment horizontal="center" vertical="center"/>
    </xf>
    <xf numFmtId="10" fontId="0" fillId="11" borderId="20" xfId="0" applyNumberFormat="1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165" fontId="0" fillId="11" borderId="34" xfId="0" applyNumberFormat="1" applyFill="1" applyBorder="1" applyAlignment="1">
      <alignment horizontal="center"/>
    </xf>
    <xf numFmtId="165" fontId="0" fillId="11" borderId="35" xfId="0" applyNumberFormat="1" applyFill="1" applyBorder="1" applyAlignment="1">
      <alignment horizontal="center"/>
    </xf>
    <xf numFmtId="165" fontId="0" fillId="11" borderId="2" xfId="0" applyNumberFormat="1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 vertical="center"/>
    </xf>
    <xf numFmtId="165" fontId="0" fillId="11" borderId="7" xfId="0" applyNumberForma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164" fontId="8" fillId="6" borderId="8" xfId="0" applyNumberFormat="1" applyFont="1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164" fontId="8" fillId="6" borderId="20" xfId="0" applyNumberFormat="1" applyFont="1" applyFill="1" applyBorder="1" applyAlignment="1">
      <alignment horizontal="center" vertical="center"/>
    </xf>
    <xf numFmtId="164" fontId="8" fillId="6" borderId="21" xfId="0" applyNumberFormat="1" applyFont="1" applyFill="1" applyBorder="1" applyAlignment="1">
      <alignment horizontal="center" vertical="center"/>
    </xf>
    <xf numFmtId="0" fontId="8" fillId="6" borderId="33" xfId="0" applyFont="1" applyFill="1" applyBorder="1" applyAlignment="1">
      <alignment horizontal="center" vertical="center"/>
    </xf>
    <xf numFmtId="0" fontId="8" fillId="6" borderId="34" xfId="0" applyFont="1" applyFill="1" applyBorder="1" applyAlignment="1">
      <alignment horizontal="center" vertical="center"/>
    </xf>
    <xf numFmtId="0" fontId="8" fillId="6" borderId="35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65" fontId="8" fillId="6" borderId="2" xfId="0" applyNumberFormat="1" applyFont="1" applyFill="1" applyBorder="1" applyProtection="1">
      <protection hidden="1"/>
    </xf>
    <xf numFmtId="165" fontId="8" fillId="6" borderId="3" xfId="0" applyNumberFormat="1" applyFont="1" applyFill="1" applyBorder="1" applyProtection="1">
      <protection hidden="1"/>
    </xf>
    <xf numFmtId="0" fontId="0" fillId="6" borderId="40" xfId="0" applyFill="1" applyBorder="1" applyAlignment="1">
      <alignment horizontal="left" vertical="center"/>
    </xf>
    <xf numFmtId="0" fontId="0" fillId="6" borderId="32" xfId="0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39" xfId="0" quotePrefix="1" applyFill="1" applyBorder="1" applyAlignment="1">
      <alignment horizontal="center" vertical="center"/>
    </xf>
    <xf numFmtId="0" fontId="0" fillId="6" borderId="28" xfId="0" applyFill="1" applyBorder="1" applyAlignment="1">
      <alignment horizontal="left" vertical="center"/>
    </xf>
    <xf numFmtId="0" fontId="4" fillId="6" borderId="29" xfId="0" applyFont="1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165" fontId="0" fillId="6" borderId="28" xfId="0" applyNumberForma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left" vertical="center"/>
    </xf>
    <xf numFmtId="166" fontId="8" fillId="6" borderId="7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6" fontId="8" fillId="6" borderId="9" xfId="0" applyNumberFormat="1" applyFont="1" applyFill="1" applyBorder="1" applyAlignment="1">
      <alignment horizontal="center" vertical="center"/>
    </xf>
    <xf numFmtId="0" fontId="0" fillId="6" borderId="19" xfId="0" applyFill="1" applyBorder="1" applyAlignment="1">
      <alignment horizontal="left" vertical="center"/>
    </xf>
    <xf numFmtId="0" fontId="0" fillId="6" borderId="20" xfId="0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horizontal="center" vertical="center"/>
    </xf>
    <xf numFmtId="165" fontId="8" fillId="6" borderId="21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6" borderId="3" xfId="0" applyFill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5" fillId="0" borderId="8" xfId="0" applyFont="1" applyBorder="1" applyAlignment="1">
      <alignment horizontal="center" vertical="center" wrapText="1"/>
    </xf>
    <xf numFmtId="165" fontId="15" fillId="0" borderId="8" xfId="0" applyNumberFormat="1" applyFont="1" applyFill="1" applyBorder="1" applyAlignment="1">
      <alignment horizontal="center" vertical="center"/>
    </xf>
    <xf numFmtId="165" fontId="15" fillId="0" borderId="20" xfId="0" applyNumberFormat="1" applyFont="1" applyFill="1" applyBorder="1" applyAlignment="1">
      <alignment horizontal="center" vertical="center"/>
    </xf>
    <xf numFmtId="11" fontId="0" fillId="6" borderId="8" xfId="0" applyNumberFormat="1" applyFill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0" fillId="6" borderId="46" xfId="0" applyFill="1" applyBorder="1" applyAlignment="1">
      <alignment horizontal="center" vertical="center"/>
    </xf>
    <xf numFmtId="166" fontId="0" fillId="6" borderId="7" xfId="0" applyNumberFormat="1" applyFill="1" applyBorder="1"/>
    <xf numFmtId="11" fontId="0" fillId="6" borderId="9" xfId="0" applyNumberFormat="1" applyFill="1" applyBorder="1" applyAlignment="1">
      <alignment horizontal="center"/>
    </xf>
    <xf numFmtId="11" fontId="8" fillId="6" borderId="7" xfId="0" applyNumberFormat="1" applyFont="1" applyFill="1" applyBorder="1" applyAlignment="1">
      <alignment horizontal="center"/>
    </xf>
    <xf numFmtId="11" fontId="8" fillId="6" borderId="8" xfId="0" applyNumberFormat="1" applyFont="1" applyFill="1" applyBorder="1" applyAlignment="1">
      <alignment horizontal="center"/>
    </xf>
    <xf numFmtId="11" fontId="8" fillId="6" borderId="9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4" borderId="0" xfId="0" applyFill="1" applyBorder="1" applyAlignment="1">
      <alignment shrinkToFit="1"/>
    </xf>
    <xf numFmtId="0" fontId="0" fillId="4" borderId="2" xfId="0" applyFill="1" applyBorder="1" applyAlignment="1">
      <alignment horizontal="center" shrinkToFit="1"/>
    </xf>
    <xf numFmtId="0" fontId="0" fillId="4" borderId="8" xfId="0" applyFill="1" applyBorder="1" applyAlignment="1">
      <alignment horizontal="center" shrinkToFit="1"/>
    </xf>
    <xf numFmtId="167" fontId="0" fillId="4" borderId="20" xfId="0" applyNumberFormat="1" applyFill="1" applyBorder="1" applyAlignment="1">
      <alignment horizontal="center" shrinkToFit="1"/>
    </xf>
    <xf numFmtId="0" fontId="8" fillId="4" borderId="8" xfId="0" applyFont="1" applyFill="1" applyBorder="1" applyAlignment="1">
      <alignment horizontal="center" vertical="center" shrinkToFit="1"/>
    </xf>
    <xf numFmtId="0" fontId="0" fillId="4" borderId="0" xfId="0" applyFill="1" applyBorder="1" applyAlignment="1">
      <alignment horizontal="center" shrinkToFit="1"/>
    </xf>
    <xf numFmtId="0" fontId="8" fillId="6" borderId="2" xfId="0" applyFont="1" applyFill="1" applyBorder="1" applyAlignment="1">
      <alignment horizontal="center" vertical="center" shrinkToFit="1"/>
    </xf>
    <xf numFmtId="164" fontId="8" fillId="10" borderId="8" xfId="0" applyNumberFormat="1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164" fontId="8" fillId="6" borderId="20" xfId="0" applyNumberFormat="1" applyFont="1" applyFill="1" applyBorder="1" applyAlignment="1">
      <alignment horizontal="center" vertical="center" shrinkToFit="1"/>
    </xf>
    <xf numFmtId="0" fontId="8" fillId="6" borderId="34" xfId="0" applyFont="1" applyFill="1" applyBorder="1" applyAlignment="1">
      <alignment horizontal="center" vertical="center" shrinkToFit="1"/>
    </xf>
    <xf numFmtId="165" fontId="8" fillId="8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2" fillId="4" borderId="0" xfId="0" applyFont="1" applyFill="1" applyAlignment="1">
      <alignment shrinkToFit="1"/>
    </xf>
    <xf numFmtId="165" fontId="8" fillId="9" borderId="34" xfId="0" applyNumberFormat="1" applyFont="1" applyFill="1" applyBorder="1" applyAlignment="1" applyProtection="1">
      <alignment shrinkToFit="1"/>
      <protection hidden="1"/>
    </xf>
    <xf numFmtId="165" fontId="8" fillId="6" borderId="2" xfId="0" applyNumberFormat="1" applyFont="1" applyFill="1" applyBorder="1" applyAlignment="1" applyProtection="1">
      <alignment shrinkToFit="1"/>
      <protection hidden="1"/>
    </xf>
    <xf numFmtId="0" fontId="0" fillId="0" borderId="37" xfId="0" applyBorder="1" applyAlignment="1">
      <alignment horizontal="center" vertical="center" shrinkToFit="1"/>
    </xf>
    <xf numFmtId="165" fontId="0" fillId="6" borderId="2" xfId="0" applyNumberFormat="1" applyFill="1" applyBorder="1" applyAlignment="1">
      <alignment horizontal="center" vertical="center" shrinkToFit="1"/>
    </xf>
    <xf numFmtId="165" fontId="0" fillId="6" borderId="8" xfId="0" applyNumberForma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horizontal="center" vertical="center" shrinkToFit="1"/>
    </xf>
    <xf numFmtId="165" fontId="0" fillId="6" borderId="29" xfId="0" applyNumberFormat="1" applyFill="1" applyBorder="1" applyAlignment="1">
      <alignment horizontal="center" vertical="center" shrinkToFit="1"/>
    </xf>
    <xf numFmtId="166" fontId="8" fillId="6" borderId="8" xfId="0" applyNumberFormat="1" applyFont="1" applyFill="1" applyBorder="1" applyAlignment="1">
      <alignment horizontal="center" vertical="center" shrinkToFit="1"/>
    </xf>
    <xf numFmtId="166" fontId="0" fillId="6" borderId="8" xfId="0" applyNumberFormat="1" applyFill="1" applyBorder="1" applyAlignment="1">
      <alignment shrinkToFit="1"/>
    </xf>
    <xf numFmtId="165" fontId="8" fillId="6" borderId="20" xfId="0" applyNumberFormat="1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7" borderId="20" xfId="0" applyFill="1" applyBorder="1" applyAlignment="1">
      <alignment horizontal="center" vertical="center" shrinkToFit="1"/>
    </xf>
    <xf numFmtId="0" fontId="8" fillId="4" borderId="5" xfId="0" applyFont="1" applyFill="1" applyBorder="1" applyAlignment="1">
      <alignment horizontal="center" shrinkToFit="1"/>
    </xf>
    <xf numFmtId="0" fontId="8" fillId="4" borderId="0" xfId="0" applyFont="1" applyFill="1" applyAlignment="1">
      <alignment horizontal="center" vertical="center" shrinkToFit="1"/>
    </xf>
    <xf numFmtId="0" fontId="8" fillId="0" borderId="37" xfId="0" applyFont="1" applyBorder="1" applyAlignment="1">
      <alignment horizontal="center" vertical="center" shrinkToFit="1"/>
    </xf>
    <xf numFmtId="11" fontId="8" fillId="6" borderId="8" xfId="0" applyNumberFormat="1" applyFont="1" applyFill="1" applyBorder="1" applyAlignment="1">
      <alignment horizontal="center" shrinkToFit="1"/>
    </xf>
    <xf numFmtId="0" fontId="8" fillId="6" borderId="20" xfId="0" applyFont="1" applyFill="1" applyBorder="1" applyAlignment="1">
      <alignment horizontal="center" vertical="center" shrinkToFit="1"/>
    </xf>
    <xf numFmtId="165" fontId="0" fillId="11" borderId="2" xfId="0" applyNumberFormat="1" applyFill="1" applyBorder="1" applyAlignment="1">
      <alignment horizontal="center" shrinkToFit="1"/>
    </xf>
    <xf numFmtId="165" fontId="0" fillId="11" borderId="8" xfId="0" applyNumberFormat="1" applyFill="1" applyBorder="1" applyAlignment="1">
      <alignment horizontal="center" shrinkToFit="1"/>
    </xf>
    <xf numFmtId="165" fontId="0" fillId="11" borderId="20" xfId="0" applyNumberFormat="1" applyFill="1" applyBorder="1" applyAlignment="1">
      <alignment horizontal="center" shrinkToFit="1"/>
    </xf>
    <xf numFmtId="165" fontId="0" fillId="11" borderId="34" xfId="0" applyNumberFormat="1" applyFill="1" applyBorder="1" applyAlignment="1">
      <alignment horizontal="center" shrinkToFit="1"/>
    </xf>
    <xf numFmtId="0" fontId="0" fillId="4" borderId="14" xfId="0" applyFill="1" applyBorder="1" applyAlignment="1">
      <alignment shrinkToFit="1"/>
    </xf>
    <xf numFmtId="165" fontId="15" fillId="0" borderId="8" xfId="0" applyNumberFormat="1" applyFont="1" applyFill="1" applyBorder="1" applyAlignment="1">
      <alignment horizontal="center" vertical="center" shrinkToFit="1"/>
    </xf>
    <xf numFmtId="165" fontId="15" fillId="0" borderId="20" xfId="0" applyNumberFormat="1" applyFon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center" shrinkToFit="1"/>
    </xf>
    <xf numFmtId="164" fontId="2" fillId="4" borderId="0" xfId="0" applyNumberFormat="1" applyFont="1" applyFill="1" applyBorder="1" applyAlignment="1">
      <alignment horizontal="center" shrinkToFit="1"/>
    </xf>
    <xf numFmtId="11" fontId="0" fillId="4" borderId="0" xfId="0" applyNumberFormat="1" applyFill="1" applyAlignment="1">
      <alignment shrinkToFit="1"/>
    </xf>
    <xf numFmtId="165" fontId="0" fillId="11" borderId="12" xfId="0" applyNumberFormat="1" applyFill="1" applyBorder="1" applyAlignment="1">
      <alignment shrinkToFit="1"/>
    </xf>
    <xf numFmtId="0" fontId="0" fillId="11" borderId="18" xfId="0" applyFill="1" applyBorder="1" applyAlignment="1">
      <alignment shrinkToFit="1"/>
    </xf>
    <xf numFmtId="165" fontId="0" fillId="11" borderId="51" xfId="0" applyNumberFormat="1" applyFill="1" applyBorder="1" applyAlignment="1">
      <alignment shrinkToFit="1"/>
    </xf>
    <xf numFmtId="165" fontId="8" fillId="4" borderId="0" xfId="0" applyNumberFormat="1" applyFont="1" applyFill="1"/>
    <xf numFmtId="165" fontId="8" fillId="6" borderId="1" xfId="0" applyNumberFormat="1" applyFont="1" applyFill="1" applyBorder="1" applyAlignment="1">
      <alignment horizontal="left" vertical="center"/>
    </xf>
    <xf numFmtId="165" fontId="8" fillId="6" borderId="2" xfId="0" applyNumberFormat="1" applyFont="1" applyFill="1" applyBorder="1" applyAlignment="1">
      <alignment horizontal="center" vertical="center"/>
    </xf>
    <xf numFmtId="165" fontId="8" fillId="6" borderId="3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 shrinkToFit="1"/>
    </xf>
    <xf numFmtId="165" fontId="8" fillId="6" borderId="3" xfId="0" applyNumberFormat="1" applyFont="1" applyFill="1" applyBorder="1" applyAlignment="1">
      <alignment horizontal="center" vertical="center" shrinkToFit="1"/>
    </xf>
    <xf numFmtId="165" fontId="8" fillId="2" borderId="7" xfId="0" applyNumberFormat="1" applyFont="1" applyFill="1" applyBorder="1" applyAlignment="1">
      <alignment horizontal="left" vertical="center"/>
    </xf>
    <xf numFmtId="10" fontId="8" fillId="2" borderId="8" xfId="1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left" vertical="center" shrinkToFit="1"/>
    </xf>
    <xf numFmtId="165" fontId="8" fillId="6" borderId="8" xfId="0" applyNumberFormat="1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 shrinkToFit="1"/>
    </xf>
    <xf numFmtId="165" fontId="8" fillId="6" borderId="9" xfId="0" applyNumberFormat="1" applyFont="1" applyFill="1" applyBorder="1" applyAlignment="1">
      <alignment horizontal="center" vertical="center" shrinkToFit="1"/>
    </xf>
    <xf numFmtId="165" fontId="8" fillId="6" borderId="7" xfId="0" applyNumberFormat="1" applyFont="1" applyFill="1" applyBorder="1" applyAlignment="1">
      <alignment horizontal="left" vertical="center"/>
    </xf>
    <xf numFmtId="10" fontId="8" fillId="6" borderId="8" xfId="1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left" vertical="center"/>
    </xf>
    <xf numFmtId="165" fontId="8" fillId="6" borderId="19" xfId="0" applyNumberFormat="1" applyFont="1" applyFill="1" applyBorder="1" applyAlignment="1">
      <alignment horizontal="center" vertical="center" shrinkToFit="1"/>
    </xf>
    <xf numFmtId="165" fontId="8" fillId="6" borderId="20" xfId="0" applyNumberFormat="1" applyFont="1" applyFill="1" applyBorder="1" applyAlignment="1">
      <alignment horizontal="center"/>
    </xf>
    <xf numFmtId="165" fontId="8" fillId="6" borderId="21" xfId="0" applyNumberFormat="1" applyFont="1" applyFill="1" applyBorder="1" applyAlignment="1">
      <alignment horizontal="center" vertical="center" shrinkToFit="1"/>
    </xf>
    <xf numFmtId="165" fontId="8" fillId="4" borderId="0" xfId="0" applyNumberFormat="1" applyFont="1" applyFill="1" applyBorder="1" applyAlignment="1">
      <alignment vertical="center"/>
    </xf>
    <xf numFmtId="165" fontId="8" fillId="4" borderId="0" xfId="0" applyNumberFormat="1" applyFont="1" applyFill="1" applyAlignment="1">
      <alignment shrinkToFit="1"/>
    </xf>
    <xf numFmtId="165" fontId="8" fillId="6" borderId="28" xfId="0" applyNumberFormat="1" applyFont="1" applyFill="1" applyBorder="1" applyAlignment="1">
      <alignment horizontal="left" vertical="center" shrinkToFit="1"/>
    </xf>
    <xf numFmtId="165" fontId="8" fillId="6" borderId="29" xfId="0" applyNumberFormat="1" applyFont="1" applyFill="1" applyBorder="1" applyAlignment="1">
      <alignment horizontal="center" vertical="center"/>
    </xf>
    <xf numFmtId="165" fontId="8" fillId="6" borderId="30" xfId="0" applyNumberFormat="1" applyFont="1" applyFill="1" applyBorder="1" applyAlignment="1">
      <alignment horizontal="center" vertical="center"/>
    </xf>
    <xf numFmtId="165" fontId="8" fillId="6" borderId="8" xfId="0" applyNumberFormat="1" applyFont="1" applyFill="1" applyBorder="1" applyAlignment="1">
      <alignment horizontal="center"/>
    </xf>
    <xf numFmtId="165" fontId="8" fillId="6" borderId="40" xfId="0" applyNumberFormat="1" applyFont="1" applyFill="1" applyBorder="1" applyAlignment="1">
      <alignment horizontal="left" vertical="center"/>
    </xf>
    <xf numFmtId="165" fontId="8" fillId="6" borderId="32" xfId="0" applyNumberFormat="1" applyFont="1" applyFill="1" applyBorder="1" applyAlignment="1">
      <alignment horizontal="center" vertical="center"/>
    </xf>
    <xf numFmtId="165" fontId="8" fillId="6" borderId="41" xfId="0" applyNumberFormat="1" applyFont="1" applyFill="1" applyBorder="1" applyAlignment="1">
      <alignment horizontal="center" vertical="center"/>
    </xf>
    <xf numFmtId="165" fontId="8" fillId="6" borderId="21" xfId="0" applyNumberFormat="1" applyFont="1" applyFill="1" applyBorder="1" applyAlignment="1">
      <alignment vertical="center" shrinkToFit="1"/>
    </xf>
    <xf numFmtId="0" fontId="8" fillId="4" borderId="0" xfId="0" applyFont="1" applyFill="1" applyAlignment="1">
      <alignment shrinkToFit="1"/>
    </xf>
    <xf numFmtId="0" fontId="8" fillId="4" borderId="0" xfId="0" applyFont="1" applyFill="1"/>
    <xf numFmtId="0" fontId="8" fillId="6" borderId="2" xfId="0" applyFont="1" applyFill="1" applyBorder="1"/>
    <xf numFmtId="0" fontId="8" fillId="6" borderId="3" xfId="0" applyFont="1" applyFill="1" applyBorder="1" applyAlignment="1">
      <alignment shrinkToFit="1"/>
    </xf>
    <xf numFmtId="165" fontId="8" fillId="6" borderId="19" xfId="0" applyNumberFormat="1" applyFont="1" applyFill="1" applyBorder="1" applyAlignment="1">
      <alignment vertical="center" shrinkToFit="1"/>
    </xf>
    <xf numFmtId="165" fontId="8" fillId="6" borderId="20" xfId="0" applyNumberFormat="1" applyFont="1" applyFill="1" applyBorder="1" applyAlignment="1">
      <alignment vertical="center"/>
    </xf>
    <xf numFmtId="165" fontId="8" fillId="4" borderId="0" xfId="0" applyNumberFormat="1" applyFont="1" applyFill="1" applyBorder="1" applyAlignment="1">
      <alignment horizontal="left" vertical="center"/>
    </xf>
    <xf numFmtId="165" fontId="8" fillId="4" borderId="0" xfId="0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left" vertical="center" shrinkToFit="1"/>
    </xf>
    <xf numFmtId="165" fontId="8" fillId="6" borderId="33" xfId="0" applyNumberFormat="1" applyFont="1" applyFill="1" applyBorder="1" applyAlignment="1">
      <alignment horizontal="left" vertical="center"/>
    </xf>
    <xf numFmtId="0" fontId="8" fillId="0" borderId="5" xfId="0" applyFont="1" applyBorder="1"/>
    <xf numFmtId="165" fontId="8" fillId="3" borderId="35" xfId="0" applyNumberFormat="1" applyFont="1" applyFill="1" applyBorder="1" applyAlignment="1">
      <alignment horizontal="center" vertical="center"/>
    </xf>
    <xf numFmtId="165" fontId="8" fillId="9" borderId="33" xfId="0" applyNumberFormat="1" applyFont="1" applyFill="1" applyBorder="1" applyAlignment="1">
      <alignment horizontal="left" vertical="center"/>
    </xf>
    <xf numFmtId="0" fontId="8" fillId="9" borderId="34" xfId="0" applyFont="1" applyFill="1" applyBorder="1"/>
    <xf numFmtId="0" fontId="8" fillId="9" borderId="34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0" xfId="0" applyFont="1" applyFill="1" applyBorder="1"/>
    <xf numFmtId="165" fontId="8" fillId="4" borderId="0" xfId="0" applyNumberFormat="1" applyFont="1" applyFill="1" applyBorder="1"/>
    <xf numFmtId="0" fontId="8" fillId="6" borderId="2" xfId="0" applyFont="1" applyFill="1" applyBorder="1" applyAlignment="1">
      <alignment horizontal="center"/>
    </xf>
    <xf numFmtId="165" fontId="8" fillId="6" borderId="2" xfId="0" applyNumberFormat="1" applyFont="1" applyFill="1" applyBorder="1"/>
    <xf numFmtId="0" fontId="8" fillId="6" borderId="8" xfId="0" applyFont="1" applyFill="1" applyBorder="1"/>
    <xf numFmtId="0" fontId="8" fillId="6" borderId="8" xfId="0" applyFont="1" applyFill="1" applyBorder="1" applyAlignment="1">
      <alignment horizontal="center"/>
    </xf>
    <xf numFmtId="165" fontId="8" fillId="6" borderId="8" xfId="0" applyNumberFormat="1" applyFont="1" applyFill="1" applyBorder="1"/>
    <xf numFmtId="165" fontId="8" fillId="6" borderId="8" xfId="0" applyNumberFormat="1" applyFont="1" applyFill="1" applyBorder="1" applyAlignment="1">
      <alignment shrinkToFit="1"/>
    </xf>
    <xf numFmtId="165" fontId="8" fillId="6" borderId="9" xfId="0" applyNumberFormat="1" applyFont="1" applyFill="1" applyBorder="1"/>
    <xf numFmtId="165" fontId="8" fillId="12" borderId="7" xfId="0" applyNumberFormat="1" applyFont="1" applyFill="1" applyBorder="1"/>
    <xf numFmtId="0" fontId="8" fillId="12" borderId="8" xfId="0" applyFont="1" applyFill="1" applyBorder="1"/>
    <xf numFmtId="0" fontId="8" fillId="12" borderId="8" xfId="0" applyFont="1" applyFill="1" applyBorder="1" applyAlignment="1">
      <alignment horizontal="center"/>
    </xf>
    <xf numFmtId="165" fontId="8" fillId="12" borderId="8" xfId="0" applyNumberFormat="1" applyFont="1" applyFill="1" applyBorder="1"/>
    <xf numFmtId="165" fontId="8" fillId="12" borderId="8" xfId="0" applyNumberFormat="1" applyFont="1" applyFill="1" applyBorder="1" applyAlignment="1">
      <alignment shrinkToFit="1"/>
    </xf>
    <xf numFmtId="165" fontId="8" fillId="12" borderId="9" xfId="0" applyNumberFormat="1" applyFont="1" applyFill="1" applyBorder="1"/>
    <xf numFmtId="165" fontId="8" fillId="12" borderId="7" xfId="0" applyNumberFormat="1" applyFont="1" applyFill="1" applyBorder="1" applyAlignment="1">
      <alignment horizontal="left" vertical="center"/>
    </xf>
    <xf numFmtId="165" fontId="8" fillId="6" borderId="7" xfId="0" applyNumberFormat="1" applyFont="1" applyFill="1" applyBorder="1"/>
    <xf numFmtId="165" fontId="8" fillId="6" borderId="19" xfId="0" applyNumberFormat="1" applyFont="1" applyFill="1" applyBorder="1"/>
    <xf numFmtId="165" fontId="8" fillId="6" borderId="20" xfId="0" applyNumberFormat="1" applyFont="1" applyFill="1" applyBorder="1"/>
    <xf numFmtId="165" fontId="8" fillId="6" borderId="20" xfId="0" applyNumberFormat="1" applyFont="1" applyFill="1" applyBorder="1" applyAlignment="1">
      <alignment shrinkToFit="1"/>
    </xf>
    <xf numFmtId="165" fontId="8" fillId="6" borderId="21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 shrinkToFit="1"/>
    </xf>
    <xf numFmtId="165" fontId="0" fillId="8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 shrinkToFit="1"/>
    </xf>
    <xf numFmtId="0" fontId="10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 shrinkToFit="1"/>
    </xf>
    <xf numFmtId="0" fontId="8" fillId="8" borderId="3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8" fillId="8" borderId="19" xfId="0" applyFont="1" applyFill="1" applyBorder="1" applyAlignment="1">
      <alignment horizontal="center" vertical="center"/>
    </xf>
    <xf numFmtId="0" fontId="8" fillId="8" borderId="20" xfId="0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 shrinkToFit="1"/>
    </xf>
    <xf numFmtId="0" fontId="8" fillId="8" borderId="42" xfId="0" applyFont="1" applyFill="1" applyBorder="1" applyAlignment="1">
      <alignment horizontal="center" vertical="center"/>
    </xf>
    <xf numFmtId="165" fontId="8" fillId="8" borderId="43" xfId="0" applyNumberFormat="1" applyFont="1" applyFill="1" applyBorder="1" applyAlignment="1">
      <alignment horizontal="center" vertical="center"/>
    </xf>
    <xf numFmtId="165" fontId="0" fillId="8" borderId="43" xfId="0" applyNumberFormat="1" applyFill="1" applyBorder="1" applyAlignment="1">
      <alignment horizontal="center"/>
    </xf>
    <xf numFmtId="165" fontId="8" fillId="8" borderId="44" xfId="0" applyNumberFormat="1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8" fillId="8" borderId="21" xfId="0" applyFont="1" applyFill="1" applyBorder="1" applyAlignment="1">
      <alignment horizontal="center" vertical="center"/>
    </xf>
    <xf numFmtId="165" fontId="0" fillId="5" borderId="43" xfId="0" applyNumberFormat="1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167" fontId="0" fillId="4" borderId="44" xfId="0" applyNumberFormat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43" xfId="0" applyFill="1" applyBorder="1" applyAlignment="1">
      <alignment horizontal="center" shrinkToFit="1"/>
    </xf>
    <xf numFmtId="0" fontId="0" fillId="4" borderId="9" xfId="0" applyFill="1" applyBorder="1" applyAlignment="1">
      <alignment horizontal="center" shrinkToFit="1"/>
    </xf>
    <xf numFmtId="0" fontId="8" fillId="11" borderId="28" xfId="0" applyFont="1" applyFill="1" applyBorder="1" applyAlignment="1">
      <alignment horizontal="center" vertical="center"/>
    </xf>
    <xf numFmtId="0" fontId="8" fillId="11" borderId="29" xfId="0" applyFont="1" applyFill="1" applyBorder="1" applyAlignment="1">
      <alignment horizontal="center" vertical="center"/>
    </xf>
    <xf numFmtId="165" fontId="0" fillId="11" borderId="29" xfId="0" applyNumberFormat="1" applyFill="1" applyBorder="1" applyAlignment="1">
      <alignment horizontal="center"/>
    </xf>
    <xf numFmtId="165" fontId="0" fillId="11" borderId="29" xfId="0" applyNumberFormat="1" applyFill="1" applyBorder="1" applyAlignment="1">
      <alignment horizontal="center" shrinkToFit="1"/>
    </xf>
    <xf numFmtId="165" fontId="0" fillId="11" borderId="30" xfId="0" applyNumberFormat="1" applyFill="1" applyBorder="1" applyAlignment="1">
      <alignment horizontal="center"/>
    </xf>
    <xf numFmtId="0" fontId="8" fillId="0" borderId="13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165" fontId="8" fillId="9" borderId="35" xfId="0" applyNumberFormat="1" applyFont="1" applyFill="1" applyBorder="1" applyProtection="1">
      <protection hidden="1"/>
    </xf>
    <xf numFmtId="0" fontId="15" fillId="0" borderId="8" xfId="0" applyFont="1" applyBorder="1" applyAlignment="1">
      <alignment horizontal="center" vertical="center" wrapText="1" shrinkToFit="1"/>
    </xf>
    <xf numFmtId="0" fontId="0" fillId="0" borderId="53" xfId="0" applyBorder="1" applyAlignment="1"/>
    <xf numFmtId="0" fontId="0" fillId="0" borderId="0" xfId="0" applyBorder="1"/>
    <xf numFmtId="168" fontId="8" fillId="8" borderId="43" xfId="0" applyNumberFormat="1" applyFont="1" applyFill="1" applyBorder="1" applyAlignment="1">
      <alignment horizontal="center" vertical="center"/>
    </xf>
    <xf numFmtId="168" fontId="8" fillId="8" borderId="8" xfId="0" applyNumberFormat="1" applyFont="1" applyFill="1" applyBorder="1" applyAlignment="1">
      <alignment horizontal="center" vertical="center"/>
    </xf>
    <xf numFmtId="165" fontId="0" fillId="13" borderId="52" xfId="0" applyNumberFormat="1" applyFill="1" applyBorder="1" applyAlignment="1">
      <alignment horizontal="center" vertical="center"/>
    </xf>
    <xf numFmtId="165" fontId="0" fillId="13" borderId="32" xfId="0" applyNumberFormat="1" applyFill="1" applyBorder="1" applyAlignment="1">
      <alignment horizontal="center" vertical="center" shrinkToFit="1"/>
    </xf>
    <xf numFmtId="165" fontId="0" fillId="13" borderId="32" xfId="0" applyNumberFormat="1" applyFill="1" applyBorder="1" applyAlignment="1">
      <alignment horizontal="center" vertical="center"/>
    </xf>
    <xf numFmtId="165" fontId="0" fillId="13" borderId="41" xfId="0" applyNumberForma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3" borderId="8" xfId="0" applyFont="1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165" fontId="0" fillId="13" borderId="43" xfId="0" applyNumberFormat="1" applyFill="1" applyBorder="1" applyAlignment="1">
      <alignment horizontal="center" vertical="center"/>
    </xf>
    <xf numFmtId="165" fontId="0" fillId="13" borderId="8" xfId="0" applyNumberFormat="1" applyFill="1" applyBorder="1" applyAlignment="1">
      <alignment horizontal="center" vertical="center" shrinkToFit="1"/>
    </xf>
    <xf numFmtId="165" fontId="0" fillId="13" borderId="8" xfId="0" applyNumberFormat="1" applyFill="1" applyBorder="1" applyAlignment="1">
      <alignment horizontal="center" vertical="center"/>
    </xf>
    <xf numFmtId="165" fontId="0" fillId="13" borderId="9" xfId="0" applyNumberFormat="1" applyFill="1" applyBorder="1" applyAlignment="1">
      <alignment horizontal="center" vertical="center"/>
    </xf>
    <xf numFmtId="0" fontId="8" fillId="13" borderId="43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 shrinkToFit="1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0" fillId="13" borderId="43" xfId="0" applyFill="1" applyBorder="1"/>
    <xf numFmtId="0" fontId="0" fillId="13" borderId="8" xfId="0" applyFill="1" applyBorder="1" applyAlignment="1">
      <alignment shrinkToFit="1"/>
    </xf>
    <xf numFmtId="0" fontId="0" fillId="13" borderId="8" xfId="0" applyFill="1" applyBorder="1"/>
    <xf numFmtId="0" fontId="0" fillId="13" borderId="9" xfId="0" applyFill="1" applyBorder="1"/>
    <xf numFmtId="0" fontId="8" fillId="13" borderId="19" xfId="0" applyFont="1" applyFill="1" applyBorder="1" applyAlignment="1">
      <alignment horizontal="center" vertical="center"/>
    </xf>
    <xf numFmtId="0" fontId="10" fillId="13" borderId="20" xfId="0" applyFont="1" applyFill="1" applyBorder="1" applyAlignment="1">
      <alignment horizontal="center"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44" xfId="0" applyFont="1" applyFill="1" applyBorder="1" applyAlignment="1">
      <alignment horizontal="center" vertical="center"/>
    </xf>
    <xf numFmtId="0" fontId="8" fillId="13" borderId="20" xfId="0" applyFont="1" applyFill="1" applyBorder="1" applyAlignment="1">
      <alignment horizontal="center" vertical="center" shrinkToFit="1"/>
    </xf>
    <xf numFmtId="0" fontId="8" fillId="13" borderId="20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2" fontId="18" fillId="0" borderId="55" xfId="0" applyNumberFormat="1" applyFont="1" applyBorder="1"/>
    <xf numFmtId="165" fontId="8" fillId="6" borderId="7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165" fontId="8" fillId="6" borderId="40" xfId="0" applyNumberFormat="1" applyFont="1" applyFill="1" applyBorder="1" applyAlignment="1">
      <alignment horizontal="center" vertical="center" shrinkToFit="1"/>
    </xf>
    <xf numFmtId="165" fontId="8" fillId="6" borderId="32" xfId="0" applyNumberFormat="1" applyFont="1" applyFill="1" applyBorder="1" applyAlignment="1">
      <alignment horizontal="center"/>
    </xf>
    <xf numFmtId="165" fontId="8" fillId="6" borderId="7" xfId="0" applyNumberFormat="1" applyFont="1" applyFill="1" applyBorder="1" applyAlignment="1">
      <alignment horizontal="center" shrinkToFit="1"/>
    </xf>
    <xf numFmtId="165" fontId="8" fillId="6" borderId="9" xfId="0" applyNumberFormat="1" applyFont="1" applyFill="1" applyBorder="1" applyAlignment="1">
      <alignment horizontal="center" shrinkToFit="1"/>
    </xf>
    <xf numFmtId="165" fontId="8" fillId="6" borderId="41" xfId="0" applyNumberFormat="1" applyFont="1" applyFill="1" applyBorder="1" applyAlignment="1">
      <alignment horizontal="center" vertical="center" shrinkToFit="1"/>
    </xf>
    <xf numFmtId="0" fontId="15" fillId="0" borderId="9" xfId="0" applyFont="1" applyBorder="1" applyAlignment="1">
      <alignment horizontal="center" vertical="center" wrapText="1"/>
    </xf>
    <xf numFmtId="165" fontId="15" fillId="0" borderId="7" xfId="0" applyNumberFormat="1" applyFont="1" applyFill="1" applyBorder="1" applyAlignment="1">
      <alignment horizontal="center" vertical="center"/>
    </xf>
    <xf numFmtId="165" fontId="15" fillId="0" borderId="19" xfId="0" applyNumberFormat="1" applyFont="1" applyFill="1" applyBorder="1" applyAlignment="1">
      <alignment horizontal="center" vertical="center"/>
    </xf>
    <xf numFmtId="0" fontId="15" fillId="0" borderId="56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57" xfId="0" applyFont="1" applyFill="1" applyBorder="1" applyAlignment="1">
      <alignment horizontal="center" vertical="center"/>
    </xf>
    <xf numFmtId="0" fontId="15" fillId="0" borderId="58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 wrapText="1"/>
    </xf>
    <xf numFmtId="165" fontId="15" fillId="0" borderId="17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 shrinkToFit="1"/>
    </xf>
    <xf numFmtId="165" fontId="15" fillId="0" borderId="9" xfId="0" applyNumberFormat="1" applyFont="1" applyFill="1" applyBorder="1" applyAlignment="1">
      <alignment horizontal="center" vertical="center"/>
    </xf>
    <xf numFmtId="165" fontId="15" fillId="0" borderId="21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165" fontId="15" fillId="0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 wrapText="1"/>
    </xf>
    <xf numFmtId="165" fontId="19" fillId="0" borderId="7" xfId="0" applyNumberFormat="1" applyFont="1" applyBorder="1" applyAlignment="1">
      <alignment horizontal="center" vertical="center" shrinkToFit="1"/>
    </xf>
    <xf numFmtId="165" fontId="19" fillId="4" borderId="8" xfId="0" applyNumberFormat="1" applyFont="1" applyFill="1" applyBorder="1" applyAlignment="1">
      <alignment horizontal="center" vertical="center"/>
    </xf>
    <xf numFmtId="165" fontId="19" fillId="4" borderId="9" xfId="0" applyNumberFormat="1" applyFont="1" applyFill="1" applyBorder="1" applyAlignment="1">
      <alignment horizontal="center" vertical="center"/>
    </xf>
    <xf numFmtId="165" fontId="19" fillId="0" borderId="19" xfId="0" applyNumberFormat="1" applyFont="1" applyBorder="1" applyAlignment="1">
      <alignment horizontal="center" vertical="center" shrinkToFit="1"/>
    </xf>
    <xf numFmtId="165" fontId="19" fillId="4" borderId="20" xfId="0" applyNumberFormat="1" applyFont="1" applyFill="1" applyBorder="1" applyAlignment="1">
      <alignment horizontal="center" vertical="center"/>
    </xf>
    <xf numFmtId="165" fontId="19" fillId="4" borderId="21" xfId="0" applyNumberFormat="1" applyFont="1" applyFill="1" applyBorder="1" applyAlignment="1">
      <alignment horizontal="center" vertical="center"/>
    </xf>
    <xf numFmtId="2" fontId="17" fillId="0" borderId="0" xfId="0" applyNumberFormat="1" applyFont="1" applyBorder="1"/>
    <xf numFmtId="0" fontId="0" fillId="0" borderId="15" xfId="0" applyBorder="1" applyAlignment="1"/>
    <xf numFmtId="0" fontId="8" fillId="4" borderId="0" xfId="0" applyFont="1" applyFill="1" applyBorder="1" applyAlignment="1">
      <alignment horizontal="center"/>
    </xf>
    <xf numFmtId="2" fontId="18" fillId="0" borderId="0" xfId="0" applyNumberFormat="1" applyFont="1" applyBorder="1"/>
    <xf numFmtId="165" fontId="8" fillId="4" borderId="0" xfId="0" applyNumberFormat="1" applyFont="1" applyFill="1" applyBorder="1" applyAlignment="1">
      <alignment horizontal="center"/>
    </xf>
    <xf numFmtId="0" fontId="18" fillId="0" borderId="0" xfId="0" applyFont="1" applyBorder="1"/>
    <xf numFmtId="169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9" fontId="0" fillId="6" borderId="20" xfId="1" applyFont="1" applyFill="1" applyBorder="1" applyAlignment="1">
      <alignment horizontal="center"/>
    </xf>
    <xf numFmtId="9" fontId="0" fillId="6" borderId="21" xfId="1" applyFont="1" applyFill="1" applyBorder="1" applyAlignment="1">
      <alignment horizontal="center"/>
    </xf>
    <xf numFmtId="0" fontId="0" fillId="11" borderId="60" xfId="0" applyFill="1" applyBorder="1" applyAlignment="1">
      <alignment horizontal="center" vertical="center"/>
    </xf>
    <xf numFmtId="0" fontId="0" fillId="11" borderId="46" xfId="0" applyFill="1" applyBorder="1" applyAlignment="1">
      <alignment horizontal="center"/>
    </xf>
    <xf numFmtId="0" fontId="8" fillId="11" borderId="50" xfId="0" applyFont="1" applyFill="1" applyBorder="1" applyAlignment="1">
      <alignment horizontal="center" vertical="center"/>
    </xf>
    <xf numFmtId="0" fontId="0" fillId="11" borderId="39" xfId="0" applyFill="1" applyBorder="1" applyAlignment="1">
      <alignment horizontal="center" vertical="center"/>
    </xf>
    <xf numFmtId="0" fontId="0" fillId="11" borderId="39" xfId="0" applyFill="1" applyBorder="1" applyAlignment="1">
      <alignment horizontal="center"/>
    </xf>
    <xf numFmtId="0" fontId="8" fillId="11" borderId="47" xfId="0" applyFont="1" applyFill="1" applyBorder="1" applyAlignment="1">
      <alignment horizontal="center" vertical="center"/>
    </xf>
    <xf numFmtId="165" fontId="0" fillId="11" borderId="33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165" fontId="0" fillId="11" borderId="28" xfId="0" applyNumberFormat="1" applyFill="1" applyBorder="1" applyAlignment="1">
      <alignment horizontal="center"/>
    </xf>
    <xf numFmtId="165" fontId="0" fillId="11" borderId="7" xfId="0" applyNumberFormat="1" applyFill="1" applyBorder="1" applyAlignment="1">
      <alignment horizontal="center"/>
    </xf>
    <xf numFmtId="165" fontId="0" fillId="11" borderId="19" xfId="0" applyNumberForma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/>
    <xf numFmtId="0" fontId="0" fillId="0" borderId="15" xfId="0" applyFill="1" applyBorder="1"/>
    <xf numFmtId="0" fontId="0" fillId="0" borderId="0" xfId="0" applyFill="1"/>
    <xf numFmtId="0" fontId="0" fillId="0" borderId="56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54" xfId="0" applyFill="1" applyBorder="1" applyAlignment="1">
      <alignment horizontal="center" vertical="center"/>
    </xf>
    <xf numFmtId="0" fontId="0" fillId="0" borderId="31" xfId="0" applyFill="1" applyBorder="1"/>
    <xf numFmtId="0" fontId="0" fillId="0" borderId="0" xfId="0" applyFill="1" applyBorder="1"/>
    <xf numFmtId="0" fontId="0" fillId="0" borderId="54" xfId="0" applyFill="1" applyBorder="1"/>
    <xf numFmtId="0" fontId="0" fillId="0" borderId="31" xfId="0" applyFill="1" applyBorder="1" applyAlignment="1">
      <alignment horizontal="center"/>
    </xf>
    <xf numFmtId="0" fontId="0" fillId="0" borderId="57" xfId="0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0" borderId="61" xfId="0" applyFill="1" applyBorder="1"/>
    <xf numFmtId="0" fontId="0" fillId="0" borderId="62" xfId="0" applyFill="1" applyBorder="1"/>
    <xf numFmtId="0" fontId="0" fillId="0" borderId="61" xfId="0" applyFill="1" applyBorder="1" applyAlignment="1">
      <alignment horizontal="center"/>
    </xf>
    <xf numFmtId="0" fontId="0" fillId="0" borderId="58" xfId="0" applyFill="1" applyBorder="1" applyAlignment="1">
      <alignment horizontal="center" vertical="center"/>
    </xf>
    <xf numFmtId="0" fontId="0" fillId="0" borderId="13" xfId="0" applyFill="1" applyBorder="1"/>
    <xf numFmtId="0" fontId="0" fillId="0" borderId="63" xfId="0" applyFill="1" applyBorder="1"/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/>
    </xf>
    <xf numFmtId="0" fontId="0" fillId="6" borderId="31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horizontal="center"/>
    </xf>
    <xf numFmtId="0" fontId="0" fillId="2" borderId="15" xfId="0" applyFont="1" applyFill="1" applyBorder="1" applyAlignment="1">
      <alignment horizontal="center"/>
    </xf>
    <xf numFmtId="0" fontId="0" fillId="6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65" fontId="0" fillId="2" borderId="8" xfId="0" applyNumberFormat="1" applyFill="1" applyBorder="1" applyAlignment="1">
      <alignment horizontal="center" vertical="center"/>
    </xf>
    <xf numFmtId="164" fontId="0" fillId="0" borderId="14" xfId="0" applyNumberFormat="1" applyBorder="1" applyAlignment="1">
      <alignment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17" fillId="4" borderId="0" xfId="0" applyFont="1" applyFill="1" applyAlignment="1">
      <alignment shrinkToFit="1"/>
    </xf>
    <xf numFmtId="0" fontId="17" fillId="4" borderId="0" xfId="0" applyFont="1" applyFill="1"/>
    <xf numFmtId="0" fontId="3" fillId="6" borderId="0" xfId="0" applyFont="1" applyFill="1" applyBorder="1" applyAlignment="1">
      <alignment horizontal="center"/>
    </xf>
    <xf numFmtId="164" fontId="0" fillId="6" borderId="54" xfId="0" applyNumberFormat="1" applyFill="1" applyBorder="1" applyAlignment="1">
      <alignment horizontal="center" vertical="center" shrinkToFit="1"/>
    </xf>
    <xf numFmtId="164" fontId="4" fillId="6" borderId="14" xfId="0" applyNumberFormat="1" applyFon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4" fillId="6" borderId="0" xfId="0" applyNumberFormat="1" applyFon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4" fillId="6" borderId="62" xfId="0" applyNumberFormat="1" applyFont="1" applyFill="1" applyBorder="1" applyAlignment="1">
      <alignment horizontal="center" vertical="center" shrinkToFit="1"/>
    </xf>
    <xf numFmtId="164" fontId="0" fillId="6" borderId="62" xfId="0" applyNumberFormat="1" applyFill="1" applyBorder="1" applyAlignment="1">
      <alignment horizontal="center" vertical="center" shrinkToFit="1"/>
    </xf>
    <xf numFmtId="164" fontId="0" fillId="6" borderId="63" xfId="0" applyNumberForma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/>
    </xf>
    <xf numFmtId="0" fontId="0" fillId="6" borderId="62" xfId="0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left" vertical="center"/>
    </xf>
    <xf numFmtId="164" fontId="0" fillId="6" borderId="20" xfId="0" applyNumberFormat="1" applyFill="1" applyBorder="1" applyAlignment="1">
      <alignment horizontal="center" vertical="center"/>
    </xf>
    <xf numFmtId="164" fontId="0" fillId="6" borderId="21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62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54" xfId="0" applyFill="1" applyBorder="1" applyAlignment="1">
      <alignment horizontal="center" vertical="center" shrinkToFit="1"/>
    </xf>
    <xf numFmtId="0" fontId="0" fillId="6" borderId="63" xfId="0" applyFill="1" applyBorder="1" applyAlignment="1">
      <alignment horizontal="center" vertical="center" shrinkToFit="1"/>
    </xf>
    <xf numFmtId="165" fontId="8" fillId="5" borderId="35" xfId="0" applyNumberFormat="1" applyFont="1" applyFill="1" applyBorder="1" applyProtection="1">
      <protection hidden="1"/>
    </xf>
    <xf numFmtId="0" fontId="8" fillId="5" borderId="0" xfId="0" applyFont="1" applyFill="1" applyBorder="1" applyAlignment="1">
      <alignment shrinkToFit="1"/>
    </xf>
    <xf numFmtId="0" fontId="0" fillId="5" borderId="0" xfId="0" applyFill="1"/>
    <xf numFmtId="0" fontId="0" fillId="5" borderId="0" xfId="0" applyFill="1" applyAlignment="1">
      <alignment shrinkToFit="1"/>
    </xf>
    <xf numFmtId="0" fontId="0" fillId="5" borderId="0" xfId="0" applyFill="1" applyBorder="1"/>
    <xf numFmtId="165" fontId="8" fillId="5" borderId="0" xfId="0" applyNumberFormat="1" applyFont="1" applyFill="1" applyBorder="1"/>
    <xf numFmtId="165" fontId="8" fillId="5" borderId="3" xfId="0" applyNumberFormat="1" applyFont="1" applyFill="1" applyBorder="1" applyProtection="1">
      <protection hidden="1"/>
    </xf>
    <xf numFmtId="165" fontId="8" fillId="5" borderId="9" xfId="0" applyNumberFormat="1" applyFont="1" applyFill="1" applyBorder="1"/>
    <xf numFmtId="165" fontId="8" fillId="5" borderId="21" xfId="0" applyNumberFormat="1" applyFont="1" applyFill="1" applyBorder="1"/>
    <xf numFmtId="165" fontId="0" fillId="5" borderId="3" xfId="0" applyNumberFormat="1" applyFill="1" applyBorder="1" applyAlignment="1">
      <alignment horizontal="center" vertical="center"/>
    </xf>
    <xf numFmtId="165" fontId="0" fillId="5" borderId="9" xfId="0" applyNumberFormat="1" applyFill="1" applyBorder="1" applyAlignment="1">
      <alignment horizontal="center" vertical="center"/>
    </xf>
    <xf numFmtId="166" fontId="0" fillId="5" borderId="9" xfId="0" applyNumberFormat="1" applyFill="1" applyBorder="1" applyAlignment="1">
      <alignment horizontal="center" vertical="center"/>
    </xf>
    <xf numFmtId="165" fontId="0" fillId="5" borderId="30" xfId="0" applyNumberFormat="1" applyFill="1" applyBorder="1" applyAlignment="1">
      <alignment horizontal="center" vertical="center"/>
    </xf>
    <xf numFmtId="165" fontId="8" fillId="5" borderId="9" xfId="0" applyNumberFormat="1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166" fontId="8" fillId="5" borderId="9" xfId="0" applyNumberFormat="1" applyFont="1" applyFill="1" applyBorder="1" applyAlignment="1">
      <alignment horizontal="center" vertical="center"/>
    </xf>
    <xf numFmtId="11" fontId="0" fillId="5" borderId="9" xfId="0" applyNumberFormat="1" applyFill="1" applyBorder="1" applyAlignment="1">
      <alignment horizontal="center"/>
    </xf>
    <xf numFmtId="165" fontId="8" fillId="5" borderId="21" xfId="0" applyNumberFormat="1" applyFont="1" applyFill="1" applyBorder="1" applyAlignment="1">
      <alignment horizontal="center" vertical="center" shrinkToFit="1"/>
    </xf>
    <xf numFmtId="0" fontId="0" fillId="0" borderId="64" xfId="0" applyBorder="1" applyAlignment="1">
      <alignment horizontal="center" vertical="center"/>
    </xf>
    <xf numFmtId="165" fontId="0" fillId="5" borderId="4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4" borderId="62" xfId="0" applyFill="1" applyBorder="1" applyAlignment="1"/>
    <xf numFmtId="0" fontId="0" fillId="4" borderId="63" xfId="0" applyFill="1" applyBorder="1" applyAlignment="1"/>
    <xf numFmtId="0" fontId="0" fillId="2" borderId="8" xfId="0" quotePrefix="1" applyFill="1" applyBorder="1" applyAlignment="1">
      <alignment horizontal="center" vertical="center"/>
    </xf>
    <xf numFmtId="165" fontId="8" fillId="6" borderId="40" xfId="0" applyNumberFormat="1" applyFont="1" applyFill="1" applyBorder="1" applyAlignment="1">
      <alignment horizontal="left" vertical="center" shrinkToFit="1"/>
    </xf>
    <xf numFmtId="11" fontId="8" fillId="6" borderId="8" xfId="0" applyNumberFormat="1" applyFont="1" applyFill="1" applyBorder="1" applyAlignment="1">
      <alignment horizontal="center" vertical="center"/>
    </xf>
    <xf numFmtId="0" fontId="8" fillId="8" borderId="46" xfId="0" applyFont="1" applyFill="1" applyBorder="1" applyAlignment="1">
      <alignment horizontal="center" vertical="center"/>
    </xf>
    <xf numFmtId="165" fontId="8" fillId="8" borderId="39" xfId="0" applyNumberFormat="1" applyFont="1" applyFill="1" applyBorder="1" applyAlignment="1">
      <alignment horizontal="center" vertical="center"/>
    </xf>
    <xf numFmtId="165" fontId="0" fillId="5" borderId="39" xfId="0" applyNumberFormat="1" applyFill="1" applyBorder="1" applyAlignment="1">
      <alignment horizontal="center"/>
    </xf>
    <xf numFmtId="165" fontId="0" fillId="8" borderId="39" xfId="0" applyNumberFormat="1" applyFill="1" applyBorder="1" applyAlignment="1">
      <alignment horizontal="center"/>
    </xf>
    <xf numFmtId="168" fontId="8" fillId="8" borderId="39" xfId="0" applyNumberFormat="1" applyFont="1" applyFill="1" applyBorder="1" applyAlignment="1">
      <alignment horizontal="center" vertical="center"/>
    </xf>
    <xf numFmtId="165" fontId="8" fillId="8" borderId="47" xfId="0" applyNumberFormat="1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165" fontId="8" fillId="4" borderId="0" xfId="0" applyNumberFormat="1" applyFont="1" applyFill="1" applyAlignment="1"/>
    <xf numFmtId="165" fontId="8" fillId="4" borderId="31" xfId="0" applyNumberFormat="1" applyFont="1" applyFill="1" applyBorder="1" applyAlignment="1"/>
    <xf numFmtId="0" fontId="0" fillId="4" borderId="3" xfId="0" applyFill="1" applyBorder="1" applyAlignment="1">
      <alignment horizontal="center" shrinkToFit="1"/>
    </xf>
    <xf numFmtId="0" fontId="0" fillId="0" borderId="0" xfId="0" applyBorder="1" applyAlignment="1">
      <alignment shrinkToFit="1"/>
    </xf>
    <xf numFmtId="0" fontId="0" fillId="0" borderId="54" xfId="0" applyBorder="1"/>
    <xf numFmtId="0" fontId="17" fillId="4" borderId="0" xfId="0" applyFont="1" applyFill="1" applyBorder="1" applyAlignment="1">
      <alignment shrinkToFit="1"/>
    </xf>
    <xf numFmtId="0" fontId="17" fillId="4" borderId="0" xfId="0" applyFont="1" applyFill="1" applyBorder="1"/>
    <xf numFmtId="0" fontId="17" fillId="4" borderId="54" xfId="0" applyFont="1" applyFill="1" applyBorder="1"/>
    <xf numFmtId="0" fontId="2" fillId="4" borderId="62" xfId="0" applyFont="1" applyFill="1" applyBorder="1" applyAlignment="1">
      <alignment shrinkToFit="1"/>
    </xf>
    <xf numFmtId="0" fontId="2" fillId="4" borderId="62" xfId="0" applyFont="1" applyFill="1" applyBorder="1"/>
    <xf numFmtId="0" fontId="2" fillId="4" borderId="63" xfId="0" applyFont="1" applyFill="1" applyBorder="1"/>
    <xf numFmtId="0" fontId="0" fillId="4" borderId="4" xfId="0" applyFill="1" applyBorder="1" applyAlignment="1"/>
    <xf numFmtId="0" fontId="0" fillId="4" borderId="5" xfId="0" applyFill="1" applyBorder="1" applyAlignment="1"/>
    <xf numFmtId="0" fontId="0" fillId="4" borderId="6" xfId="0" applyFill="1" applyBorder="1" applyAlignment="1"/>
    <xf numFmtId="0" fontId="0" fillId="13" borderId="40" xfId="0" applyFill="1" applyBorder="1" applyAlignment="1">
      <alignment horizontal="center" vertical="center"/>
    </xf>
    <xf numFmtId="0" fontId="4" fillId="13" borderId="32" xfId="0" applyFont="1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165" fontId="8" fillId="5" borderId="8" xfId="0" applyNumberFormat="1" applyFont="1" applyFill="1" applyBorder="1" applyAlignment="1">
      <alignment horizontal="center" vertical="center"/>
    </xf>
    <xf numFmtId="168" fontId="8" fillId="5" borderId="8" xfId="0" applyNumberFormat="1" applyFont="1" applyFill="1" applyBorder="1" applyAlignment="1">
      <alignment horizontal="center" vertical="center"/>
    </xf>
    <xf numFmtId="165" fontId="8" fillId="5" borderId="20" xfId="0" applyNumberFormat="1" applyFont="1" applyFill="1" applyBorder="1" applyAlignment="1">
      <alignment horizontal="center" vertical="center"/>
    </xf>
    <xf numFmtId="11" fontId="8" fillId="5" borderId="9" xfId="0" applyNumberFormat="1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0" fillId="4" borderId="15" xfId="0" applyFill="1" applyBorder="1" applyAlignment="1"/>
    <xf numFmtId="0" fontId="0" fillId="4" borderId="54" xfId="0" applyFill="1" applyBorder="1" applyAlignment="1"/>
    <xf numFmtId="0" fontId="0" fillId="0" borderId="62" xfId="0" applyBorder="1" applyAlignment="1">
      <alignment shrinkToFit="1"/>
    </xf>
    <xf numFmtId="0" fontId="0" fillId="0" borderId="62" xfId="0" applyBorder="1"/>
    <xf numFmtId="0" fontId="0" fillId="0" borderId="63" xfId="0" applyBorder="1"/>
    <xf numFmtId="0" fontId="0" fillId="6" borderId="15" xfId="0" applyFont="1" applyFill="1" applyBorder="1" applyAlignment="1">
      <alignment shrinkToFit="1"/>
    </xf>
    <xf numFmtId="0" fontId="0" fillId="6" borderId="54" xfId="0" applyFont="1" applyFill="1" applyBorder="1" applyAlignment="1">
      <alignment shrinkToFit="1"/>
    </xf>
    <xf numFmtId="0" fontId="0" fillId="6" borderId="54" xfId="0" applyFont="1" applyFill="1" applyBorder="1" applyAlignment="1">
      <alignment horizontal="center" vertical="center" shrinkToFit="1"/>
    </xf>
    <xf numFmtId="0" fontId="0" fillId="6" borderId="63" xfId="0" applyFont="1" applyFill="1" applyBorder="1" applyAlignment="1">
      <alignment horizontal="center" vertical="center" shrinkToFit="1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1" xfId="0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 shrinkToFit="1"/>
    </xf>
    <xf numFmtId="0" fontId="0" fillId="0" borderId="17" xfId="0" applyFill="1" applyBorder="1" applyAlignment="1">
      <alignment horizontal="center" vertical="center" shrinkToFit="1"/>
    </xf>
    <xf numFmtId="0" fontId="0" fillId="0" borderId="18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164" fontId="0" fillId="0" borderId="10" xfId="0" applyNumberFormat="1" applyFill="1" applyBorder="1" applyAlignment="1">
      <alignment horizontal="center" vertical="center" shrinkToFit="1"/>
    </xf>
    <xf numFmtId="164" fontId="0" fillId="0" borderId="11" xfId="0" applyNumberFormat="1" applyFill="1" applyBorder="1" applyAlignment="1">
      <alignment horizontal="center" vertical="center" shrinkToFit="1"/>
    </xf>
    <xf numFmtId="164" fontId="0" fillId="0" borderId="12" xfId="0" applyNumberFormat="1" applyFill="1" applyBorder="1" applyAlignment="1">
      <alignment horizontal="center" vertical="center" shrinkToFit="1"/>
    </xf>
    <xf numFmtId="165" fontId="8" fillId="6" borderId="4" xfId="0" applyNumberFormat="1" applyFont="1" applyFill="1" applyBorder="1" applyAlignment="1">
      <alignment horizontal="center" vertical="center" shrinkToFit="1"/>
    </xf>
    <xf numFmtId="165" fontId="8" fillId="6" borderId="5" xfId="0" applyNumberFormat="1" applyFont="1" applyFill="1" applyBorder="1" applyAlignment="1">
      <alignment horizontal="center" vertical="center" shrinkToFit="1"/>
    </xf>
    <xf numFmtId="165" fontId="8" fillId="6" borderId="6" xfId="0" applyNumberFormat="1" applyFont="1" applyFill="1" applyBorder="1" applyAlignment="1">
      <alignment horizontal="center" vertical="center" shrinkToFit="1"/>
    </xf>
    <xf numFmtId="165" fontId="8" fillId="6" borderId="10" xfId="0" applyNumberFormat="1" applyFont="1" applyFill="1" applyBorder="1" applyAlignment="1">
      <alignment horizontal="center" vertical="center"/>
    </xf>
    <xf numFmtId="165" fontId="8" fillId="6" borderId="11" xfId="0" applyNumberFormat="1" applyFont="1" applyFill="1" applyBorder="1" applyAlignment="1">
      <alignment horizontal="center" vertical="center"/>
    </xf>
    <xf numFmtId="165" fontId="8" fillId="6" borderId="12" xfId="0" applyNumberFormat="1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0" fontId="15" fillId="0" borderId="4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6" xfId="0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64" fontId="0" fillId="0" borderId="18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4" fontId="0" fillId="0" borderId="5" xfId="0" applyNumberFormat="1" applyBorder="1" applyAlignment="1">
      <alignment horizontal="center" vertical="center" shrinkToFit="1"/>
    </xf>
    <xf numFmtId="164" fontId="0" fillId="0" borderId="6" xfId="0" applyNumberFormat="1" applyBorder="1" applyAlignment="1">
      <alignment horizontal="center" vertical="center" shrinkToFit="1"/>
    </xf>
    <xf numFmtId="164" fontId="0" fillId="0" borderId="13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5" xfId="0" applyNumberFormat="1" applyBorder="1" applyAlignment="1">
      <alignment horizontal="center" vertical="center" shrinkToFit="1"/>
    </xf>
    <xf numFmtId="164" fontId="0" fillId="0" borderId="22" xfId="0" applyNumberFormat="1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10" xfId="0" applyNumberFormat="1" applyBorder="1" applyAlignment="1">
      <alignment horizontal="center" vertical="center" shrinkToFit="1"/>
    </xf>
    <xf numFmtId="164" fontId="0" fillId="0" borderId="11" xfId="0" applyNumberFormat="1" applyBorder="1" applyAlignment="1">
      <alignment horizontal="center" vertical="center" shrinkToFit="1"/>
    </xf>
    <xf numFmtId="164" fontId="0" fillId="0" borderId="12" xfId="0" applyNumberFormat="1" applyBorder="1" applyAlignment="1">
      <alignment horizontal="center" vertical="center" shrinkToFit="1"/>
    </xf>
    <xf numFmtId="0" fontId="0" fillId="6" borderId="3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0" fillId="6" borderId="31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64" fontId="0" fillId="6" borderId="61" xfId="0" applyNumberFormat="1" applyFill="1" applyBorder="1" applyAlignment="1">
      <alignment horizontal="center" vertical="center" shrinkToFit="1"/>
    </xf>
    <xf numFmtId="164" fontId="0" fillId="6" borderId="62" xfId="0" applyNumberFormat="1" applyFill="1" applyBorder="1" applyAlignment="1">
      <alignment horizontal="center" vertical="center" shrinkToFit="1"/>
    </xf>
    <xf numFmtId="0" fontId="0" fillId="6" borderId="31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61" xfId="0" applyFont="1" applyFill="1" applyBorder="1" applyAlignment="1">
      <alignment horizontal="center" vertical="center"/>
    </xf>
    <xf numFmtId="0" fontId="0" fillId="6" borderId="62" xfId="0" applyFont="1" applyFill="1" applyBorder="1" applyAlignment="1">
      <alignment horizontal="center" vertical="center"/>
    </xf>
    <xf numFmtId="164" fontId="0" fillId="6" borderId="31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13" borderId="54" xfId="0" applyFont="1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31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61" xfId="0" applyFill="1" applyBorder="1" applyAlignment="1">
      <alignment horizontal="center" vertical="center" shrinkToFit="1"/>
    </xf>
    <xf numFmtId="0" fontId="0" fillId="6" borderId="62" xfId="0" applyFill="1" applyBorder="1" applyAlignment="1">
      <alignment horizontal="center" vertical="center" shrinkToFit="1"/>
    </xf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0" fontId="0" fillId="6" borderId="15" xfId="0" applyFill="1" applyBorder="1" applyAlignment="1">
      <alignment horizontal="center" vertical="center" shrinkToFit="1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39</xdr:col>
      <xdr:colOff>819150</xdr:colOff>
      <xdr:row>29</xdr:row>
      <xdr:rowOff>7143</xdr:rowOff>
    </xdr:from>
    <xdr:ext cx="1791709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4344650" y="2255043"/>
              <a:ext cx="1791709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𝐶𝑝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=4,18∗(1−0,006∗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4344650" y="2255043"/>
              <a:ext cx="1791709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〖</a:t>
              </a:r>
              <a:r>
                <a:rPr lang="es-CO" sz="1100" b="0" i="0">
                  <a:latin typeface="Cambria Math" panose="02040503050406030204" pitchFamily="18" charset="0"/>
                </a:rPr>
                <a:t>𝐶𝑝〗_𝑗=4,18∗(1−0,006∗𝐵_𝑗)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26</xdr:col>
      <xdr:colOff>279626</xdr:colOff>
      <xdr:row>29</xdr:row>
      <xdr:rowOff>14174</xdr:rowOff>
    </xdr:from>
    <xdr:ext cx="3059364" cy="3419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8681926" y="5538674"/>
              <a:ext cx="3059364" cy="3419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=−227.03+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3816,44</m:t>
                        </m:r>
                      </m:num>
                      <m:den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18,3036−</m:t>
                        </m:r>
                        <m:func>
                          <m:func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CO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7,5∗</m:t>
                                </m:r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</m:d>
                          </m:e>
                        </m:func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𝑃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𝐾𝑝𝑎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8681926" y="5538674"/>
              <a:ext cx="3059364" cy="3419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𝑇_𝑒=−227.03+3816,44/(18,3036−ln⁡(7,5∗𝑃) )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→𝑃−𝐾𝑝𝑎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39</xdr:col>
      <xdr:colOff>167027</xdr:colOff>
      <xdr:row>25</xdr:row>
      <xdr:rowOff>10204</xdr:rowOff>
    </xdr:from>
    <xdr:ext cx="2721130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692527" y="1515154"/>
              <a:ext cx="272113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𝑣𝑙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=2492,9−2,0523∗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−0,0030752∗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692527" y="1515154"/>
              <a:ext cx="2721130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〖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ℎ〗_</a:t>
              </a:r>
              <a:r>
                <a:rPr lang="es-CO" sz="1100" b="0" i="0">
                  <a:latin typeface="Cambria Math" panose="02040503050406030204" pitchFamily="18" charset="0"/>
                </a:rPr>
                <a:t>𝑣𝑙=2492,9−2,0523∗𝑡−0,0030752∗𝑡^2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35</xdr:col>
      <xdr:colOff>34924</xdr:colOff>
      <xdr:row>23</xdr:row>
      <xdr:rowOff>80962</xdr:rowOff>
    </xdr:from>
    <xdr:ext cx="1101134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26508074" y="4462462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26508074" y="4462462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𝑚_𝑖∗𝐵_𝑖=𝑚_𝑓∗𝐵_𝑓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27</xdr:col>
      <xdr:colOff>298564</xdr:colOff>
      <xdr:row>25</xdr:row>
      <xdr:rowOff>10091</xdr:rowOff>
    </xdr:from>
    <xdr:ext cx="13865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9285064" y="4772591"/>
              <a:ext cx="13865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𝑎𝑡𝑚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=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−0.0001158∗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h</m:t>
                        </m:r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9285064" y="4772591"/>
              <a:ext cx="13865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𝑃_(𝑎𝑡𝑚=) 𝑃∗𝑒^(−0.0001158∗ℎ)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39</xdr:col>
      <xdr:colOff>258017</xdr:colOff>
      <xdr:row>20</xdr:row>
      <xdr:rowOff>35020</xdr:rowOff>
    </xdr:from>
    <xdr:to>
      <xdr:col>43</xdr:col>
      <xdr:colOff>565416</xdr:colOff>
      <xdr:row>21</xdr:row>
      <xdr:rowOff>186312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1267" y="416020"/>
          <a:ext cx="2744591" cy="34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39</xdr:col>
      <xdr:colOff>916781</xdr:colOff>
      <xdr:row>33</xdr:row>
      <xdr:rowOff>2381</xdr:rowOff>
    </xdr:from>
    <xdr:ext cx="1808637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4442281" y="2999581"/>
              <a:ext cx="180863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  <m:sub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𝑅𝑞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= </m:t>
                  </m:r>
                </m:oMath>
              </a14:m>
              <a:r>
                <a:rPr lang="es-CO" sz="1100"/>
                <a:t>m*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sub>
                  </m:sSub>
                  <m:r>
                    <a:rPr lang="es-CO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r>
                    <a:rPr lang="es-CO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∆</m:t>
                  </m:r>
                  <m:r>
                    <a:rPr lang="es-CO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𝑇</m:t>
                  </m:r>
                </m:oMath>
              </a14:m>
              <a:r>
                <a:rPr lang="es-CO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𝑚</m:t>
                      </m:r>
                    </m:e>
                    <m:sub>
                      <m:sSub>
                        <m:sSubPr>
                          <m:ctrlPr>
                            <a:rPr lang="es-CO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CO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s-CO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𝑂</m:t>
                      </m:r>
                    </m:sub>
                  </m:sSub>
                  <m:r>
                    <a:rPr lang="es-CO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∆</m:t>
                      </m:r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𝐻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sub>
                  </m:sSub>
                </m:oMath>
              </a14:m>
              <a:endParaRPr lang="es-CO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4442281" y="2999581"/>
              <a:ext cx="180863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𝑄_𝑅𝑞= </a:t>
              </a:r>
              <a:r>
                <a:rPr lang="es-CO" sz="1100"/>
                <a:t>m*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𝐶_𝑝∗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∆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𝑇</a:t>
              </a:r>
              <a:r>
                <a:rPr lang="es-CO" sz="1100"/>
                <a:t>+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𝑚_(𝐻_2 𝑂)∗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∆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𝐻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〗_𝑣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34</xdr:col>
      <xdr:colOff>552414</xdr:colOff>
      <xdr:row>30</xdr:row>
      <xdr:rowOff>26400</xdr:rowOff>
    </xdr:from>
    <xdr:to>
      <xdr:col>37</xdr:col>
      <xdr:colOff>537231</xdr:colOff>
      <xdr:row>30</xdr:row>
      <xdr:rowOff>177934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4564" y="2274300"/>
          <a:ext cx="2335830" cy="151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34</xdr:col>
      <xdr:colOff>1087210</xdr:colOff>
      <xdr:row>19</xdr:row>
      <xdr:rowOff>185057</xdr:rowOff>
    </xdr:from>
    <xdr:ext cx="1101134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5589360" y="375557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5589360" y="375557"/>
              <a:ext cx="1101134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𝑚_𝑖∗𝐵_𝑖=𝑚_𝑓∗𝐵_𝑓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34</xdr:col>
      <xdr:colOff>1019175</xdr:colOff>
      <xdr:row>22</xdr:row>
      <xdr:rowOff>0</xdr:rowOff>
    </xdr:from>
    <xdr:ext cx="1771650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8531225" y="946150"/>
              <a:ext cx="177165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𝐸𝑥𝑡𝑟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8531225" y="946150"/>
              <a:ext cx="177165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𝑚_𝑐=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𝑚_𝑗/𝐸𝑥𝑡𝑟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35</xdr:col>
      <xdr:colOff>391459</xdr:colOff>
      <xdr:row>38</xdr:row>
      <xdr:rowOff>31656</xdr:rowOff>
    </xdr:from>
    <xdr:ext cx="99065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6864609" y="7270656"/>
              <a:ext cx="9906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𝐵𝑉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6864609" y="7270656"/>
              <a:ext cx="9906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𝑚_𝐵𝑉=𝑚_𝑐−𝑚_𝑗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34</xdr:col>
      <xdr:colOff>535082</xdr:colOff>
      <xdr:row>43</xdr:row>
      <xdr:rowOff>14287</xdr:rowOff>
    </xdr:from>
    <xdr:ext cx="25679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0416932" y="2071687"/>
              <a:ext cx="25679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𝑚</m:t>
                      </m:r>
                    </m:e>
                    <m:sub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𝐵𝑆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s-CO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𝑚</m:t>
                      </m:r>
                    </m:e>
                    <m:sub>
                      <m:r>
                        <a:rPr lang="es-CO" sz="1100" b="0" i="1">
                          <a:latin typeface="Cambria Math" panose="02040503050406030204" pitchFamily="18" charset="0"/>
                        </a:rPr>
                        <m:t>𝐵𝑉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∗((100−</m:t>
                  </m:r>
                  <m:sSub>
                    <m:sSubPr>
                      <m:ctrlP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𝐵𝑉</m:t>
                      </m:r>
                    </m:sub>
                  </m:sSub>
                  <m:r>
                    <a:rPr lang="es-CO" sz="1100" b="0" i="1">
                      <a:latin typeface="Cambria Math" panose="02040503050406030204" pitchFamily="18" charset="0"/>
                    </a:rPr>
                    <m:t>)/(100−</m:t>
                  </m:r>
                  <m:sSub>
                    <m:sSubPr>
                      <m:ctrlP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s-CO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𝐵𝑆</m:t>
                      </m:r>
                    </m:sub>
                  </m:sSub>
                </m:oMath>
              </a14:m>
              <a:r>
                <a:rPr lang="es-CO" sz="1100"/>
                <a:t>))</a:t>
              </a:r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0416932" y="2071687"/>
              <a:ext cx="25679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CO" sz="1100" b="0" i="0">
                  <a:latin typeface="Cambria Math" panose="02040503050406030204" pitchFamily="18" charset="0"/>
                </a:rPr>
                <a:t>𝑚_𝐵𝑆=𝑚_𝐵𝑉∗((100−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𝐻_𝐵𝑉</a:t>
              </a:r>
              <a:r>
                <a:rPr lang="es-CO" sz="1100" b="0" i="0">
                  <a:latin typeface="Cambria Math" panose="02040503050406030204" pitchFamily="18" charset="0"/>
                </a:rPr>
                <a:t>)/(100−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𝐻_𝐵𝑆</a:t>
              </a:r>
              <a:r>
                <a:rPr lang="es-CO" sz="1100"/>
                <a:t>))</a:t>
              </a:r>
            </a:p>
          </xdr:txBody>
        </xdr:sp>
      </mc:Fallback>
    </mc:AlternateContent>
    <xdr:clientData/>
  </xdr:oneCellAnchor>
  <xdr:oneCellAnchor>
    <xdr:from>
      <xdr:col>35</xdr:col>
      <xdr:colOff>10647</xdr:colOff>
      <xdr:row>36</xdr:row>
      <xdr:rowOff>40993</xdr:rowOff>
    </xdr:from>
    <xdr:ext cx="1491113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26483797" y="6898993"/>
              <a:ext cx="1491113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𝑝𝑎𝑟𝑟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𝑃𝑜𝑡𝑒𝑛𝑐𝑖𝑎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/1000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26483797" y="6898993"/>
              <a:ext cx="1491113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𝐴_𝑝𝑎𝑟𝑟=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𝑃𝑜𝑡𝑒𝑛𝑐𝑖𝑎/1000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34</xdr:col>
      <xdr:colOff>1099483</xdr:colOff>
      <xdr:row>36</xdr:row>
      <xdr:rowOff>182373</xdr:rowOff>
    </xdr:from>
    <xdr:ext cx="1135696" cy="2043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601633" y="3547873"/>
              <a:ext cx="1135696" cy="204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𝑠𝑢𝑚</m:t>
                        </m:r>
                      </m:sub>
                    </m:sSub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𝑄</m:t>
                        </m:r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𝑎𝑝𝑟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/</m:t>
                    </m:r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𝐸𝑓𝑓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601633" y="3547873"/>
              <a:ext cx="1135696" cy="2043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𝑄_𝑠𝑢𝑚=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𝑄_𝑎𝑝𝑟  /𝐸𝑓𝑓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34</xdr:col>
      <xdr:colOff>523233</xdr:colOff>
      <xdr:row>35</xdr:row>
      <xdr:rowOff>6843</xdr:rowOff>
    </xdr:from>
    <xdr:ext cx="20730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20405083" y="578343"/>
              <a:ext cx="20730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𝑉𝐶𝑁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=17,85−20,35∗(</m:t>
                    </m:r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/100)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20405083" y="578343"/>
              <a:ext cx="20730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𝑉𝐶𝑁=17,85−20,35∗(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𝐻_𝐵/100)</a:t>
              </a:r>
              <a:endParaRPr lang="es-CO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215900</xdr:colOff>
          <xdr:row>178</xdr:row>
          <xdr:rowOff>190500</xdr:rowOff>
        </xdr:from>
        <xdr:to>
          <xdr:col>19</xdr:col>
          <xdr:colOff>177800</xdr:colOff>
          <xdr:row>181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%20Hornillas%20CIMP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 General Hornilla"/>
      <sheetName val="Mod Program"/>
      <sheetName val="Hoja2"/>
    </sheetNames>
    <sheetDataSet>
      <sheetData sheetId="0">
        <row r="34">
          <cell r="I34">
            <v>1.5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 Progra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N293"/>
  <sheetViews>
    <sheetView tabSelected="1" zoomScale="70" zoomScaleNormal="70" workbookViewId="0">
      <selection activeCell="K10" sqref="K10"/>
    </sheetView>
  </sheetViews>
  <sheetFormatPr baseColWidth="10" defaultColWidth="8.7265625" defaultRowHeight="15" thickBottom="1" x14ac:dyDescent="0.4"/>
  <cols>
    <col min="2" max="2" width="36.7265625" bestFit="1" customWidth="1"/>
    <col min="3" max="3" width="9.7265625" bestFit="1" customWidth="1"/>
    <col min="4" max="4" width="10" style="69" customWidth="1"/>
    <col min="5" max="5" width="10" customWidth="1"/>
    <col min="6" max="6" width="10" style="213" customWidth="1"/>
    <col min="7" max="9" width="10" customWidth="1"/>
    <col min="10" max="10" width="10" style="213" customWidth="1"/>
    <col min="11" max="11" width="10" customWidth="1"/>
    <col min="12" max="12" width="10" style="213" customWidth="1"/>
    <col min="13" max="21" width="10" customWidth="1"/>
    <col min="22" max="22" width="7.453125" style="47" customWidth="1"/>
    <col min="23" max="24" width="7.453125" customWidth="1"/>
    <col min="25" max="25" width="8.26953125" bestFit="1" customWidth="1"/>
    <col min="26" max="26" width="7.453125" customWidth="1"/>
    <col min="27" max="27" width="8.26953125" bestFit="1" customWidth="1"/>
    <col min="37" max="37" width="16.08984375" bestFit="1" customWidth="1"/>
  </cols>
  <sheetData>
    <row r="1" spans="1:144" thickBot="1" x14ac:dyDescent="0.4">
      <c r="A1" s="30"/>
      <c r="B1" s="30"/>
      <c r="C1" s="30"/>
      <c r="D1" s="67"/>
      <c r="E1" s="30"/>
      <c r="F1" s="74"/>
      <c r="G1" s="30"/>
      <c r="H1" s="30"/>
      <c r="I1" s="30"/>
      <c r="J1" s="74"/>
      <c r="K1" s="30"/>
      <c r="L1" s="74"/>
      <c r="M1" s="30"/>
      <c r="N1" s="30"/>
      <c r="O1" s="30"/>
      <c r="P1" s="30"/>
      <c r="Q1" s="30"/>
      <c r="R1" s="30"/>
      <c r="S1" s="30"/>
      <c r="T1" s="30"/>
      <c r="U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0"/>
      <c r="EH1" s="30"/>
      <c r="EI1" s="30"/>
      <c r="EJ1" s="30"/>
      <c r="EK1" s="30"/>
      <c r="EL1" s="30"/>
      <c r="EM1" s="30"/>
      <c r="EN1" s="30"/>
    </row>
    <row r="2" spans="1:144" thickBot="1" x14ac:dyDescent="0.4">
      <c r="A2" s="30"/>
      <c r="B2" s="190" t="s">
        <v>0</v>
      </c>
      <c r="C2" s="191"/>
      <c r="D2" s="191"/>
      <c r="E2" s="192"/>
      <c r="F2" s="31"/>
      <c r="G2" s="30"/>
      <c r="H2" s="684" t="s">
        <v>1</v>
      </c>
      <c r="I2" s="685"/>
      <c r="J2" s="685"/>
      <c r="K2" s="685"/>
      <c r="L2" s="686"/>
      <c r="M2" s="30"/>
      <c r="N2" s="30"/>
      <c r="O2" s="687" t="s">
        <v>441</v>
      </c>
      <c r="P2" s="688"/>
      <c r="Q2" s="688"/>
      <c r="R2" s="688"/>
      <c r="S2" s="689"/>
      <c r="T2" s="206"/>
      <c r="U2" s="31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</row>
    <row r="3" spans="1:144" thickBot="1" x14ac:dyDescent="0.4">
      <c r="A3" s="30"/>
      <c r="B3" s="1" t="s">
        <v>4</v>
      </c>
      <c r="C3" s="2" t="s">
        <v>5</v>
      </c>
      <c r="D3" s="2">
        <v>25</v>
      </c>
      <c r="E3" s="3" t="s">
        <v>6</v>
      </c>
      <c r="F3" s="31" t="s">
        <v>455</v>
      </c>
      <c r="G3" s="30"/>
      <c r="H3" s="691" t="s">
        <v>416</v>
      </c>
      <c r="I3" s="692"/>
      <c r="J3" s="486" t="s">
        <v>448</v>
      </c>
      <c r="K3" s="503">
        <f>K4/D16</f>
        <v>187.64909090909094</v>
      </c>
      <c r="L3" s="487" t="s">
        <v>6</v>
      </c>
      <c r="M3" s="30"/>
      <c r="N3" s="30"/>
      <c r="O3" s="678" t="s">
        <v>212</v>
      </c>
      <c r="P3" s="679"/>
      <c r="Q3" s="679"/>
      <c r="R3" s="679"/>
      <c r="S3" s="690"/>
      <c r="T3" s="175"/>
      <c r="U3" s="31"/>
      <c r="W3" s="30"/>
      <c r="X3" s="30"/>
      <c r="AE3" s="449"/>
      <c r="AF3" s="449"/>
      <c r="AG3" s="449"/>
      <c r="AH3" s="449"/>
      <c r="AI3" s="449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</row>
    <row r="4" spans="1:144" thickBot="1" x14ac:dyDescent="0.4">
      <c r="A4" s="30"/>
      <c r="B4" s="4" t="s">
        <v>78</v>
      </c>
      <c r="C4" s="5" t="s">
        <v>79</v>
      </c>
      <c r="D4" s="477">
        <v>2.7</v>
      </c>
      <c r="E4" s="7" t="s">
        <v>80</v>
      </c>
      <c r="F4" s="479">
        <f>K15/D3</f>
        <v>1.9751407168831168</v>
      </c>
      <c r="G4" s="30"/>
      <c r="H4" s="658" t="s">
        <v>415</v>
      </c>
      <c r="I4" s="659"/>
      <c r="J4" s="489" t="s">
        <v>449</v>
      </c>
      <c r="K4" s="504">
        <f>+K6*(1+D6)</f>
        <v>112.58945454545456</v>
      </c>
      <c r="L4" s="484" t="s">
        <v>6</v>
      </c>
      <c r="M4" s="30"/>
      <c r="N4" s="30"/>
      <c r="O4" s="669" t="s">
        <v>434</v>
      </c>
      <c r="P4" s="670"/>
      <c r="Q4" s="485" t="s">
        <v>54</v>
      </c>
      <c r="R4" s="486">
        <f>997.39+4.46*D8</f>
        <v>1073.21</v>
      </c>
      <c r="S4" s="487" t="s">
        <v>55</v>
      </c>
      <c r="T4" s="480"/>
      <c r="U4" s="31"/>
      <c r="W4" s="30"/>
      <c r="X4" s="30"/>
      <c r="AE4" s="476"/>
      <c r="AF4" s="476"/>
      <c r="AG4" s="476"/>
      <c r="AH4" s="476"/>
      <c r="AI4" s="476"/>
      <c r="AJ4" s="443"/>
      <c r="AK4" s="446" t="s">
        <v>382</v>
      </c>
      <c r="AL4" s="447">
        <v>0.155</v>
      </c>
      <c r="AM4" s="447" t="s">
        <v>383</v>
      </c>
      <c r="AN4" s="447">
        <f>+R22</f>
        <v>0.22021874999999999</v>
      </c>
      <c r="AO4" s="448"/>
      <c r="AP4" s="449"/>
      <c r="AQ4" s="450" t="s">
        <v>384</v>
      </c>
      <c r="AR4" s="472"/>
      <c r="AS4" s="472"/>
      <c r="AT4" s="472"/>
      <c r="AU4" s="472"/>
      <c r="AV4" s="472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  <c r="DE4" s="30"/>
      <c r="DF4" s="30"/>
      <c r="DG4" s="30"/>
      <c r="DH4" s="30"/>
      <c r="DI4" s="30"/>
      <c r="DJ4" s="30"/>
      <c r="DK4" s="30"/>
      <c r="DL4" s="30"/>
      <c r="DM4" s="30"/>
      <c r="DN4" s="30"/>
      <c r="DO4" s="30"/>
      <c r="DP4" s="30"/>
      <c r="DQ4" s="30"/>
      <c r="DR4" s="30"/>
      <c r="DS4" s="30"/>
      <c r="DT4" s="30"/>
      <c r="DU4" s="30"/>
      <c r="DV4" s="30"/>
      <c r="DW4" s="30"/>
      <c r="DX4" s="30"/>
      <c r="DY4" s="30"/>
      <c r="DZ4" s="30"/>
      <c r="EA4" s="30"/>
      <c r="EB4" s="30"/>
      <c r="EC4" s="30"/>
      <c r="ED4" s="30"/>
      <c r="EE4" s="30"/>
      <c r="EF4" s="30"/>
      <c r="EG4" s="30"/>
      <c r="EH4" s="30"/>
      <c r="EI4" s="30"/>
      <c r="EJ4" s="30"/>
      <c r="EK4" s="30"/>
      <c r="EL4" s="30"/>
      <c r="EM4" s="30"/>
      <c r="EN4" s="30"/>
    </row>
    <row r="5" spans="1:144" thickBot="1" x14ac:dyDescent="0.4">
      <c r="A5" s="30"/>
      <c r="B5" s="18" t="s">
        <v>342</v>
      </c>
      <c r="C5" s="19" t="s">
        <v>7</v>
      </c>
      <c r="D5" s="84">
        <f>+K21/R21</f>
        <v>0.28790396338343011</v>
      </c>
      <c r="E5" s="20" t="s">
        <v>8</v>
      </c>
      <c r="F5" s="31"/>
      <c r="G5" s="30"/>
      <c r="H5" s="656" t="s">
        <v>432</v>
      </c>
      <c r="I5" s="657"/>
      <c r="J5" s="493" t="s">
        <v>450</v>
      </c>
      <c r="K5" s="506">
        <f>+K4*D6</f>
        <v>2.2517890909090914</v>
      </c>
      <c r="L5" s="484" t="s">
        <v>6</v>
      </c>
      <c r="M5" s="30"/>
      <c r="N5" s="30"/>
      <c r="O5" s="667" t="s">
        <v>435</v>
      </c>
      <c r="P5" s="668"/>
      <c r="Q5" s="488" t="s">
        <v>58</v>
      </c>
      <c r="R5" s="489">
        <f>997.39+4.46*D9</f>
        <v>1095.51</v>
      </c>
      <c r="S5" s="484" t="s">
        <v>55</v>
      </c>
      <c r="T5" s="480"/>
      <c r="U5" s="31"/>
      <c r="W5" s="30"/>
      <c r="X5" s="30"/>
      <c r="AE5" s="476"/>
      <c r="AF5" s="476"/>
      <c r="AG5" s="476"/>
      <c r="AH5" s="476"/>
      <c r="AI5" s="476"/>
      <c r="AJ5" s="443"/>
      <c r="AK5" s="453" t="s">
        <v>386</v>
      </c>
      <c r="AL5" s="454">
        <v>0.75</v>
      </c>
      <c r="AM5" s="454">
        <v>1</v>
      </c>
      <c r="AN5" s="454">
        <v>1.25</v>
      </c>
      <c r="AO5" s="455">
        <v>1.5</v>
      </c>
      <c r="AP5" s="456">
        <f>IF($D$3&lt;40,AQ5,IF($AP$11=$AL$11,AL5,IF($V$38=$AM$11,AM5,IF($V$38=$AN$11,AN5,AO5))))</f>
        <v>0.5</v>
      </c>
      <c r="AQ5" s="457">
        <v>0.5</v>
      </c>
      <c r="AR5" s="472"/>
      <c r="AS5" s="472"/>
      <c r="AT5" s="472"/>
      <c r="AU5" s="472"/>
      <c r="AV5" s="472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  <c r="DE5" s="30"/>
      <c r="DF5" s="30"/>
      <c r="DG5" s="30"/>
      <c r="DH5" s="30"/>
      <c r="DI5" s="30"/>
      <c r="DJ5" s="30"/>
      <c r="DK5" s="30"/>
      <c r="DL5" s="30"/>
      <c r="DM5" s="30"/>
      <c r="DN5" s="30"/>
      <c r="DO5" s="30"/>
      <c r="DP5" s="30"/>
      <c r="DQ5" s="30"/>
      <c r="DR5" s="30"/>
      <c r="DS5" s="30"/>
      <c r="DT5" s="30"/>
      <c r="DU5" s="30"/>
      <c r="DV5" s="30"/>
      <c r="DW5" s="30"/>
      <c r="DX5" s="30"/>
      <c r="DY5" s="30"/>
      <c r="DZ5" s="30"/>
      <c r="EA5" s="30"/>
      <c r="EB5" s="30"/>
      <c r="EC5" s="30"/>
      <c r="ED5" s="30"/>
      <c r="EE5" s="30"/>
      <c r="EF5" s="30"/>
      <c r="EG5" s="30"/>
      <c r="EH5" s="30"/>
      <c r="EI5" s="30"/>
      <c r="EJ5" s="30"/>
      <c r="EK5" s="30"/>
      <c r="EL5" s="30"/>
      <c r="EM5" s="30"/>
      <c r="EN5" s="30"/>
    </row>
    <row r="6" spans="1:144" thickBot="1" x14ac:dyDescent="0.4">
      <c r="A6" s="30"/>
      <c r="B6" s="4" t="s">
        <v>12</v>
      </c>
      <c r="C6" s="5" t="s">
        <v>13</v>
      </c>
      <c r="D6" s="6">
        <v>0.02</v>
      </c>
      <c r="E6" s="7" t="s">
        <v>8</v>
      </c>
      <c r="F6" s="31"/>
      <c r="G6" s="30"/>
      <c r="H6" s="656" t="s">
        <v>431</v>
      </c>
      <c r="I6" s="657"/>
      <c r="J6" s="489" t="s">
        <v>451</v>
      </c>
      <c r="K6" s="506">
        <f>+K8*(1+D7)</f>
        <v>110.38181818181819</v>
      </c>
      <c r="L6" s="484" t="s">
        <v>6</v>
      </c>
      <c r="M6" s="30"/>
      <c r="N6" s="30"/>
      <c r="O6" s="661" t="s">
        <v>436</v>
      </c>
      <c r="P6" s="662"/>
      <c r="Q6" s="490" t="s">
        <v>61</v>
      </c>
      <c r="R6" s="491">
        <f>997.39+4.46*D10</f>
        <v>1331.8899999999999</v>
      </c>
      <c r="S6" s="492" t="s">
        <v>55</v>
      </c>
      <c r="T6" s="480"/>
      <c r="U6" s="31"/>
      <c r="W6" s="30"/>
      <c r="X6" s="30"/>
      <c r="AE6" s="476"/>
      <c r="AF6" s="476"/>
      <c r="AG6" s="476"/>
      <c r="AH6" s="476"/>
      <c r="AI6" s="476"/>
      <c r="AJ6" s="443"/>
      <c r="AK6" s="453" t="s">
        <v>389</v>
      </c>
      <c r="AL6" s="454">
        <f>ROUNDUP(($AN$4/($AL$4*AL5)),0.001)</f>
        <v>2</v>
      </c>
      <c r="AM6" s="454">
        <f t="shared" ref="AM6:AO6" si="0">ROUNDUP(($AN$4/($AL$4*AM5)),0.001)</f>
        <v>2</v>
      </c>
      <c r="AN6" s="454">
        <f t="shared" si="0"/>
        <v>2</v>
      </c>
      <c r="AO6" s="454">
        <f t="shared" si="0"/>
        <v>1</v>
      </c>
      <c r="AP6" s="456">
        <f>IF($D$3&lt;40,AQ6,IF($AP$11=$AL$11,AL6,IF($V$38=$AM$11,AM6,IF($V$38=$AN$11,AN6,AO6))))</f>
        <v>3</v>
      </c>
      <c r="AQ6" s="457">
        <f>ROUNDUP(($AN$4/($AL$4*AQ5)),0.001)</f>
        <v>3</v>
      </c>
      <c r="AR6" s="472"/>
      <c r="AS6" s="472"/>
      <c r="AT6" s="472"/>
      <c r="AU6" s="472"/>
      <c r="AV6" s="472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30"/>
      <c r="DK6" s="30"/>
      <c r="DL6" s="30"/>
      <c r="DM6" s="30"/>
      <c r="DN6" s="30"/>
      <c r="DO6" s="30"/>
      <c r="DP6" s="30"/>
      <c r="DQ6" s="30"/>
      <c r="DR6" s="30"/>
      <c r="DS6" s="30"/>
      <c r="DT6" s="30"/>
      <c r="DU6" s="30"/>
      <c r="DV6" s="30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</row>
    <row r="7" spans="1:144" thickBot="1" x14ac:dyDescent="0.4">
      <c r="A7" s="30"/>
      <c r="B7" s="4" t="s">
        <v>16</v>
      </c>
      <c r="C7" s="5" t="s">
        <v>17</v>
      </c>
      <c r="D7" s="6">
        <v>0.04</v>
      </c>
      <c r="E7" s="7" t="s">
        <v>8</v>
      </c>
      <c r="F7" s="31"/>
      <c r="G7" s="30"/>
      <c r="H7" s="656" t="s">
        <v>16</v>
      </c>
      <c r="I7" s="657"/>
      <c r="J7" s="493" t="s">
        <v>452</v>
      </c>
      <c r="K7" s="506">
        <f>+K6*D7</f>
        <v>4.4152727272727281</v>
      </c>
      <c r="L7" s="484" t="s">
        <v>6</v>
      </c>
      <c r="M7" s="30"/>
      <c r="N7" s="30"/>
      <c r="O7" s="671" t="s">
        <v>421</v>
      </c>
      <c r="P7" s="672"/>
      <c r="Q7" s="672"/>
      <c r="R7" s="672"/>
      <c r="S7" s="673"/>
      <c r="T7" s="68"/>
      <c r="U7" s="31"/>
      <c r="W7" s="30"/>
      <c r="X7" s="30"/>
      <c r="AE7" s="476"/>
      <c r="AF7" s="476"/>
      <c r="AG7" s="476"/>
      <c r="AH7" s="476"/>
      <c r="AI7" s="476"/>
      <c r="AJ7" s="443"/>
      <c r="AK7" s="453" t="s">
        <v>391</v>
      </c>
      <c r="AL7" s="449">
        <f>IF(AL6&gt;7,ROUNDUP(AL6/2,0.1),AL6)</f>
        <v>2</v>
      </c>
      <c r="AM7" s="449">
        <f>IF(AM6&gt;7,ROUNDUP(AM6/2,0.1),AM6)</f>
        <v>2</v>
      </c>
      <c r="AN7" s="449">
        <f>IF(AN6&gt;7,ROUNDUP(AN6/2,0.1),AN6)</f>
        <v>2</v>
      </c>
      <c r="AO7" s="449">
        <f>IF(AO6&gt;7,ROUNDUP(AO6/2,0.1),AO6)</f>
        <v>1</v>
      </c>
      <c r="AP7" s="456">
        <f>IF($D$3&lt;40,AQ7,IF($AP$11=$AL$11,AL7,IF($V$38=$AM$11,AM7,IF($V$38=$AN$11,AN7,AO7))))</f>
        <v>3</v>
      </c>
      <c r="AQ7" s="457">
        <f>IF(AQ6&gt;7,ROUNDUP(AQ6/2,0.1),AQ6)</f>
        <v>3</v>
      </c>
      <c r="AR7" s="472"/>
      <c r="AS7" s="472"/>
      <c r="AT7" s="472"/>
      <c r="AU7" s="472"/>
      <c r="AV7" s="472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30"/>
      <c r="EN7" s="30"/>
    </row>
    <row r="8" spans="1:144" thickBot="1" x14ac:dyDescent="0.4">
      <c r="A8" s="30"/>
      <c r="B8" s="1" t="s">
        <v>22</v>
      </c>
      <c r="C8" s="2" t="s">
        <v>23</v>
      </c>
      <c r="D8" s="2">
        <v>17</v>
      </c>
      <c r="E8" s="3" t="s">
        <v>24</v>
      </c>
      <c r="F8" s="31"/>
      <c r="G8" s="30"/>
      <c r="H8" s="656" t="s">
        <v>430</v>
      </c>
      <c r="I8" s="657"/>
      <c r="J8" s="489" t="s">
        <v>453</v>
      </c>
      <c r="K8" s="506">
        <f>+D3*D12/D9</f>
        <v>106.13636363636364</v>
      </c>
      <c r="L8" s="484" t="s">
        <v>6</v>
      </c>
      <c r="M8" s="30"/>
      <c r="N8" s="30"/>
      <c r="O8" s="669" t="s">
        <v>437</v>
      </c>
      <c r="P8" s="670"/>
      <c r="Q8" s="486" t="s">
        <v>14</v>
      </c>
      <c r="R8" s="486">
        <f>D22+0.2209*EXP(0.0557*D9)</f>
        <v>95.599979559921579</v>
      </c>
      <c r="S8" s="487" t="s">
        <v>15</v>
      </c>
      <c r="T8" s="480"/>
      <c r="U8" s="31"/>
      <c r="W8" s="30"/>
      <c r="X8" s="30"/>
      <c r="AE8" s="476"/>
      <c r="AF8" s="476"/>
      <c r="AG8" s="476"/>
      <c r="AH8" s="476"/>
      <c r="AI8" s="476"/>
      <c r="AJ8" s="443"/>
      <c r="AK8" s="453" t="s">
        <v>395</v>
      </c>
      <c r="AL8" s="449">
        <f>IF(AL6&lt;7,1,ROUNDUP(AL6/AL7,0.1))</f>
        <v>1</v>
      </c>
      <c r="AM8" s="449">
        <f>IF(AM6&lt;7,1,ROUNDUP(AM6/AM7,0.1))</f>
        <v>1</v>
      </c>
      <c r="AN8" s="449">
        <f>IF(AN6&lt;7,1,ROUNDUP(AN6/AN7,0.1))</f>
        <v>1</v>
      </c>
      <c r="AO8" s="449">
        <f>IF(AO6&lt;7,1,ROUNDUP(AO6/AO7,0.1))</f>
        <v>1</v>
      </c>
      <c r="AP8" s="456">
        <f>IF($D$3&lt;40,AQ8,IF($AP$11=$AL$11,AL8,IF($V$38=$AM$11,AM8,IF($V$38=$AN$11,AN8,AO8))))</f>
        <v>1</v>
      </c>
      <c r="AQ8" s="457">
        <f>IF(AQ6&lt;7,1,ROUNDUP(AQ6/AQ7,0.1))</f>
        <v>1</v>
      </c>
      <c r="AR8" s="472"/>
      <c r="AS8" s="472"/>
      <c r="AT8" s="472"/>
      <c r="AU8" s="472"/>
      <c r="AV8" s="472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</row>
    <row r="9" spans="1:144" thickBot="1" x14ac:dyDescent="0.4">
      <c r="A9" s="30"/>
      <c r="B9" s="1" t="s">
        <v>26</v>
      </c>
      <c r="C9" s="2" t="s">
        <v>27</v>
      </c>
      <c r="D9" s="2">
        <v>22</v>
      </c>
      <c r="E9" s="3" t="s">
        <v>24</v>
      </c>
      <c r="F9" s="31"/>
      <c r="G9" s="30"/>
      <c r="H9" s="658" t="s">
        <v>417</v>
      </c>
      <c r="I9" s="659"/>
      <c r="J9" s="489" t="s">
        <v>454</v>
      </c>
      <c r="K9" s="504">
        <f>K6-D3</f>
        <v>85.38181818181819</v>
      </c>
      <c r="L9" s="484" t="s">
        <v>6</v>
      </c>
      <c r="M9" s="30"/>
      <c r="N9" s="30"/>
      <c r="O9" s="667" t="s">
        <v>438</v>
      </c>
      <c r="P9" s="668"/>
      <c r="Q9" s="489" t="s">
        <v>18</v>
      </c>
      <c r="R9" s="489">
        <f>D22+0.2209*EXP(0.0557*D10)</f>
        <v>109.25096218777557</v>
      </c>
      <c r="S9" s="484" t="s">
        <v>15</v>
      </c>
      <c r="T9" s="480"/>
      <c r="U9" s="31"/>
      <c r="W9" s="30"/>
      <c r="X9" s="30"/>
      <c r="AE9" s="476"/>
      <c r="AF9" s="476"/>
      <c r="AG9" s="476"/>
      <c r="AH9" s="476"/>
      <c r="AI9" s="476"/>
      <c r="AJ9" s="443"/>
      <c r="AK9" s="453" t="s">
        <v>398</v>
      </c>
      <c r="AL9" s="449">
        <f>AL7*AL8</f>
        <v>2</v>
      </c>
      <c r="AM9" s="449">
        <f>AM7*AM8</f>
        <v>2</v>
      </c>
      <c r="AN9" s="449">
        <f>AN7*AN8</f>
        <v>2</v>
      </c>
      <c r="AO9" s="449">
        <f>AO7*AO8</f>
        <v>1</v>
      </c>
      <c r="AP9" s="456">
        <f>IF($D$3&lt;40,AQ9,IF($AP$11=$AL$11,AL9,IF($V$38=$AM$11,AM9,IF($V$38=$AN$11,AN9,AO9))))</f>
        <v>3</v>
      </c>
      <c r="AQ9" s="457">
        <f>AQ7*AQ8</f>
        <v>3</v>
      </c>
      <c r="AR9" s="472"/>
      <c r="AS9" s="472"/>
      <c r="AT9" s="472"/>
      <c r="AU9" s="472"/>
      <c r="AV9" s="472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  <c r="DB9" s="30"/>
      <c r="DC9" s="30"/>
      <c r="DD9" s="30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30"/>
      <c r="DR9" s="30"/>
      <c r="DS9" s="30"/>
      <c r="DT9" s="30"/>
      <c r="DU9" s="30"/>
      <c r="DV9" s="30"/>
      <c r="DW9" s="30"/>
      <c r="DX9" s="30"/>
      <c r="DY9" s="30"/>
      <c r="DZ9" s="30"/>
      <c r="EA9" s="30"/>
      <c r="EB9" s="30"/>
      <c r="EC9" s="30"/>
      <c r="ED9" s="30"/>
      <c r="EE9" s="30"/>
      <c r="EF9" s="30"/>
      <c r="EG9" s="30"/>
      <c r="EH9" s="30"/>
      <c r="EI9" s="30"/>
      <c r="EJ9" s="30"/>
      <c r="EK9" s="30"/>
      <c r="EL9" s="30"/>
      <c r="EM9" s="30"/>
      <c r="EN9" s="30"/>
    </row>
    <row r="10" spans="1:144" thickBot="1" x14ac:dyDescent="0.4">
      <c r="A10" s="30"/>
      <c r="B10" s="1" t="s">
        <v>31</v>
      </c>
      <c r="C10" s="2" t="s">
        <v>32</v>
      </c>
      <c r="D10" s="2">
        <v>75</v>
      </c>
      <c r="E10" s="3" t="s">
        <v>24</v>
      </c>
      <c r="F10" s="31"/>
      <c r="G10" s="30"/>
      <c r="H10" s="658" t="s">
        <v>420</v>
      </c>
      <c r="I10" s="659"/>
      <c r="J10" s="489" t="s">
        <v>451</v>
      </c>
      <c r="K10" s="504">
        <f>+K6</f>
        <v>110.38181818181819</v>
      </c>
      <c r="L10" s="484" t="s">
        <v>6</v>
      </c>
      <c r="M10" s="30"/>
      <c r="N10" s="30"/>
      <c r="O10" s="661" t="s">
        <v>439</v>
      </c>
      <c r="P10" s="662"/>
      <c r="Q10" s="491" t="s">
        <v>25</v>
      </c>
      <c r="R10" s="491">
        <f>D22+0.2209*EXP(0.0557*D11)</f>
        <v>134.9861525810787</v>
      </c>
      <c r="S10" s="492" t="s">
        <v>15</v>
      </c>
      <c r="T10" s="480"/>
      <c r="U10" s="31"/>
      <c r="W10" s="30"/>
      <c r="X10" s="30"/>
      <c r="AE10" s="476"/>
      <c r="AF10" s="476"/>
      <c r="AG10" s="476"/>
      <c r="AH10" s="476"/>
      <c r="AI10" s="476"/>
      <c r="AJ10" s="443"/>
      <c r="AK10" s="453" t="s">
        <v>399</v>
      </c>
      <c r="AL10" s="454">
        <f>IF($AL$4*AL7&lt;0.62,5,$AL$4*AL7)</f>
        <v>5</v>
      </c>
      <c r="AM10" s="454">
        <f t="shared" ref="AM10:AO10" si="1">IF($AL$4*AM7&lt;0.62,5,$AL$4*AM7)</f>
        <v>5</v>
      </c>
      <c r="AN10" s="454">
        <f t="shared" si="1"/>
        <v>5</v>
      </c>
      <c r="AO10" s="454">
        <f t="shared" si="1"/>
        <v>5</v>
      </c>
      <c r="AP10" s="456">
        <f>IF($D$3&lt;40,AQ10,IF($AP$11=$AL$11,AL10,IF($AP$11=AM11,AM10,IF($AP$11=$AN$11,AN10,AO10))))</f>
        <v>0.46499999999999997</v>
      </c>
      <c r="AQ10" s="457">
        <f>$AL$4*AQ7</f>
        <v>0.46499999999999997</v>
      </c>
      <c r="AR10" s="472"/>
      <c r="AS10" s="472"/>
      <c r="AT10" s="472"/>
      <c r="AU10" s="472"/>
      <c r="AV10" s="472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30"/>
      <c r="DE10" s="30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30"/>
      <c r="DS10" s="30"/>
      <c r="DT10" s="30"/>
      <c r="DU10" s="30"/>
      <c r="DV10" s="30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30"/>
      <c r="EM10" s="30"/>
      <c r="EN10" s="30"/>
    </row>
    <row r="11" spans="1:144" thickBot="1" x14ac:dyDescent="0.4">
      <c r="A11" s="30"/>
      <c r="B11" s="1" t="s">
        <v>36</v>
      </c>
      <c r="C11" s="2" t="s">
        <v>37</v>
      </c>
      <c r="D11" s="2">
        <v>93.4</v>
      </c>
      <c r="E11" s="3" t="s">
        <v>24</v>
      </c>
      <c r="F11" s="31"/>
      <c r="G11" s="30"/>
      <c r="H11" s="658" t="s">
        <v>418</v>
      </c>
      <c r="I11" s="659"/>
      <c r="J11" s="489" t="s">
        <v>38</v>
      </c>
      <c r="K11" s="504">
        <f>+K8</f>
        <v>106.13636363636364</v>
      </c>
      <c r="L11" s="484" t="s">
        <v>6</v>
      </c>
      <c r="M11" s="30"/>
      <c r="N11" s="30"/>
      <c r="O11" s="684" t="s">
        <v>440</v>
      </c>
      <c r="P11" s="685"/>
      <c r="Q11" s="685"/>
      <c r="R11" s="685"/>
      <c r="S11" s="686"/>
      <c r="T11" s="480"/>
      <c r="U11" s="31"/>
      <c r="W11" s="30"/>
      <c r="X11" s="30"/>
      <c r="AE11" s="476"/>
      <c r="AF11" s="476"/>
      <c r="AG11" s="476"/>
      <c r="AH11" s="476"/>
      <c r="AI11" s="476"/>
      <c r="AJ11" s="443"/>
      <c r="AK11" s="460" t="s">
        <v>383</v>
      </c>
      <c r="AL11" s="461">
        <f>AL5*AL8*AL10</f>
        <v>3.75</v>
      </c>
      <c r="AM11" s="461">
        <f>AM5*AM8*AM10</f>
        <v>5</v>
      </c>
      <c r="AN11" s="461">
        <f>AN5*AN8*AN10</f>
        <v>6.25</v>
      </c>
      <c r="AO11" s="461">
        <f>AO5*AO8*AO10</f>
        <v>7.5</v>
      </c>
      <c r="AP11" s="462">
        <f>IF(D3&lt;40,AQ11,MIN(AL11:AO11))</f>
        <v>0.23249999999999998</v>
      </c>
      <c r="AQ11" s="463">
        <f>(AQ5*AQ8)*($AL$4*AQ7)</f>
        <v>0.23249999999999998</v>
      </c>
      <c r="AR11" s="472"/>
      <c r="AS11" s="472"/>
      <c r="AT11" s="472"/>
      <c r="AU11" s="472"/>
      <c r="AV11" s="472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30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30"/>
      <c r="DS11" s="30"/>
      <c r="DT11" s="30"/>
      <c r="DU11" s="30"/>
      <c r="DV11" s="30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</row>
    <row r="12" spans="1:144" thickBot="1" x14ac:dyDescent="0.4">
      <c r="A12" s="30"/>
      <c r="B12" s="1" t="s">
        <v>41</v>
      </c>
      <c r="C12" s="5" t="s">
        <v>37</v>
      </c>
      <c r="D12" s="2">
        <f>D11</f>
        <v>93.4</v>
      </c>
      <c r="E12" s="3" t="s">
        <v>24</v>
      </c>
      <c r="F12" s="31"/>
      <c r="G12" s="30"/>
      <c r="H12" s="658" t="s">
        <v>419</v>
      </c>
      <c r="I12" s="659"/>
      <c r="J12" s="489" t="s">
        <v>42</v>
      </c>
      <c r="K12" s="504">
        <f>K11*D9/D10</f>
        <v>31.133333333333333</v>
      </c>
      <c r="L12" s="484" t="s">
        <v>6</v>
      </c>
      <c r="M12" s="30"/>
      <c r="N12" s="30"/>
      <c r="O12" s="667" t="s">
        <v>437</v>
      </c>
      <c r="P12" s="668"/>
      <c r="Q12" s="488" t="s">
        <v>34</v>
      </c>
      <c r="R12" s="489">
        <f>2492.9-2.0523*((D22+R8)/2)-0.0030752*((D22+R8)/2)^2</f>
        <v>2269.5874947257084</v>
      </c>
      <c r="S12" s="484" t="s">
        <v>35</v>
      </c>
      <c r="T12" s="480"/>
      <c r="U12" s="31"/>
      <c r="W12" s="30"/>
      <c r="X12" s="30"/>
      <c r="AE12" s="476"/>
      <c r="AF12" s="476"/>
      <c r="AG12" s="476"/>
      <c r="AH12" s="476"/>
      <c r="AI12" s="476"/>
      <c r="AJ12" s="443"/>
      <c r="AK12" s="464" t="s">
        <v>399</v>
      </c>
      <c r="AL12" s="448">
        <f>AL4*'[1]Calculo General Hornilla'!AB8</f>
        <v>0</v>
      </c>
      <c r="AM12" s="449"/>
      <c r="AN12" s="449"/>
      <c r="AO12" s="449"/>
      <c r="AP12" s="449"/>
      <c r="AQ12" s="449"/>
      <c r="AR12" s="472"/>
      <c r="AS12" s="472"/>
      <c r="AT12" s="472"/>
      <c r="AU12" s="472"/>
      <c r="AV12" s="472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  <c r="DB12" s="30"/>
      <c r="DC12" s="30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30"/>
      <c r="DS12" s="30"/>
      <c r="DT12" s="30"/>
      <c r="DU12" s="30"/>
      <c r="DV12" s="30"/>
      <c r="DW12" s="30"/>
      <c r="DX12" s="30"/>
      <c r="DY12" s="30"/>
      <c r="DZ12" s="30"/>
      <c r="EA12" s="30"/>
      <c r="EB12" s="30"/>
      <c r="EC12" s="30"/>
      <c r="ED12" s="30"/>
      <c r="EE12" s="30"/>
      <c r="EF12" s="30"/>
      <c r="EG12" s="30"/>
      <c r="EH12" s="30"/>
      <c r="EI12" s="30"/>
      <c r="EJ12" s="30"/>
      <c r="EK12" s="30"/>
      <c r="EL12" s="30"/>
      <c r="EM12" s="30"/>
      <c r="EN12" s="30"/>
    </row>
    <row r="13" spans="1:144" thickBot="1" x14ac:dyDescent="0.4">
      <c r="A13" s="30"/>
      <c r="B13" s="8" t="s">
        <v>43</v>
      </c>
      <c r="C13" s="9" t="s">
        <v>44</v>
      </c>
      <c r="D13" s="17" t="s">
        <v>45</v>
      </c>
      <c r="E13" s="10" t="s">
        <v>46</v>
      </c>
      <c r="F13" s="31"/>
      <c r="G13" s="30"/>
      <c r="H13" s="663" t="s">
        <v>442</v>
      </c>
      <c r="I13" s="664"/>
      <c r="J13" s="483" t="s">
        <v>425</v>
      </c>
      <c r="K13" s="506">
        <f>D3*D4</f>
        <v>67.5</v>
      </c>
      <c r="L13" s="484" t="s">
        <v>6</v>
      </c>
      <c r="M13" s="30"/>
      <c r="N13" s="30"/>
      <c r="O13" s="667" t="s">
        <v>438</v>
      </c>
      <c r="P13" s="668"/>
      <c r="Q13" s="488" t="s">
        <v>34</v>
      </c>
      <c r="R13" s="489">
        <f>2492.9-2.0523*((R8+R9)/2)-0.0030752*((R8+R9)/2)^2</f>
        <v>2250.4303533977154</v>
      </c>
      <c r="S13" s="484" t="s">
        <v>35</v>
      </c>
      <c r="T13" s="480"/>
      <c r="U13" s="31"/>
      <c r="W13" s="175"/>
      <c r="X13" s="175"/>
      <c r="AE13" s="476"/>
      <c r="AF13" s="476"/>
      <c r="AG13" s="476"/>
      <c r="AH13" s="476"/>
      <c r="AI13" s="476"/>
      <c r="AJ13" s="443"/>
      <c r="AK13" s="460" t="s">
        <v>383</v>
      </c>
      <c r="AL13" s="465" t="e">
        <f>#REF!*'[1]Calculo General Hornilla'!$I$34*'[1]Calculo General Hornilla'!AB8</f>
        <v>#REF!</v>
      </c>
      <c r="AM13" s="449"/>
      <c r="AN13" s="449"/>
      <c r="AO13" s="449"/>
      <c r="AP13" s="449"/>
      <c r="AQ13" s="449"/>
      <c r="AR13" s="472"/>
      <c r="AS13" s="472"/>
      <c r="AT13" s="472"/>
      <c r="AU13" s="472"/>
      <c r="AV13" s="472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</row>
    <row r="14" spans="1:144" thickBot="1" x14ac:dyDescent="0.4">
      <c r="A14" s="30"/>
      <c r="B14" s="4" t="s">
        <v>48</v>
      </c>
      <c r="C14" s="5" t="s">
        <v>49</v>
      </c>
      <c r="D14" s="6">
        <v>0.3</v>
      </c>
      <c r="E14" s="7" t="s">
        <v>8</v>
      </c>
      <c r="F14" s="31"/>
      <c r="G14" s="30"/>
      <c r="H14" s="658" t="s">
        <v>443</v>
      </c>
      <c r="I14" s="659"/>
      <c r="J14" s="489" t="s">
        <v>39</v>
      </c>
      <c r="K14" s="504">
        <f>K3-K4</f>
        <v>75.059636363636386</v>
      </c>
      <c r="L14" s="484" t="s">
        <v>6</v>
      </c>
      <c r="M14" s="30"/>
      <c r="N14" s="30"/>
      <c r="O14" s="661" t="s">
        <v>439</v>
      </c>
      <c r="P14" s="662"/>
      <c r="Q14" s="490" t="s">
        <v>34</v>
      </c>
      <c r="R14" s="491">
        <f>2492.9-2.0523*((R9+R10)/2)-0.0030752*((R9+R10)/2)^2</f>
        <v>2196.4158052642438</v>
      </c>
      <c r="S14" s="492" t="s">
        <v>35</v>
      </c>
      <c r="T14" s="480"/>
      <c r="U14" s="31"/>
      <c r="W14" s="32"/>
      <c r="X14" s="32"/>
      <c r="AE14" s="476"/>
      <c r="AF14" s="476"/>
      <c r="AG14" s="476"/>
      <c r="AH14" s="476"/>
      <c r="AI14" s="476"/>
      <c r="AJ14" s="443"/>
      <c r="AK14" s="443"/>
      <c r="AL14" s="443"/>
      <c r="AM14" s="443"/>
      <c r="AN14" s="443"/>
      <c r="AO14" s="443"/>
      <c r="AP14" s="443"/>
      <c r="AQ14" s="443"/>
      <c r="AR14" s="472"/>
      <c r="AS14" s="472"/>
      <c r="AT14" s="472"/>
      <c r="AU14" s="472"/>
      <c r="AV14" s="472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</row>
    <row r="15" spans="1:144" thickBot="1" x14ac:dyDescent="0.4">
      <c r="A15" s="30"/>
      <c r="B15" s="4" t="s">
        <v>52</v>
      </c>
      <c r="C15" s="11" t="s">
        <v>53</v>
      </c>
      <c r="D15" s="12">
        <v>1.8</v>
      </c>
      <c r="E15" s="7"/>
      <c r="F15" s="31"/>
      <c r="G15" s="30"/>
      <c r="H15" s="665" t="s">
        <v>444</v>
      </c>
      <c r="I15" s="666"/>
      <c r="J15" s="494" t="s">
        <v>424</v>
      </c>
      <c r="K15" s="505">
        <f>K14*((100%-D20)/(100%-D14))</f>
        <v>49.378517922077918</v>
      </c>
      <c r="L15" s="492" t="s">
        <v>6</v>
      </c>
      <c r="M15" s="30"/>
      <c r="N15" s="30"/>
      <c r="O15" s="684" t="s">
        <v>422</v>
      </c>
      <c r="P15" s="685"/>
      <c r="Q15" s="685"/>
      <c r="R15" s="685"/>
      <c r="S15" s="686"/>
      <c r="T15" s="480"/>
      <c r="U15" s="31"/>
      <c r="W15" s="32"/>
      <c r="X15" s="32"/>
      <c r="AE15" s="476"/>
      <c r="AF15" s="476"/>
      <c r="AG15" s="476"/>
      <c r="AH15" s="476"/>
      <c r="AI15" s="476"/>
      <c r="AJ15" s="443"/>
      <c r="AK15" s="443"/>
      <c r="AL15" s="443"/>
      <c r="AM15" s="443"/>
      <c r="AN15" s="443"/>
      <c r="AO15" s="443"/>
      <c r="AP15" s="443"/>
      <c r="AQ15" s="443"/>
      <c r="AR15" s="472"/>
      <c r="AS15" s="472"/>
      <c r="AT15" s="472"/>
      <c r="AU15" s="472"/>
      <c r="AV15" s="472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  <c r="DB15" s="30"/>
      <c r="DC15" s="30"/>
      <c r="DD15" s="30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30"/>
      <c r="DR15" s="30"/>
      <c r="DS15" s="30"/>
      <c r="DT15" s="30"/>
      <c r="DU15" s="30"/>
      <c r="DV15" s="30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</row>
    <row r="16" spans="1:144" thickBot="1" x14ac:dyDescent="0.4">
      <c r="A16" s="30"/>
      <c r="B16" s="1" t="s">
        <v>56</v>
      </c>
      <c r="C16" s="2" t="s">
        <v>57</v>
      </c>
      <c r="D16" s="13">
        <v>0.6</v>
      </c>
      <c r="E16" s="3" t="s">
        <v>8</v>
      </c>
      <c r="F16" s="31"/>
      <c r="G16" s="30"/>
      <c r="H16" s="37"/>
      <c r="I16" s="37"/>
      <c r="J16" s="37"/>
      <c r="K16" s="201"/>
      <c r="L16" s="201"/>
      <c r="M16" s="30"/>
      <c r="N16" s="30"/>
      <c r="O16" s="667" t="s">
        <v>445</v>
      </c>
      <c r="P16" s="668"/>
      <c r="Q16" s="489" t="s">
        <v>50</v>
      </c>
      <c r="R16" s="489">
        <f>4.18*(1-0.006*D8)</f>
        <v>3.7536399999999999</v>
      </c>
      <c r="S16" s="484" t="s">
        <v>51</v>
      </c>
      <c r="T16" s="480"/>
      <c r="U16" s="31"/>
      <c r="W16" s="32"/>
      <c r="X16" s="32"/>
      <c r="Y16" s="476"/>
      <c r="Z16" s="476"/>
      <c r="AA16" s="476"/>
      <c r="AB16" s="476"/>
      <c r="AC16" s="476"/>
      <c r="AD16" s="476"/>
      <c r="AE16" s="476"/>
      <c r="AF16" s="476"/>
      <c r="AG16" s="476"/>
      <c r="AH16" s="476"/>
      <c r="AI16" s="476"/>
      <c r="AJ16" s="443"/>
      <c r="AK16" s="443"/>
      <c r="AL16" s="443"/>
      <c r="AM16" s="443"/>
      <c r="AN16" s="443"/>
      <c r="AO16" s="443">
        <f>Q102^(1/3)</f>
        <v>0.90207852932221222</v>
      </c>
      <c r="AP16" s="443"/>
      <c r="AQ16" s="443"/>
      <c r="AR16" s="472"/>
      <c r="AS16" s="472"/>
      <c r="AT16" s="472"/>
      <c r="AU16" s="472"/>
      <c r="AV16" s="472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  <c r="DB16" s="30"/>
      <c r="DC16" s="30"/>
      <c r="DD16" s="30"/>
      <c r="DE16" s="30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30"/>
      <c r="DQ16" s="30"/>
      <c r="DR16" s="30"/>
      <c r="DS16" s="30"/>
      <c r="DT16" s="30"/>
      <c r="DU16" s="30"/>
      <c r="DV16" s="30"/>
      <c r="DW16" s="30"/>
      <c r="DX16" s="30"/>
      <c r="DY16" s="30"/>
      <c r="DZ16" s="30"/>
      <c r="EA16" s="30"/>
      <c r="EB16" s="30"/>
      <c r="EC16" s="30"/>
      <c r="ED16" s="30"/>
      <c r="EE16" s="30"/>
      <c r="EF16" s="30"/>
      <c r="EG16" s="30"/>
      <c r="EH16" s="30"/>
      <c r="EI16" s="30"/>
      <c r="EJ16" s="30"/>
      <c r="EK16" s="30"/>
      <c r="EL16" s="30"/>
      <c r="EM16" s="30"/>
      <c r="EN16" s="30"/>
    </row>
    <row r="17" spans="1:144" thickBot="1" x14ac:dyDescent="0.4">
      <c r="A17" s="30"/>
      <c r="B17" s="1" t="s">
        <v>59</v>
      </c>
      <c r="C17" s="2" t="s">
        <v>60</v>
      </c>
      <c r="D17" s="13">
        <v>0.14000000000000001</v>
      </c>
      <c r="E17" s="3" t="s">
        <v>8</v>
      </c>
      <c r="F17" s="31"/>
      <c r="G17" s="30"/>
      <c r="H17" s="671" t="s">
        <v>433</v>
      </c>
      <c r="I17" s="672"/>
      <c r="J17" s="672"/>
      <c r="K17" s="672"/>
      <c r="L17" s="673"/>
      <c r="M17" s="30"/>
      <c r="N17" s="30"/>
      <c r="O17" s="667" t="s">
        <v>446</v>
      </c>
      <c r="P17" s="668"/>
      <c r="Q17" s="489" t="s">
        <v>50</v>
      </c>
      <c r="R17" s="489">
        <f>4.18*(1-0.006*D9)</f>
        <v>3.6282399999999999</v>
      </c>
      <c r="S17" s="484" t="s">
        <v>51</v>
      </c>
      <c r="T17" s="480"/>
      <c r="U17" s="31"/>
      <c r="W17" s="31"/>
      <c r="X17" s="31"/>
      <c r="AC17" s="476"/>
      <c r="AH17" s="476"/>
      <c r="AI17" s="476"/>
      <c r="AJ17" s="443"/>
      <c r="AK17" s="443"/>
      <c r="AL17" s="443"/>
      <c r="AM17" s="443"/>
      <c r="AN17" s="443"/>
      <c r="AO17" s="443"/>
      <c r="AP17" s="443"/>
      <c r="AQ17" s="443"/>
      <c r="AR17" s="472"/>
      <c r="AS17" s="472"/>
      <c r="AT17" s="472"/>
      <c r="AU17" s="472"/>
      <c r="AV17" s="472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30"/>
      <c r="DX17" s="3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</row>
    <row r="18" spans="1:144" thickBot="1" x14ac:dyDescent="0.4">
      <c r="A18" s="30"/>
      <c r="B18" s="1" t="s">
        <v>62</v>
      </c>
      <c r="C18" s="2" t="s">
        <v>63</v>
      </c>
      <c r="D18" s="2">
        <v>1610</v>
      </c>
      <c r="E18" s="3" t="s">
        <v>64</v>
      </c>
      <c r="F18" s="31"/>
      <c r="G18" s="30"/>
      <c r="H18" s="669" t="s">
        <v>423</v>
      </c>
      <c r="I18" s="670"/>
      <c r="J18" s="486" t="s">
        <v>65</v>
      </c>
      <c r="K18" s="486">
        <f>(K10*R16*(R8-D19)+(K10-K11)*R12)/3600</f>
        <v>10.802048555994062</v>
      </c>
      <c r="L18" s="487" t="s">
        <v>21</v>
      </c>
      <c r="M18" s="30"/>
      <c r="N18" s="30"/>
      <c r="O18" s="661" t="s">
        <v>447</v>
      </c>
      <c r="P18" s="662"/>
      <c r="Q18" s="491" t="s">
        <v>50</v>
      </c>
      <c r="R18" s="491">
        <f>4.18*(1-0.006*D10)</f>
        <v>2.2989999999999999</v>
      </c>
      <c r="S18" s="492" t="s">
        <v>51</v>
      </c>
      <c r="T18" s="480"/>
      <c r="U18" s="31"/>
      <c r="W18" s="175"/>
      <c r="X18" s="175"/>
      <c r="AC18" s="476"/>
      <c r="AH18" s="476"/>
      <c r="AI18" s="476"/>
      <c r="AJ18" s="443"/>
      <c r="AK18" s="443"/>
      <c r="AL18" s="443"/>
      <c r="AM18" s="443"/>
      <c r="AN18" s="443"/>
      <c r="AO18" s="443"/>
      <c r="AP18" s="443"/>
      <c r="AQ18" s="443"/>
      <c r="AR18" s="472"/>
      <c r="AS18" s="472"/>
      <c r="AT18" s="472"/>
      <c r="AU18" s="472"/>
      <c r="AV18" s="472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</row>
    <row r="19" spans="1:144" thickBot="1" x14ac:dyDescent="0.4">
      <c r="A19" s="30"/>
      <c r="B19" s="14" t="s">
        <v>66</v>
      </c>
      <c r="C19" s="15" t="s">
        <v>67</v>
      </c>
      <c r="D19" s="15">
        <v>25</v>
      </c>
      <c r="E19" s="16" t="s">
        <v>15</v>
      </c>
      <c r="F19" s="31"/>
      <c r="G19" s="30"/>
      <c r="H19" s="667" t="s">
        <v>426</v>
      </c>
      <c r="I19" s="668"/>
      <c r="J19" s="489" t="s">
        <v>68</v>
      </c>
      <c r="K19" s="489">
        <f>(K11*R17*(R9-R8)+(K11-K12)*R13)/3600</f>
        <v>48.346091199760991</v>
      </c>
      <c r="L19" s="484" t="s">
        <v>21</v>
      </c>
      <c r="M19" s="30"/>
      <c r="N19" s="30"/>
      <c r="O19" s="201"/>
      <c r="P19" s="37"/>
      <c r="Q19" s="37"/>
      <c r="R19" s="37"/>
      <c r="S19" s="37"/>
      <c r="T19" s="37"/>
      <c r="U19" s="31"/>
      <c r="W19" s="175"/>
      <c r="X19" s="175"/>
      <c r="AC19" s="472"/>
      <c r="AH19" s="472"/>
      <c r="AI19" s="472"/>
      <c r="AJ19" s="472"/>
      <c r="AK19" s="472"/>
      <c r="AL19" s="472"/>
      <c r="AM19" s="472"/>
      <c r="AN19" s="472"/>
      <c r="AO19" s="472"/>
      <c r="AP19" s="472"/>
      <c r="AQ19" s="472"/>
      <c r="AR19" s="472"/>
      <c r="AS19" s="472"/>
      <c r="AT19" s="472"/>
      <c r="AU19" s="472"/>
      <c r="AV19" s="472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  <c r="DB19" s="30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</row>
    <row r="20" spans="1:144" thickBot="1" x14ac:dyDescent="0.4">
      <c r="A20" s="30"/>
      <c r="B20" s="495" t="s">
        <v>69</v>
      </c>
      <c r="C20" s="496" t="s">
        <v>70</v>
      </c>
      <c r="D20" s="497">
        <f>((K4-K4*(D16+D17))-(K4-K4*(D16+D17))*(D8/100))/(K4*(1-D16))</f>
        <v>0.5395000000000002</v>
      </c>
      <c r="E20" s="498" t="s">
        <v>8</v>
      </c>
      <c r="F20" s="31"/>
      <c r="G20" s="30"/>
      <c r="H20" s="667" t="s">
        <v>427</v>
      </c>
      <c r="I20" s="668"/>
      <c r="J20" s="489" t="s">
        <v>71</v>
      </c>
      <c r="K20" s="489">
        <f>(K12*R18*(R10-R9)+(K12-D3)*R14)/3600</f>
        <v>4.2537111805896961</v>
      </c>
      <c r="L20" s="484" t="s">
        <v>21</v>
      </c>
      <c r="M20" s="30"/>
      <c r="N20" s="30"/>
      <c r="O20" s="678" t="s">
        <v>9</v>
      </c>
      <c r="P20" s="679"/>
      <c r="Q20" s="507" t="s">
        <v>10</v>
      </c>
      <c r="R20" s="507">
        <f>17.85-20.35*D14</f>
        <v>11.745000000000001</v>
      </c>
      <c r="S20" s="508" t="s">
        <v>11</v>
      </c>
      <c r="T20" s="175"/>
      <c r="U20" s="31"/>
      <c r="W20" s="31"/>
      <c r="X20" s="31"/>
      <c r="AH20" s="472"/>
      <c r="AI20" s="641" t="s">
        <v>1</v>
      </c>
      <c r="AJ20" s="642"/>
      <c r="AK20" s="642"/>
      <c r="AL20" s="643"/>
      <c r="AM20" s="31"/>
      <c r="AN20" s="641" t="s">
        <v>2</v>
      </c>
      <c r="AO20" s="642"/>
      <c r="AP20" s="642"/>
      <c r="AQ20" s="643"/>
      <c r="AR20" s="472"/>
      <c r="AS20" s="472"/>
      <c r="AT20" s="472"/>
      <c r="AU20" s="472"/>
      <c r="AV20" s="472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0"/>
      <c r="EG20" s="30"/>
      <c r="EH20" s="30"/>
      <c r="EI20" s="30"/>
      <c r="EJ20" s="30"/>
      <c r="EK20" s="30"/>
      <c r="EL20" s="30"/>
      <c r="EM20" s="30"/>
      <c r="EN20" s="30"/>
    </row>
    <row r="21" spans="1:144" thickBot="1" x14ac:dyDescent="0.4">
      <c r="A21" s="30"/>
      <c r="B21" s="495" t="s">
        <v>73</v>
      </c>
      <c r="C21" s="496" t="s">
        <v>74</v>
      </c>
      <c r="D21" s="499">
        <f>760*EXP(-0.0001158*D18)</f>
        <v>630.73161123067814</v>
      </c>
      <c r="E21" s="498" t="s">
        <v>75</v>
      </c>
      <c r="F21" s="31"/>
      <c r="G21" s="30"/>
      <c r="H21" s="667" t="s">
        <v>428</v>
      </c>
      <c r="I21" s="668"/>
      <c r="J21" s="489" t="s">
        <v>72</v>
      </c>
      <c r="K21" s="489">
        <f>SUM(K18:K20)</f>
        <v>63.401850936344751</v>
      </c>
      <c r="L21" s="484" t="s">
        <v>21</v>
      </c>
      <c r="M21" s="30"/>
      <c r="N21" s="30"/>
      <c r="O21" s="680" t="s">
        <v>19</v>
      </c>
      <c r="P21" s="681"/>
      <c r="Q21" s="509" t="s">
        <v>20</v>
      </c>
      <c r="R21" s="509">
        <f>(D4*D3)*R20/3.6</f>
        <v>220.21875</v>
      </c>
      <c r="S21" s="510" t="s">
        <v>21</v>
      </c>
      <c r="T21" s="175"/>
      <c r="U21" s="31"/>
      <c r="W21" s="31"/>
      <c r="X21" s="31"/>
      <c r="AH21" s="472"/>
      <c r="AI21" s="639"/>
      <c r="AJ21" s="640"/>
      <c r="AK21" s="640"/>
      <c r="AL21" s="48">
        <f>+D3*D12/D8</f>
        <v>137.35294117647058</v>
      </c>
      <c r="AM21" s="48" t="s">
        <v>283</v>
      </c>
      <c r="AN21" s="644"/>
      <c r="AO21" s="645"/>
      <c r="AP21" s="645"/>
      <c r="AQ21" s="646"/>
      <c r="AR21" s="472"/>
      <c r="AS21" s="472"/>
      <c r="AT21" s="472"/>
      <c r="AU21" s="472"/>
      <c r="AV21" s="472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</row>
    <row r="22" spans="1:144" thickBot="1" x14ac:dyDescent="0.4">
      <c r="A22" s="30"/>
      <c r="B22" s="500" t="s">
        <v>76</v>
      </c>
      <c r="C22" s="501" t="s">
        <v>77</v>
      </c>
      <c r="D22" s="501">
        <f>-227.03+3816.44/(18.3036-LN(7.5*(D21*133.3224/1000)))</f>
        <v>94.84769841995157</v>
      </c>
      <c r="E22" s="502" t="s">
        <v>15</v>
      </c>
      <c r="F22" s="31"/>
      <c r="G22" s="30"/>
      <c r="H22" s="661" t="s">
        <v>429</v>
      </c>
      <c r="I22" s="662"/>
      <c r="J22" s="491" t="s">
        <v>72</v>
      </c>
      <c r="K22" s="491">
        <f>(K4*(R10-D19)*R16+K9*((R12+R14)/2))/3600</f>
        <v>65.872255415863066</v>
      </c>
      <c r="L22" s="492" t="s">
        <v>21</v>
      </c>
      <c r="M22" s="30"/>
      <c r="N22" s="30"/>
      <c r="O22" s="682" t="s">
        <v>28</v>
      </c>
      <c r="P22" s="683"/>
      <c r="Q22" s="494" t="s">
        <v>29</v>
      </c>
      <c r="R22" s="494">
        <f>R21/1000</f>
        <v>0.22021874999999999</v>
      </c>
      <c r="S22" s="511" t="s">
        <v>30</v>
      </c>
      <c r="T22" s="175"/>
      <c r="U22" s="31"/>
      <c r="W22" s="31"/>
      <c r="X22" s="31"/>
      <c r="AH22" s="472"/>
      <c r="AM22" s="48" t="s">
        <v>282</v>
      </c>
      <c r="AN22" s="647"/>
      <c r="AO22" s="648"/>
      <c r="AP22" s="648"/>
      <c r="AQ22" s="649"/>
      <c r="AR22" s="472"/>
      <c r="AS22" s="472"/>
      <c r="AT22" s="472"/>
      <c r="AU22" s="472"/>
      <c r="AV22" s="472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  <c r="DR22" s="30"/>
      <c r="DS22" s="30"/>
      <c r="DT22" s="30"/>
      <c r="DU22" s="30"/>
      <c r="DV22" s="30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  <c r="EM22" s="30"/>
      <c r="EN22" s="30"/>
    </row>
    <row r="23" spans="1:144" thickBot="1" x14ac:dyDescent="0.4">
      <c r="A23" s="30"/>
      <c r="B23" s="478"/>
      <c r="C23" s="478"/>
      <c r="D23" s="478"/>
      <c r="E23" s="478"/>
      <c r="F23" s="31"/>
      <c r="G23" s="30"/>
      <c r="H23" s="30"/>
      <c r="I23" s="30"/>
      <c r="J23" s="74"/>
      <c r="K23" s="30"/>
      <c r="L23" s="74"/>
      <c r="M23" s="30"/>
      <c r="N23" s="30"/>
      <c r="O23" s="30"/>
      <c r="P23" s="32"/>
      <c r="Q23" s="32"/>
      <c r="R23" s="32"/>
      <c r="S23" s="32"/>
      <c r="T23" s="32"/>
      <c r="U23" s="32"/>
      <c r="W23" s="32"/>
      <c r="X23" s="32"/>
      <c r="AH23" s="30"/>
      <c r="AI23" s="27"/>
      <c r="AJ23" s="28"/>
      <c r="AK23" s="28"/>
      <c r="AL23" s="29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  <c r="DV23" s="30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</row>
    <row r="24" spans="1:144" thickBot="1" x14ac:dyDescent="0.4">
      <c r="A24" s="633" t="s">
        <v>81</v>
      </c>
      <c r="B24" s="634"/>
      <c r="C24" s="634"/>
      <c r="D24" s="634"/>
      <c r="E24" s="634"/>
      <c r="F24" s="634"/>
      <c r="G24" s="634"/>
      <c r="H24" s="634"/>
      <c r="I24" s="634"/>
      <c r="J24" s="634"/>
      <c r="K24" s="634"/>
      <c r="L24" s="634"/>
      <c r="M24" s="634"/>
      <c r="N24" s="634"/>
      <c r="O24" s="634"/>
      <c r="P24" s="634"/>
      <c r="Q24" s="634"/>
      <c r="R24" s="634"/>
      <c r="S24" s="634"/>
      <c r="T24" s="634"/>
      <c r="U24" s="635"/>
      <c r="W24" s="32"/>
      <c r="X24" s="32"/>
      <c r="AH24" s="30"/>
      <c r="AM24" s="31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  <c r="DR24" s="30"/>
      <c r="DS24" s="30"/>
      <c r="DT24" s="30"/>
      <c r="DU24" s="30"/>
      <c r="DV24" s="30"/>
      <c r="DW24" s="30"/>
      <c r="DX24" s="30"/>
      <c r="DY24" s="30"/>
      <c r="DZ24" s="30"/>
      <c r="EA24" s="30"/>
      <c r="EB24" s="30"/>
      <c r="EC24" s="30"/>
      <c r="ED24" s="30"/>
      <c r="EE24" s="30"/>
      <c r="EF24" s="30"/>
      <c r="EG24" s="30"/>
      <c r="EH24" s="30"/>
      <c r="EI24" s="30"/>
      <c r="EJ24" s="30"/>
      <c r="EK24" s="30"/>
      <c r="EL24" s="30"/>
      <c r="EM24" s="30"/>
      <c r="EN24" s="30"/>
    </row>
    <row r="25" spans="1:144" thickBot="1" x14ac:dyDescent="0.4">
      <c r="A25" s="174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573"/>
      <c r="W25" s="32"/>
      <c r="X25" s="32"/>
      <c r="AH25" s="30"/>
      <c r="AM25" s="31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  <c r="DR25" s="30"/>
      <c r="DS25" s="30"/>
      <c r="DT25" s="30"/>
      <c r="DU25" s="30"/>
      <c r="DV25" s="30"/>
      <c r="DW25" s="30"/>
      <c r="DX25" s="30"/>
      <c r="DY25" s="30"/>
      <c r="DZ25" s="30"/>
      <c r="EA25" s="30"/>
      <c r="EB25" s="30"/>
      <c r="EC25" s="30"/>
      <c r="ED25" s="30"/>
      <c r="EE25" s="30"/>
      <c r="EF25" s="30"/>
      <c r="EG25" s="30"/>
      <c r="EH25" s="30"/>
      <c r="EI25" s="30"/>
      <c r="EJ25" s="30"/>
      <c r="EK25" s="30"/>
      <c r="EL25" s="30"/>
      <c r="EM25" s="30"/>
      <c r="EN25" s="30"/>
    </row>
    <row r="26" spans="1:144" thickBot="1" x14ac:dyDescent="0.4">
      <c r="A26" s="73"/>
      <c r="B26" s="193" t="s">
        <v>0</v>
      </c>
      <c r="C26" s="194"/>
      <c r="D26" s="194"/>
      <c r="E26" s="195"/>
      <c r="F26" s="74"/>
      <c r="G26" s="33"/>
      <c r="H26" s="33"/>
      <c r="I26" s="30"/>
      <c r="J26" s="214"/>
      <c r="K26" s="66"/>
      <c r="L26" s="214"/>
      <c r="M26" s="66"/>
      <c r="N26" s="66"/>
      <c r="O26" s="66"/>
      <c r="P26" s="66"/>
      <c r="Q26" s="73"/>
      <c r="R26" s="73"/>
      <c r="S26" s="73"/>
      <c r="T26" s="73"/>
      <c r="U26" s="574"/>
      <c r="W26" s="30"/>
      <c r="X26" s="30"/>
      <c r="AH26" s="30"/>
      <c r="AI26" s="653"/>
      <c r="AJ26" s="654"/>
      <c r="AK26" s="654"/>
      <c r="AL26" s="655"/>
      <c r="AM26" s="31"/>
      <c r="AN26" s="636"/>
      <c r="AO26" s="637"/>
      <c r="AP26" s="637"/>
      <c r="AQ26" s="638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30"/>
      <c r="DX26" s="3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</row>
    <row r="27" spans="1:144" thickBot="1" x14ac:dyDescent="0.4">
      <c r="A27" s="73"/>
      <c r="B27" s="34" t="s">
        <v>82</v>
      </c>
      <c r="C27" s="35" t="s">
        <v>83</v>
      </c>
      <c r="D27" s="36" t="s">
        <v>46</v>
      </c>
      <c r="E27" s="336">
        <v>5</v>
      </c>
      <c r="F27" s="201"/>
      <c r="G27" s="37"/>
      <c r="H27" s="37"/>
      <c r="I27" s="37"/>
      <c r="J27" s="214"/>
      <c r="K27" s="66"/>
      <c r="L27" s="214"/>
      <c r="M27" s="66"/>
      <c r="N27" s="66"/>
      <c r="O27" s="66"/>
      <c r="P27" s="66"/>
      <c r="Q27" s="73"/>
      <c r="R27" s="73"/>
      <c r="S27" s="73"/>
      <c r="T27" s="73"/>
      <c r="U27" s="574"/>
      <c r="W27" s="30"/>
      <c r="X27" s="30"/>
      <c r="AH27" s="30"/>
      <c r="AM27" s="31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</row>
    <row r="28" spans="1:144" thickBot="1" x14ac:dyDescent="0.4">
      <c r="A28" s="73"/>
      <c r="B28" s="38" t="s">
        <v>84</v>
      </c>
      <c r="C28" s="39" t="s">
        <v>85</v>
      </c>
      <c r="D28" s="40" t="s">
        <v>46</v>
      </c>
      <c r="E28" s="337">
        <v>1</v>
      </c>
      <c r="F28" s="202">
        <v>2</v>
      </c>
      <c r="G28" s="337">
        <v>3</v>
      </c>
      <c r="H28" s="202">
        <v>4</v>
      </c>
      <c r="I28" s="337">
        <v>5</v>
      </c>
      <c r="J28" s="202">
        <v>6</v>
      </c>
      <c r="K28" s="337">
        <v>7</v>
      </c>
      <c r="L28" s="202">
        <v>8</v>
      </c>
      <c r="M28" s="337">
        <v>9</v>
      </c>
      <c r="N28" s="202">
        <v>10</v>
      </c>
      <c r="O28" s="337">
        <v>11</v>
      </c>
      <c r="P28" s="551">
        <v>12</v>
      </c>
      <c r="Q28" s="73"/>
      <c r="R28" s="73"/>
      <c r="S28" s="73"/>
      <c r="T28" s="73"/>
      <c r="U28" s="574"/>
      <c r="W28" s="30"/>
      <c r="X28" s="30"/>
      <c r="AH28" s="30"/>
      <c r="AM28" s="31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  <c r="DR28" s="30"/>
      <c r="DS28" s="30"/>
      <c r="DT28" s="30"/>
      <c r="DU28" s="30"/>
      <c r="DV28" s="30"/>
      <c r="DW28" s="30"/>
      <c r="DX28" s="30"/>
      <c r="DY28" s="30"/>
      <c r="DZ28" s="30"/>
      <c r="EA28" s="30"/>
      <c r="EB28" s="30"/>
      <c r="EC28" s="30"/>
      <c r="ED28" s="30"/>
      <c r="EE28" s="30"/>
      <c r="EF28" s="30"/>
      <c r="EG28" s="30"/>
      <c r="EH28" s="30"/>
      <c r="EI28" s="30"/>
      <c r="EJ28" s="30"/>
      <c r="EK28" s="30"/>
      <c r="EL28" s="30"/>
      <c r="EM28" s="30"/>
      <c r="EN28" s="30"/>
    </row>
    <row r="29" spans="1:144" thickBot="1" x14ac:dyDescent="0.4">
      <c r="A29" s="73"/>
      <c r="B29" s="41" t="s">
        <v>86</v>
      </c>
      <c r="C29" s="42" t="s">
        <v>87</v>
      </c>
      <c r="D29" s="43" t="s">
        <v>46</v>
      </c>
      <c r="E29" s="338">
        <v>8</v>
      </c>
      <c r="F29" s="203">
        <v>7</v>
      </c>
      <c r="G29" s="42">
        <v>6</v>
      </c>
      <c r="H29" s="42">
        <v>5</v>
      </c>
      <c r="I29" s="43">
        <v>4</v>
      </c>
      <c r="J29" s="552"/>
      <c r="K29" s="356"/>
      <c r="L29" s="552"/>
      <c r="M29" s="356"/>
      <c r="N29" s="356"/>
      <c r="O29" s="356"/>
      <c r="P29" s="553"/>
      <c r="Q29" s="73"/>
      <c r="R29" s="73"/>
      <c r="S29" s="73"/>
      <c r="T29" s="73"/>
      <c r="U29" s="574"/>
      <c r="W29" s="30"/>
      <c r="X29" s="30"/>
      <c r="AH29" s="30"/>
      <c r="AM29" s="31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</row>
    <row r="30" spans="1:144" thickBot="1" x14ac:dyDescent="0.4">
      <c r="A30" s="73"/>
      <c r="B30" s="41" t="s">
        <v>88</v>
      </c>
      <c r="C30" s="42" t="s">
        <v>89</v>
      </c>
      <c r="D30" s="43" t="s">
        <v>46</v>
      </c>
      <c r="E30" s="341" t="s">
        <v>90</v>
      </c>
      <c r="F30" s="203" t="s">
        <v>90</v>
      </c>
      <c r="G30" s="203" t="s">
        <v>91</v>
      </c>
      <c r="H30" s="203" t="s">
        <v>92</v>
      </c>
      <c r="I30" s="342" t="s">
        <v>92</v>
      </c>
      <c r="J30" s="552"/>
      <c r="K30" s="356"/>
      <c r="L30" s="552"/>
      <c r="M30" s="356"/>
      <c r="N30" s="356"/>
      <c r="O30" s="356"/>
      <c r="P30" s="553"/>
      <c r="Q30" s="73"/>
      <c r="R30" s="73"/>
      <c r="S30" s="73"/>
      <c r="T30" s="73"/>
      <c r="U30" s="574"/>
      <c r="W30" s="30"/>
      <c r="X30" s="30"/>
      <c r="AH30" s="30"/>
      <c r="AI30" s="650" t="s">
        <v>47</v>
      </c>
      <c r="AJ30" s="651"/>
      <c r="AK30" s="651"/>
      <c r="AL30" s="652"/>
      <c r="AM30" s="31"/>
      <c r="AN30" s="636"/>
      <c r="AO30" s="637"/>
      <c r="AP30" s="637"/>
      <c r="AQ30" s="638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</row>
    <row r="31" spans="1:144" thickBot="1" x14ac:dyDescent="0.4">
      <c r="A31" s="30"/>
      <c r="B31" s="41" t="s">
        <v>93</v>
      </c>
      <c r="C31" s="42" t="s">
        <v>94</v>
      </c>
      <c r="D31" s="43" t="s">
        <v>64</v>
      </c>
      <c r="E31" s="338">
        <v>0.3</v>
      </c>
      <c r="F31" s="203">
        <v>0.25</v>
      </c>
      <c r="G31" s="42">
        <v>0.25</v>
      </c>
      <c r="H31" s="42">
        <v>0.1</v>
      </c>
      <c r="I31" s="43">
        <v>0.1</v>
      </c>
      <c r="J31" s="552"/>
      <c r="K31" s="356"/>
      <c r="L31" s="552"/>
      <c r="M31" s="356"/>
      <c r="N31" s="356"/>
      <c r="O31" s="356"/>
      <c r="P31" s="553"/>
      <c r="Q31" s="30"/>
      <c r="R31" s="30"/>
      <c r="S31" s="30"/>
      <c r="T31" s="30"/>
      <c r="U31" s="30"/>
      <c r="W31" s="30"/>
      <c r="X31" s="30"/>
      <c r="AH31" s="30"/>
      <c r="AI31" s="21"/>
      <c r="AJ31" s="22"/>
      <c r="AK31" s="22"/>
      <c r="AL31" s="23"/>
      <c r="AM31" s="31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</row>
    <row r="32" spans="1:144" thickBot="1" x14ac:dyDescent="0.4">
      <c r="A32" s="30"/>
      <c r="B32" s="41" t="s">
        <v>95</v>
      </c>
      <c r="C32" s="42" t="s">
        <v>96</v>
      </c>
      <c r="D32" s="43" t="s">
        <v>64</v>
      </c>
      <c r="E32" s="338">
        <v>0.8</v>
      </c>
      <c r="F32" s="203">
        <v>0.7</v>
      </c>
      <c r="G32" s="42">
        <v>0.6</v>
      </c>
      <c r="H32" s="42">
        <v>0.65</v>
      </c>
      <c r="I32" s="43">
        <v>0.7</v>
      </c>
      <c r="J32" s="552"/>
      <c r="K32" s="356"/>
      <c r="L32" s="552"/>
      <c r="M32" s="356"/>
      <c r="N32" s="356"/>
      <c r="O32" s="356"/>
      <c r="P32" s="553"/>
      <c r="Q32" s="66"/>
      <c r="R32" s="66"/>
      <c r="S32" s="66"/>
      <c r="T32" s="66"/>
      <c r="U32" s="66"/>
      <c r="W32" s="30"/>
      <c r="X32" s="30"/>
      <c r="AH32" s="30"/>
      <c r="AM32" s="31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</row>
    <row r="33" spans="1:144" thickBot="1" x14ac:dyDescent="0.4">
      <c r="A33" s="30"/>
      <c r="B33" s="41" t="s">
        <v>97</v>
      </c>
      <c r="C33" s="42" t="s">
        <v>98</v>
      </c>
      <c r="D33" s="43" t="s">
        <v>64</v>
      </c>
      <c r="E33" s="338">
        <v>0.4</v>
      </c>
      <c r="F33" s="203">
        <v>0.3</v>
      </c>
      <c r="G33" s="42">
        <v>0.4</v>
      </c>
      <c r="H33" s="42">
        <v>0.5</v>
      </c>
      <c r="I33" s="43">
        <v>0.3</v>
      </c>
      <c r="J33" s="552"/>
      <c r="K33" s="356"/>
      <c r="L33" s="552"/>
      <c r="M33" s="356"/>
      <c r="N33" s="356"/>
      <c r="O33" s="356"/>
      <c r="P33" s="553"/>
      <c r="Q33" s="66"/>
      <c r="R33" s="66"/>
      <c r="S33" s="66"/>
      <c r="T33" s="66"/>
      <c r="U33" s="66"/>
      <c r="W33" s="30"/>
      <c r="X33" s="30"/>
      <c r="AC33" s="30"/>
      <c r="AH33" s="30"/>
      <c r="AM33" s="31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</row>
    <row r="34" spans="1:144" thickBot="1" x14ac:dyDescent="0.4">
      <c r="A34" s="30"/>
      <c r="B34" s="41" t="s">
        <v>99</v>
      </c>
      <c r="C34" s="42" t="s">
        <v>100</v>
      </c>
      <c r="D34" s="43" t="s">
        <v>130</v>
      </c>
      <c r="E34" s="338">
        <v>68</v>
      </c>
      <c r="F34" s="203">
        <v>68</v>
      </c>
      <c r="G34" s="42">
        <v>68</v>
      </c>
      <c r="H34" s="42">
        <v>68</v>
      </c>
      <c r="I34" s="43">
        <v>68</v>
      </c>
      <c r="J34" s="552"/>
      <c r="K34" s="356"/>
      <c r="L34" s="552"/>
      <c r="M34" s="356"/>
      <c r="N34" s="356"/>
      <c r="O34" s="356"/>
      <c r="P34" s="553"/>
      <c r="Q34" s="206"/>
      <c r="R34" s="206"/>
      <c r="S34" s="206"/>
      <c r="T34" s="206"/>
      <c r="U34" s="206"/>
      <c r="V34" s="415"/>
      <c r="W34" s="30"/>
      <c r="X34" s="481"/>
      <c r="Y34" s="482"/>
      <c r="Z34" s="481"/>
      <c r="AA34" s="482"/>
      <c r="AB34" s="482"/>
      <c r="AC34" s="482"/>
      <c r="AD34" s="482"/>
      <c r="AE34" s="482"/>
      <c r="AH34" s="30"/>
      <c r="AM34" s="31"/>
      <c r="AN34" s="604"/>
      <c r="AO34" s="605"/>
      <c r="AP34" s="605"/>
      <c r="AQ34" s="606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</row>
    <row r="35" spans="1:144" thickBot="1" x14ac:dyDescent="0.4">
      <c r="A35" s="30"/>
      <c r="B35" s="41" t="s">
        <v>101</v>
      </c>
      <c r="C35" s="42" t="s">
        <v>102</v>
      </c>
      <c r="D35" s="43" t="s">
        <v>64</v>
      </c>
      <c r="E35" s="338">
        <f>+E32</f>
        <v>0.8</v>
      </c>
      <c r="F35" s="203">
        <f>+F32</f>
        <v>0.7</v>
      </c>
      <c r="G35" s="42">
        <v>1</v>
      </c>
      <c r="H35" s="42">
        <v>1.2</v>
      </c>
      <c r="I35" s="43">
        <v>0.6</v>
      </c>
      <c r="J35" s="552"/>
      <c r="K35" s="356"/>
      <c r="L35" s="552"/>
      <c r="M35" s="356"/>
      <c r="N35" s="356"/>
      <c r="O35" s="356"/>
      <c r="P35" s="553"/>
      <c r="Q35" s="30"/>
      <c r="R35" s="482"/>
      <c r="S35" s="482"/>
      <c r="T35" s="482"/>
      <c r="U35" s="482"/>
      <c r="W35" s="30"/>
      <c r="X35" s="481"/>
      <c r="Y35" s="482"/>
      <c r="Z35" s="481">
        <v>6.35</v>
      </c>
      <c r="AA35" s="482"/>
      <c r="AB35" s="482"/>
      <c r="AC35" s="482"/>
      <c r="AD35" s="482"/>
      <c r="AE35" s="482"/>
      <c r="AH35" s="30"/>
      <c r="AI35" s="604" t="s">
        <v>3</v>
      </c>
      <c r="AJ35" s="605"/>
      <c r="AK35" s="605"/>
      <c r="AL35" s="606"/>
      <c r="AM35" s="31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</row>
    <row r="36" spans="1:144" thickBot="1" x14ac:dyDescent="0.4">
      <c r="A36" s="30"/>
      <c r="B36" s="41" t="s">
        <v>103</v>
      </c>
      <c r="C36" s="42" t="s">
        <v>104</v>
      </c>
      <c r="D36" s="43" t="s">
        <v>131</v>
      </c>
      <c r="E36" s="338" t="s">
        <v>105</v>
      </c>
      <c r="F36" s="203" t="s">
        <v>105</v>
      </c>
      <c r="G36" s="42" t="s">
        <v>106</v>
      </c>
      <c r="H36" s="42" t="s">
        <v>106</v>
      </c>
      <c r="I36" s="43" t="s">
        <v>106</v>
      </c>
      <c r="J36" s="552"/>
      <c r="K36" s="356"/>
      <c r="L36" s="552"/>
      <c r="M36" s="356"/>
      <c r="N36" s="356"/>
      <c r="O36" s="356"/>
      <c r="P36" s="553"/>
      <c r="Q36" s="30"/>
      <c r="R36" s="482"/>
      <c r="S36" s="482"/>
      <c r="T36" s="482"/>
      <c r="U36" s="482"/>
      <c r="W36" s="30"/>
      <c r="X36" s="481"/>
      <c r="Y36" s="482"/>
      <c r="Z36" s="481">
        <f>+Z35/1000</f>
        <v>6.3499999999999997E-3</v>
      </c>
      <c r="AA36" s="482"/>
      <c r="AB36" s="482"/>
      <c r="AC36" s="482"/>
      <c r="AD36" s="482"/>
      <c r="AE36" s="482"/>
      <c r="AH36" s="30"/>
      <c r="AI36" s="24"/>
      <c r="AJ36" s="25"/>
      <c r="AK36" s="25"/>
      <c r="AL36" s="26"/>
      <c r="AM36" s="31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</row>
    <row r="37" spans="1:144" thickBot="1" x14ac:dyDescent="0.4">
      <c r="A37" s="30"/>
      <c r="B37" s="41" t="s">
        <v>107</v>
      </c>
      <c r="C37" s="42" t="s">
        <v>108</v>
      </c>
      <c r="D37" s="43" t="s">
        <v>131</v>
      </c>
      <c r="E37" s="338">
        <v>0</v>
      </c>
      <c r="F37" s="203">
        <v>0</v>
      </c>
      <c r="G37" s="42">
        <v>11</v>
      </c>
      <c r="H37" s="42">
        <v>12</v>
      </c>
      <c r="I37" s="43">
        <v>10</v>
      </c>
      <c r="J37" s="552"/>
      <c r="K37" s="356"/>
      <c r="L37" s="552"/>
      <c r="M37" s="356"/>
      <c r="N37" s="356"/>
      <c r="O37" s="356"/>
      <c r="P37" s="553"/>
      <c r="Q37" s="30"/>
      <c r="R37" s="482"/>
      <c r="S37" s="482"/>
      <c r="T37" s="482"/>
      <c r="U37" s="482"/>
      <c r="W37" s="30"/>
      <c r="X37" s="481"/>
      <c r="Y37" s="482"/>
      <c r="Z37" s="481"/>
      <c r="AA37" s="482"/>
      <c r="AB37" s="482"/>
      <c r="AC37" s="482"/>
      <c r="AD37" s="482"/>
      <c r="AE37" s="482"/>
      <c r="AH37" s="30"/>
      <c r="AM37" s="31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</row>
    <row r="38" spans="1:144" thickBot="1" x14ac:dyDescent="0.4">
      <c r="A38" s="30"/>
      <c r="B38" s="41" t="s">
        <v>109</v>
      </c>
      <c r="C38" s="42" t="s">
        <v>110</v>
      </c>
      <c r="D38" s="43" t="s">
        <v>64</v>
      </c>
      <c r="E38" s="338">
        <v>0</v>
      </c>
      <c r="F38" s="203">
        <v>0</v>
      </c>
      <c r="G38" s="42">
        <v>0.1</v>
      </c>
      <c r="H38" s="42">
        <v>0.1</v>
      </c>
      <c r="I38" s="43">
        <v>0.1</v>
      </c>
      <c r="J38" s="552"/>
      <c r="K38" s="356"/>
      <c r="L38" s="552"/>
      <c r="M38" s="356"/>
      <c r="N38" s="356"/>
      <c r="O38" s="356"/>
      <c r="P38" s="553"/>
      <c r="Q38" s="30"/>
      <c r="R38" s="482"/>
      <c r="S38" s="482"/>
      <c r="T38" s="482"/>
      <c r="U38" s="482"/>
      <c r="W38" s="30"/>
      <c r="X38" s="481"/>
      <c r="Y38" s="482"/>
      <c r="Z38" s="481"/>
      <c r="AA38" s="482"/>
      <c r="AB38" s="482"/>
      <c r="AC38" s="482"/>
      <c r="AD38" s="482"/>
      <c r="AE38" s="482"/>
      <c r="AH38" s="30"/>
      <c r="AI38" s="598"/>
      <c r="AJ38" s="599"/>
      <c r="AK38" s="599"/>
      <c r="AL38" s="600"/>
      <c r="AM38" s="31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</row>
    <row r="39" spans="1:144" thickBot="1" x14ac:dyDescent="0.4">
      <c r="A39" s="30"/>
      <c r="B39" s="41" t="s">
        <v>111</v>
      </c>
      <c r="C39" s="42" t="s">
        <v>112</v>
      </c>
      <c r="D39" s="43" t="s">
        <v>64</v>
      </c>
      <c r="E39" s="338">
        <v>0</v>
      </c>
      <c r="F39" s="203">
        <v>0</v>
      </c>
      <c r="G39" s="42">
        <v>0.08</v>
      </c>
      <c r="H39" s="42">
        <v>0</v>
      </c>
      <c r="I39" s="43">
        <v>0</v>
      </c>
      <c r="J39" s="552"/>
      <c r="K39" s="356"/>
      <c r="L39" s="552"/>
      <c r="M39" s="356"/>
      <c r="N39" s="356"/>
      <c r="O39" s="356"/>
      <c r="P39" s="553"/>
      <c r="Q39" s="30"/>
      <c r="R39" s="482"/>
      <c r="S39" s="482"/>
      <c r="T39" s="482"/>
      <c r="U39" s="482"/>
      <c r="W39" s="30"/>
      <c r="X39" s="481"/>
      <c r="Y39" s="482"/>
      <c r="Z39" s="481"/>
      <c r="AA39" s="482"/>
      <c r="AB39" s="482"/>
      <c r="AC39" s="482"/>
      <c r="AD39" s="482"/>
      <c r="AE39" s="482"/>
      <c r="AH39" s="30"/>
      <c r="AM39" s="31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</row>
    <row r="40" spans="1:144" thickBot="1" x14ac:dyDescent="0.4">
      <c r="A40" s="30"/>
      <c r="B40" s="41" t="s">
        <v>113</v>
      </c>
      <c r="C40" s="42" t="s">
        <v>114</v>
      </c>
      <c r="D40" s="43" t="s">
        <v>64</v>
      </c>
      <c r="E40" s="338">
        <v>0</v>
      </c>
      <c r="F40" s="203">
        <v>0</v>
      </c>
      <c r="G40" s="42">
        <v>0</v>
      </c>
      <c r="H40" s="42">
        <v>0</v>
      </c>
      <c r="I40" s="43">
        <v>0</v>
      </c>
      <c r="J40" s="552"/>
      <c r="K40" s="356"/>
      <c r="L40" s="552"/>
      <c r="M40" s="356"/>
      <c r="N40" s="356"/>
      <c r="O40" s="356"/>
      <c r="P40" s="553"/>
      <c r="Q40" s="30"/>
      <c r="R40" s="482"/>
      <c r="S40" s="482"/>
      <c r="T40" s="482"/>
      <c r="U40" s="482"/>
      <c r="W40" s="30"/>
      <c r="X40" s="481"/>
      <c r="Y40" s="482"/>
      <c r="Z40" s="481"/>
      <c r="AA40" s="482"/>
      <c r="AB40" s="482"/>
      <c r="AC40" s="482"/>
      <c r="AD40" s="482"/>
      <c r="AE40" s="482"/>
      <c r="AH40" s="30"/>
      <c r="AI40" s="598"/>
      <c r="AJ40" s="599"/>
      <c r="AK40" s="599"/>
      <c r="AL40" s="600"/>
      <c r="AM40" s="31"/>
      <c r="AN40" s="31"/>
      <c r="AO40" s="31"/>
      <c r="AP40" s="31"/>
      <c r="AQ40" s="31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</row>
    <row r="41" spans="1:144" thickBot="1" x14ac:dyDescent="0.4">
      <c r="A41" s="30"/>
      <c r="B41" s="41" t="s">
        <v>115</v>
      </c>
      <c r="C41" s="42" t="s">
        <v>116</v>
      </c>
      <c r="D41" s="43" t="s">
        <v>64</v>
      </c>
      <c r="E41" s="338">
        <v>0</v>
      </c>
      <c r="F41" s="203">
        <v>0</v>
      </c>
      <c r="G41" s="42">
        <v>0</v>
      </c>
      <c r="H41" s="42">
        <v>0.2</v>
      </c>
      <c r="I41" s="43">
        <v>0.2</v>
      </c>
      <c r="J41" s="552"/>
      <c r="K41" s="356"/>
      <c r="L41" s="552"/>
      <c r="M41" s="356"/>
      <c r="N41" s="356"/>
      <c r="O41" s="356"/>
      <c r="P41" s="553"/>
      <c r="Q41" s="30"/>
      <c r="R41" s="482"/>
      <c r="S41" s="482"/>
      <c r="T41" s="482"/>
      <c r="U41" s="482"/>
      <c r="W41" s="30"/>
      <c r="X41" s="481"/>
      <c r="Y41" s="482"/>
      <c r="Z41" s="481"/>
      <c r="AA41" s="482"/>
      <c r="AB41" s="482"/>
      <c r="AC41" s="482"/>
      <c r="AD41" s="482"/>
      <c r="AE41" s="482"/>
      <c r="AH41" s="30"/>
      <c r="AM41" s="32"/>
      <c r="AN41" s="31"/>
      <c r="AO41" s="32"/>
      <c r="AP41" s="32"/>
      <c r="AQ41" s="32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</row>
    <row r="42" spans="1:144" thickBot="1" x14ac:dyDescent="0.4">
      <c r="A42" s="30"/>
      <c r="B42" s="62" t="s">
        <v>304</v>
      </c>
      <c r="C42" s="63" t="s">
        <v>305</v>
      </c>
      <c r="D42" s="340" t="s">
        <v>64</v>
      </c>
      <c r="E42" s="339">
        <v>6.3499999999999997E-3</v>
      </c>
      <c r="F42" s="204">
        <v>6.3499999999999997E-3</v>
      </c>
      <c r="G42" s="64">
        <v>6.3499999999999997E-3</v>
      </c>
      <c r="H42" s="64">
        <v>6.3499999999999997E-3</v>
      </c>
      <c r="I42" s="65">
        <v>6.3499999999999997E-3</v>
      </c>
      <c r="J42" s="575"/>
      <c r="K42" s="576"/>
      <c r="L42" s="575"/>
      <c r="M42" s="576"/>
      <c r="N42" s="576"/>
      <c r="O42" s="576"/>
      <c r="P42" s="577"/>
      <c r="Q42" s="30"/>
      <c r="R42" s="482"/>
      <c r="S42" s="482"/>
      <c r="T42" s="482"/>
      <c r="U42" s="482"/>
      <c r="W42" s="30"/>
      <c r="X42" s="481"/>
      <c r="Y42" s="482"/>
      <c r="Z42" s="481"/>
      <c r="AA42" s="482"/>
      <c r="AB42" s="482"/>
      <c r="AC42" s="482"/>
      <c r="AD42" s="482"/>
      <c r="AE42" s="482"/>
      <c r="AH42" s="30"/>
      <c r="AI42" s="598"/>
      <c r="AJ42" s="599"/>
      <c r="AK42" s="599"/>
      <c r="AL42" s="600"/>
      <c r="AM42" s="32"/>
      <c r="AN42" s="31"/>
      <c r="AO42" s="32"/>
      <c r="AP42" s="32"/>
      <c r="AQ42" s="32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</row>
    <row r="43" spans="1:144" thickBot="1" x14ac:dyDescent="0.4">
      <c r="A43" s="30"/>
      <c r="Q43" s="30"/>
      <c r="R43" s="482"/>
      <c r="S43" s="482"/>
      <c r="T43" s="482"/>
      <c r="U43" s="482"/>
      <c r="W43" s="30"/>
      <c r="X43" s="481"/>
      <c r="Y43" s="482"/>
      <c r="Z43" s="481"/>
      <c r="AA43" s="482"/>
      <c r="AB43" s="482"/>
      <c r="AC43" s="482"/>
      <c r="AD43" s="482"/>
      <c r="AE43" s="482"/>
      <c r="AF43" s="30"/>
      <c r="AG43" s="30"/>
      <c r="AH43" s="30"/>
      <c r="AM43" s="32"/>
      <c r="AN43" s="31"/>
      <c r="AO43" s="32"/>
      <c r="AP43" s="32"/>
      <c r="AQ43" s="32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</row>
    <row r="44" spans="1:144" thickBot="1" x14ac:dyDescent="0.4">
      <c r="A44" s="30"/>
      <c r="B44" s="560" t="s">
        <v>132</v>
      </c>
      <c r="C44" s="561"/>
      <c r="D44" s="561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2"/>
      <c r="Q44" s="30"/>
      <c r="R44" s="482"/>
      <c r="S44" s="482"/>
      <c r="T44" s="482"/>
      <c r="U44" s="482"/>
      <c r="W44" s="30"/>
      <c r="X44" s="481"/>
      <c r="Y44" s="482"/>
      <c r="Z44" s="481"/>
      <c r="AA44" s="482"/>
      <c r="AB44" s="482"/>
      <c r="AC44" s="482"/>
      <c r="AD44" s="482"/>
      <c r="AE44" s="482"/>
      <c r="AF44" s="30"/>
      <c r="AG44" s="30"/>
      <c r="AH44" s="30"/>
      <c r="AI44" s="24"/>
      <c r="AJ44" s="25"/>
      <c r="AK44" s="25"/>
      <c r="AL44" s="26"/>
      <c r="AM44" s="30"/>
      <c r="AN44" s="74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</row>
    <row r="45" spans="1:144" ht="15" customHeight="1" thickBot="1" x14ac:dyDescent="0.4">
      <c r="A45" s="677" t="s">
        <v>367</v>
      </c>
      <c r="B45" s="563" t="s">
        <v>117</v>
      </c>
      <c r="C45" s="564" t="s">
        <v>118</v>
      </c>
      <c r="D45" s="565" t="s">
        <v>30</v>
      </c>
      <c r="E45" s="359">
        <v>0.42399999999999999</v>
      </c>
      <c r="F45" s="360">
        <v>0.27300000000000002</v>
      </c>
      <c r="G45" s="361">
        <v>0.26500000000000001</v>
      </c>
      <c r="H45" s="361">
        <v>0.28199999999999997</v>
      </c>
      <c r="I45" s="362">
        <v>0.23100000000000001</v>
      </c>
      <c r="J45" s="552"/>
      <c r="K45" s="356"/>
      <c r="L45" s="552"/>
      <c r="M45" s="356"/>
      <c r="N45" s="356"/>
      <c r="O45" s="356"/>
      <c r="P45" s="553"/>
      <c r="Q45" s="30"/>
      <c r="R45" s="482"/>
      <c r="S45" s="482"/>
      <c r="T45" s="482"/>
      <c r="U45" s="482"/>
      <c r="W45" s="30"/>
      <c r="X45" s="481"/>
      <c r="Y45" s="482"/>
      <c r="Z45" s="481"/>
      <c r="AA45" s="482"/>
      <c r="AB45" s="482"/>
      <c r="AC45" s="482"/>
      <c r="AD45" s="482"/>
      <c r="AE45" s="482"/>
      <c r="AF45" s="30"/>
      <c r="AG45" s="30"/>
      <c r="AH45" s="30"/>
      <c r="AM45" s="30"/>
      <c r="AN45" s="74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</row>
    <row r="46" spans="1:144" ht="15" customHeight="1" thickBot="1" x14ac:dyDescent="0.4">
      <c r="A46" s="677"/>
      <c r="B46" s="363" t="s">
        <v>119</v>
      </c>
      <c r="C46" s="364" t="s">
        <v>120</v>
      </c>
      <c r="D46" s="365" t="s">
        <v>64</v>
      </c>
      <c r="E46" s="366">
        <v>2.173</v>
      </c>
      <c r="F46" s="367">
        <v>2.4430000000000001</v>
      </c>
      <c r="G46" s="368">
        <v>4.7670000000000003</v>
      </c>
      <c r="H46" s="368">
        <v>4.8310000000000004</v>
      </c>
      <c r="I46" s="369">
        <v>3.99</v>
      </c>
      <c r="J46" s="552"/>
      <c r="K46" s="356"/>
      <c r="L46" s="552"/>
      <c r="M46" s="356"/>
      <c r="N46" s="356"/>
      <c r="O46" s="356"/>
      <c r="P46" s="553"/>
      <c r="Q46" s="30"/>
      <c r="R46" s="482"/>
      <c r="S46" s="482"/>
      <c r="T46" s="482"/>
      <c r="U46" s="482"/>
      <c r="W46" s="30"/>
      <c r="X46" s="481"/>
      <c r="Y46" s="482"/>
      <c r="Z46" s="481"/>
      <c r="AA46" s="482"/>
      <c r="AB46" s="482"/>
      <c r="AC46" s="482"/>
      <c r="AD46" s="482"/>
      <c r="AE46" s="482"/>
      <c r="AF46" s="30"/>
      <c r="AG46" s="30"/>
      <c r="AH46" s="30"/>
      <c r="AM46" s="30"/>
      <c r="AN46" s="74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</row>
    <row r="47" spans="1:144" ht="15" customHeight="1" thickBot="1" x14ac:dyDescent="0.4">
      <c r="A47" s="677"/>
      <c r="B47" s="363" t="s">
        <v>123</v>
      </c>
      <c r="C47" s="364" t="s">
        <v>124</v>
      </c>
      <c r="D47" s="365" t="s">
        <v>64</v>
      </c>
      <c r="E47" s="370">
        <v>0.39439999999999997</v>
      </c>
      <c r="F47" s="371">
        <v>0.3256</v>
      </c>
      <c r="G47" s="372">
        <v>0.2666</v>
      </c>
      <c r="H47" s="372">
        <v>0.35549999999999998</v>
      </c>
      <c r="I47" s="373">
        <v>0.39510000000000001</v>
      </c>
      <c r="J47" s="552"/>
      <c r="K47" s="356"/>
      <c r="L47" s="552"/>
      <c r="M47" s="356"/>
      <c r="N47" s="356"/>
      <c r="O47" s="356"/>
      <c r="P47" s="553"/>
      <c r="Q47" s="30"/>
      <c r="R47" s="482"/>
      <c r="S47" s="482"/>
      <c r="T47" s="482"/>
      <c r="U47" s="482"/>
      <c r="W47" s="30"/>
      <c r="X47" s="481"/>
      <c r="Y47" s="482"/>
      <c r="Z47" s="481"/>
      <c r="AA47" s="482"/>
      <c r="AB47" s="482"/>
      <c r="AC47" s="482"/>
      <c r="AD47" s="482"/>
      <c r="AE47" s="482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</row>
    <row r="48" spans="1:144" ht="15" customHeight="1" thickBot="1" x14ac:dyDescent="0.4">
      <c r="A48" s="677"/>
      <c r="B48" s="384" t="s">
        <v>125</v>
      </c>
      <c r="C48" s="45" t="s">
        <v>126</v>
      </c>
      <c r="D48" s="46" t="s">
        <v>30</v>
      </c>
      <c r="E48" s="44">
        <f>+(0.211+0.405+0.101)*2</f>
        <v>1.4339999999999999</v>
      </c>
      <c r="F48" s="205">
        <f>2*(0.311+0.115+0.258)</f>
        <v>1.3679999999999999</v>
      </c>
      <c r="G48" s="45">
        <f>2*(0.652+0.203+0.017+0.199+0.081)</f>
        <v>2.3039999999999998</v>
      </c>
      <c r="H48" s="45">
        <f>2*(0.076+0.508)</f>
        <v>1.1679999999999999</v>
      </c>
      <c r="I48" s="46">
        <f>2*(0.456+0.03)</f>
        <v>0.97199999999999998</v>
      </c>
      <c r="J48" s="552"/>
      <c r="K48" s="356"/>
      <c r="L48" s="552"/>
      <c r="M48" s="356"/>
      <c r="N48" s="356"/>
      <c r="O48" s="356"/>
      <c r="P48" s="553"/>
      <c r="Q48" s="30"/>
      <c r="R48" s="482"/>
      <c r="S48" s="482"/>
      <c r="T48" s="482"/>
      <c r="U48" s="482"/>
      <c r="W48" s="30"/>
      <c r="X48" s="481"/>
      <c r="Y48" s="482"/>
      <c r="Z48" s="481">
        <v>39.207000000000001</v>
      </c>
      <c r="AA48" s="482">
        <f>1.767+0.866+0.0157+0.793+0.72+0.242+0.546+0.642</f>
        <v>5.5917000000000003</v>
      </c>
      <c r="AB48" s="482">
        <f>+Z48-AA48</f>
        <v>33.615299999999998</v>
      </c>
      <c r="AC48" s="482"/>
      <c r="AD48" s="482"/>
      <c r="AE48" s="482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</row>
    <row r="49" spans="1:144" ht="15" customHeight="1" thickBot="1" x14ac:dyDescent="0.4">
      <c r="A49" s="677"/>
      <c r="B49" s="384" t="s">
        <v>358</v>
      </c>
      <c r="C49" s="45" t="s">
        <v>127</v>
      </c>
      <c r="D49" s="46" t="s">
        <v>30</v>
      </c>
      <c r="E49" s="44">
        <f>0.369+0.068</f>
        <v>0.437</v>
      </c>
      <c r="F49" s="205">
        <f>0.353+0.333+0.085+0.309</f>
        <v>1.0799999999999998</v>
      </c>
      <c r="G49" s="45">
        <f>0.939+0.202+0.448+0.446+0.416</f>
        <v>2.4510000000000001</v>
      </c>
      <c r="H49" s="45">
        <f>1.128+0.237+0.157+0.198</f>
        <v>1.7199999999999998</v>
      </c>
      <c r="I49" s="46">
        <f>0.866+0.03</f>
        <v>0.89600000000000002</v>
      </c>
      <c r="J49" s="552"/>
      <c r="K49" s="356"/>
      <c r="L49" s="552"/>
      <c r="M49" s="356"/>
      <c r="N49" s="356"/>
      <c r="O49" s="356"/>
      <c r="P49" s="553"/>
      <c r="Q49" s="30"/>
      <c r="R49" s="482"/>
      <c r="S49" s="482"/>
      <c r="T49" s="482"/>
      <c r="U49" s="482"/>
      <c r="W49" s="30"/>
      <c r="X49" s="481"/>
      <c r="Y49" s="482"/>
      <c r="Z49" s="481"/>
      <c r="AA49" s="482"/>
      <c r="AB49" s="482"/>
      <c r="AC49" s="482"/>
      <c r="AD49" s="482"/>
      <c r="AE49" s="482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</row>
    <row r="50" spans="1:144" ht="15" customHeight="1" thickBot="1" x14ac:dyDescent="0.4">
      <c r="A50" s="677"/>
      <c r="B50" s="363" t="s">
        <v>362</v>
      </c>
      <c r="C50" s="364" t="s">
        <v>362</v>
      </c>
      <c r="D50" s="373" t="s">
        <v>30</v>
      </c>
      <c r="E50" s="374">
        <v>0.66100000000000003</v>
      </c>
      <c r="F50" s="375">
        <v>0.31900000000000001</v>
      </c>
      <c r="G50" s="376">
        <v>0.98399999999999999</v>
      </c>
      <c r="H50" s="376">
        <v>0.94523999999999997</v>
      </c>
      <c r="I50" s="377">
        <v>0.36699999999999999</v>
      </c>
      <c r="J50" s="554"/>
      <c r="K50" s="555"/>
      <c r="L50" s="554"/>
      <c r="M50" s="555"/>
      <c r="N50" s="555"/>
      <c r="O50" s="555"/>
      <c r="P50" s="556"/>
      <c r="Q50" s="30"/>
      <c r="R50" s="482"/>
      <c r="S50" s="482"/>
      <c r="T50" s="482"/>
      <c r="U50" s="482"/>
      <c r="W50" s="30"/>
      <c r="X50" s="481"/>
      <c r="Y50" s="482"/>
      <c r="Z50" s="481"/>
      <c r="AA50" s="482"/>
      <c r="AB50" s="482"/>
      <c r="AC50" s="482"/>
      <c r="AD50" s="482"/>
      <c r="AE50" s="482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  <c r="DR50" s="30"/>
      <c r="DS50" s="30"/>
      <c r="DT50" s="30"/>
      <c r="DU50" s="30"/>
      <c r="DV50" s="30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</row>
    <row r="51" spans="1:144" ht="15" customHeight="1" thickBot="1" x14ac:dyDescent="0.4">
      <c r="A51" s="677"/>
      <c r="B51" s="378" t="s">
        <v>361</v>
      </c>
      <c r="C51" s="379" t="s">
        <v>129</v>
      </c>
      <c r="D51" s="380" t="s">
        <v>30</v>
      </c>
      <c r="E51" s="381">
        <f>+E50</f>
        <v>0.66100000000000003</v>
      </c>
      <c r="F51" s="382">
        <f>+F50</f>
        <v>0.31900000000000001</v>
      </c>
      <c r="G51" s="383">
        <f>+G50+2.02</f>
        <v>3.004</v>
      </c>
      <c r="H51" s="383">
        <f>+H50+2.4436</f>
        <v>3.3888400000000001</v>
      </c>
      <c r="I51" s="380">
        <f>+I50+1.216</f>
        <v>1.583</v>
      </c>
      <c r="J51" s="557"/>
      <c r="K51" s="558"/>
      <c r="L51" s="557"/>
      <c r="M51" s="558"/>
      <c r="N51" s="558"/>
      <c r="O51" s="558"/>
      <c r="P51" s="559"/>
      <c r="Q51" s="30"/>
      <c r="R51" s="482"/>
      <c r="S51" s="482"/>
      <c r="T51" s="482"/>
      <c r="U51" s="482"/>
      <c r="W51" s="30"/>
      <c r="X51" s="481"/>
      <c r="Y51" s="482">
        <f>+E48+E49</f>
        <v>1.871</v>
      </c>
      <c r="Z51" s="481">
        <f>+F48+F49</f>
        <v>2.4479999999999995</v>
      </c>
      <c r="AA51" s="482">
        <f>+G48+G49</f>
        <v>4.7549999999999999</v>
      </c>
      <c r="AB51" s="482">
        <f>+H48+H49</f>
        <v>2.8879999999999999</v>
      </c>
      <c r="AC51" s="482">
        <f>+I48+I49</f>
        <v>1.8679999999999999</v>
      </c>
      <c r="AD51" s="482">
        <f>+Y51+Z51+AA51+AB51+AC51+(15.941+0.637+2.093+0.326*2)</f>
        <v>33.152999999999999</v>
      </c>
      <c r="AE51" s="482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  <c r="DR51" s="30"/>
      <c r="DS51" s="30"/>
      <c r="DT51" s="30"/>
      <c r="DU51" s="30"/>
      <c r="DV51" s="30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</row>
    <row r="52" spans="1:144" thickBot="1" x14ac:dyDescent="0.4">
      <c r="Q52" s="30"/>
      <c r="R52" s="482"/>
      <c r="S52" s="482"/>
      <c r="T52" s="482"/>
      <c r="U52" s="482"/>
      <c r="W52" s="30"/>
      <c r="X52" s="481"/>
      <c r="Y52" s="482">
        <f>+Y51/$AD$51</f>
        <v>5.6435315054444546E-2</v>
      </c>
      <c r="Z52" s="481">
        <f>+Z51/$AD$51</f>
        <v>7.3839471541036997E-2</v>
      </c>
      <c r="AA52" s="482">
        <f>+AA51/$AD$51</f>
        <v>0.14342593430458783</v>
      </c>
      <c r="AB52" s="482">
        <f>+AB51/$AD$51</f>
        <v>8.7111271981419477E-2</v>
      </c>
      <c r="AC52" s="482">
        <f>+AC51/$AD$51</f>
        <v>5.6344825505987392E-2</v>
      </c>
      <c r="AD52" s="482"/>
      <c r="AE52" s="482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  <c r="DR52" s="30"/>
      <c r="DS52" s="30"/>
      <c r="DT52" s="30"/>
      <c r="DU52" s="30"/>
      <c r="DV52" s="30"/>
      <c r="DW52" s="30"/>
      <c r="DX52" s="30"/>
      <c r="DY52" s="30"/>
      <c r="DZ52" s="30"/>
      <c r="EA52" s="30"/>
      <c r="EB52" s="30"/>
      <c r="EC52" s="30"/>
      <c r="ED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</row>
    <row r="53" spans="1:144" thickBot="1" x14ac:dyDescent="0.4">
      <c r="A53" s="633" t="s">
        <v>365</v>
      </c>
      <c r="B53" s="634"/>
      <c r="C53" s="634"/>
      <c r="D53" s="634"/>
      <c r="E53" s="634"/>
      <c r="F53" s="634"/>
      <c r="G53" s="634"/>
      <c r="H53" s="634"/>
      <c r="I53" s="634"/>
      <c r="J53" s="634"/>
      <c r="K53" s="634"/>
      <c r="L53" s="634"/>
      <c r="M53" s="634"/>
      <c r="N53" s="634"/>
      <c r="O53" s="634"/>
      <c r="P53" s="635"/>
      <c r="Q53" s="473"/>
      <c r="R53" s="473"/>
      <c r="S53" s="473"/>
      <c r="T53" s="473"/>
      <c r="U53" s="473"/>
      <c r="W53" s="30"/>
      <c r="X53" s="481"/>
      <c r="Y53" s="482"/>
      <c r="Z53" s="481"/>
      <c r="AA53" s="482"/>
      <c r="AB53" s="482"/>
      <c r="AC53" s="482"/>
      <c r="AD53" s="482"/>
      <c r="AE53" s="482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</row>
    <row r="54" spans="1:144" thickBot="1" x14ac:dyDescent="0.4">
      <c r="Q54" s="30"/>
      <c r="R54" s="482"/>
      <c r="S54" s="482"/>
      <c r="T54" s="482"/>
      <c r="U54" s="482"/>
      <c r="W54" s="30"/>
      <c r="X54" s="30"/>
      <c r="Y54" s="30"/>
      <c r="Z54" s="30"/>
      <c r="AA54" s="30"/>
      <c r="AB54" s="30"/>
      <c r="AC54" s="30"/>
      <c r="AD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  <c r="DR54" s="30"/>
      <c r="DS54" s="30"/>
      <c r="DT54" s="30"/>
      <c r="DU54" s="30"/>
      <c r="DV54" s="30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</row>
    <row r="55" spans="1:144" thickBot="1" x14ac:dyDescent="0.4">
      <c r="Q55" s="482"/>
      <c r="R55" s="482"/>
      <c r="S55" s="482"/>
      <c r="T55" s="482"/>
      <c r="U55" s="482"/>
      <c r="W55" s="30"/>
      <c r="X55" s="30"/>
      <c r="Y55" s="30"/>
      <c r="Z55" s="30"/>
      <c r="AA55" s="30"/>
      <c r="AB55" s="30"/>
      <c r="AC55" s="30"/>
      <c r="AD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  <c r="DR55" s="30"/>
      <c r="DS55" s="30"/>
      <c r="DT55" s="30"/>
      <c r="DU55" s="30"/>
      <c r="DV55" s="30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</row>
    <row r="56" spans="1:144" thickBot="1" x14ac:dyDescent="0.4">
      <c r="Q56" s="66"/>
      <c r="R56" s="66"/>
      <c r="S56" s="66"/>
      <c r="T56" s="66"/>
      <c r="U56" s="66"/>
      <c r="W56" s="30"/>
      <c r="X56" s="30"/>
      <c r="Y56" s="30"/>
      <c r="Z56" s="30"/>
      <c r="AA56" s="30"/>
      <c r="AB56" s="30"/>
      <c r="AC56" s="30"/>
      <c r="AD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  <c r="DR56" s="30"/>
      <c r="DS56" s="30"/>
      <c r="DT56" s="30"/>
      <c r="DU56" s="30"/>
      <c r="DV56" s="30"/>
      <c r="DW56" s="30"/>
      <c r="DX56" s="3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</row>
    <row r="57" spans="1:144" thickBot="1" x14ac:dyDescent="0.4">
      <c r="A57" s="30"/>
      <c r="B57" s="37"/>
      <c r="C57" s="37"/>
      <c r="D57" s="68"/>
      <c r="E57" s="37"/>
      <c r="F57" s="201"/>
      <c r="G57" s="37"/>
      <c r="H57" s="37"/>
      <c r="I57" s="37"/>
      <c r="J57" s="214"/>
      <c r="K57" s="66"/>
      <c r="L57" s="214"/>
      <c r="M57" s="66"/>
      <c r="N57" s="66"/>
      <c r="O57" s="66"/>
      <c r="P57" s="66"/>
      <c r="Q57" s="66"/>
      <c r="R57" s="66"/>
      <c r="S57" s="66"/>
      <c r="T57" s="66"/>
      <c r="U57" s="66"/>
      <c r="W57" s="30"/>
      <c r="X57" s="30"/>
      <c r="Y57" s="30"/>
      <c r="Z57" s="30"/>
      <c r="AA57" s="30"/>
      <c r="AB57" s="30"/>
      <c r="AC57" s="30"/>
      <c r="AD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  <c r="DR57" s="30"/>
      <c r="DS57" s="30"/>
      <c r="DT57" s="30"/>
      <c r="DU57" s="30"/>
      <c r="DV57" s="30"/>
      <c r="DW57" s="30"/>
      <c r="DX57" s="3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</row>
    <row r="58" spans="1:144" thickBot="1" x14ac:dyDescent="0.4">
      <c r="W58" s="30"/>
      <c r="X58" s="30"/>
      <c r="Y58" s="30"/>
      <c r="Z58" s="30"/>
      <c r="AA58" s="30"/>
      <c r="AB58" s="30"/>
      <c r="AC58" s="30"/>
      <c r="AD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  <c r="DR58" s="30"/>
      <c r="DS58" s="30"/>
      <c r="DT58" s="30"/>
      <c r="DU58" s="30"/>
      <c r="DV58" s="30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</row>
    <row r="59" spans="1:144" thickBot="1" x14ac:dyDescent="0.4">
      <c r="A59" s="68"/>
      <c r="B59" s="68"/>
      <c r="C59" s="68"/>
      <c r="D59" s="68"/>
      <c r="E59" s="68"/>
      <c r="F59" s="206"/>
      <c r="G59" s="68"/>
      <c r="H59" s="68"/>
      <c r="I59" s="68"/>
      <c r="J59" s="240"/>
      <c r="K59" s="120"/>
      <c r="L59" s="240"/>
      <c r="M59" s="120"/>
      <c r="N59" s="120"/>
      <c r="O59" s="120"/>
      <c r="P59" s="120"/>
      <c r="Q59" s="120"/>
      <c r="R59" s="120"/>
      <c r="S59" s="120"/>
      <c r="T59" s="120"/>
      <c r="U59" s="120"/>
      <c r="W59" s="30"/>
      <c r="X59" s="30"/>
      <c r="Y59" s="30"/>
      <c r="Z59" s="30"/>
      <c r="AA59" s="30"/>
      <c r="AB59" s="30"/>
      <c r="AC59" s="30"/>
      <c r="AD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  <c r="DR59" s="30"/>
      <c r="DS59" s="30"/>
      <c r="DT59" s="30"/>
      <c r="DU59" s="30"/>
      <c r="DV59" s="30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</row>
    <row r="60" spans="1:144" thickBot="1" x14ac:dyDescent="0.4">
      <c r="A60" s="68"/>
      <c r="B60" s="121" t="s">
        <v>133</v>
      </c>
      <c r="C60" s="122" t="s">
        <v>134</v>
      </c>
      <c r="D60" s="122" t="s">
        <v>46</v>
      </c>
      <c r="E60" s="122">
        <v>3</v>
      </c>
      <c r="F60" s="207">
        <v>4</v>
      </c>
      <c r="G60" s="122">
        <v>2</v>
      </c>
      <c r="H60" s="122">
        <v>1</v>
      </c>
      <c r="I60" s="123" t="s">
        <v>204</v>
      </c>
      <c r="J60" s="240"/>
      <c r="K60" s="120"/>
      <c r="L60" s="240"/>
      <c r="M60" s="120"/>
      <c r="N60" s="120"/>
      <c r="O60" s="120"/>
      <c r="P60" s="120"/>
      <c r="Q60" s="120"/>
      <c r="R60" s="120"/>
      <c r="S60" s="120"/>
      <c r="T60" s="120"/>
      <c r="U60" s="120"/>
      <c r="W60" s="30"/>
      <c r="X60" s="30"/>
      <c r="Y60" s="30"/>
      <c r="Z60" s="30"/>
      <c r="AA60" s="30"/>
      <c r="AB60" s="30"/>
      <c r="AC60" s="30"/>
      <c r="AD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  <c r="DR60" s="30"/>
      <c r="DS60" s="30"/>
      <c r="DT60" s="30"/>
      <c r="DU60" s="30"/>
      <c r="DV60" s="30"/>
      <c r="DW60" s="30"/>
      <c r="DX60" s="3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</row>
    <row r="61" spans="1:144" thickBot="1" x14ac:dyDescent="0.4">
      <c r="A61" s="68"/>
      <c r="B61" s="79" t="s">
        <v>135</v>
      </c>
      <c r="C61" s="80" t="s">
        <v>151</v>
      </c>
      <c r="D61" s="80" t="s">
        <v>136</v>
      </c>
      <c r="E61" s="81">
        <f>+G62</f>
        <v>32.408464037388313</v>
      </c>
      <c r="F61" s="208">
        <f>+E62</f>
        <v>75</v>
      </c>
      <c r="G61" s="81">
        <f>+H62</f>
        <v>22</v>
      </c>
      <c r="H61" s="81">
        <f>D8</f>
        <v>17</v>
      </c>
      <c r="I61" s="82">
        <v>22</v>
      </c>
      <c r="J61" s="240"/>
      <c r="K61" s="120"/>
      <c r="L61" s="240"/>
      <c r="M61" s="120"/>
      <c r="N61" s="120"/>
      <c r="O61" s="120"/>
      <c r="P61" s="120"/>
      <c r="Q61" s="120"/>
      <c r="R61" s="120"/>
      <c r="S61" s="120"/>
      <c r="T61" s="120"/>
      <c r="U61" s="120"/>
      <c r="W61" s="30"/>
      <c r="X61" s="30"/>
      <c r="Y61" s="30"/>
      <c r="Z61" s="30"/>
      <c r="AA61" s="30"/>
      <c r="AB61" s="30"/>
      <c r="AC61" s="30"/>
      <c r="AD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  <c r="DR61" s="30"/>
      <c r="DS61" s="30"/>
      <c r="DT61" s="30"/>
      <c r="DU61" s="30"/>
      <c r="DV61" s="30"/>
      <c r="DW61" s="30"/>
      <c r="DX61" s="30"/>
      <c r="DY61" s="30"/>
      <c r="DZ61" s="30"/>
      <c r="EA61" s="30"/>
      <c r="EB61" s="30"/>
      <c r="EC61" s="30"/>
      <c r="ED61" s="30"/>
      <c r="EE61" s="30"/>
      <c r="EF61" s="30"/>
      <c r="EG61" s="30"/>
      <c r="EH61" s="30"/>
      <c r="EI61" s="30"/>
      <c r="EJ61" s="30"/>
      <c r="EK61" s="30"/>
      <c r="EL61" s="30"/>
      <c r="EM61" s="30"/>
      <c r="EN61" s="30"/>
    </row>
    <row r="62" spans="1:144" thickBot="1" x14ac:dyDescent="0.4">
      <c r="A62" s="68"/>
      <c r="B62" s="79" t="s">
        <v>137</v>
      </c>
      <c r="C62" s="80" t="s">
        <v>152</v>
      </c>
      <c r="D62" s="80" t="s">
        <v>136</v>
      </c>
      <c r="E62" s="81">
        <v>75</v>
      </c>
      <c r="F62" s="208">
        <f>+D12</f>
        <v>93.4</v>
      </c>
      <c r="G62" s="81">
        <v>32.408464037388313</v>
      </c>
      <c r="H62" s="81">
        <v>22</v>
      </c>
      <c r="I62" s="82">
        <v>40</v>
      </c>
      <c r="J62" s="240"/>
      <c r="K62" s="120"/>
      <c r="L62" s="240"/>
      <c r="M62" s="120"/>
      <c r="N62" s="120"/>
      <c r="O62" s="120"/>
      <c r="P62" s="120"/>
      <c r="Q62" s="120"/>
      <c r="R62" s="120"/>
      <c r="S62" s="120"/>
      <c r="T62" s="120"/>
      <c r="U62" s="120"/>
      <c r="W62" s="30"/>
      <c r="X62" s="30"/>
      <c r="Y62" s="30"/>
      <c r="Z62" s="30"/>
      <c r="AA62" s="30"/>
      <c r="AB62" s="30"/>
      <c r="AC62" s="30"/>
      <c r="AD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  <c r="DR62" s="30"/>
      <c r="DS62" s="30"/>
      <c r="DT62" s="30"/>
      <c r="DU62" s="30"/>
      <c r="DV62" s="30"/>
      <c r="DW62" s="30"/>
      <c r="DX62" s="3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</row>
    <row r="63" spans="1:144" thickBot="1" x14ac:dyDescent="0.4">
      <c r="A63" s="68"/>
      <c r="B63" s="124" t="s">
        <v>138</v>
      </c>
      <c r="C63" s="125" t="s">
        <v>153</v>
      </c>
      <c r="D63" s="125" t="s">
        <v>136</v>
      </c>
      <c r="E63" s="125">
        <f>(E61+E62)/2</f>
        <v>53.704232018694157</v>
      </c>
      <c r="F63" s="209">
        <f>(F61+F62)/2</f>
        <v>84.2</v>
      </c>
      <c r="G63" s="125">
        <f>(G61+G62)/2</f>
        <v>27.204232018694157</v>
      </c>
      <c r="H63" s="125">
        <f>(H61+H62)/2</f>
        <v>19.5</v>
      </c>
      <c r="I63" s="126">
        <f>(I61+I62)/2</f>
        <v>31</v>
      </c>
      <c r="J63" s="240"/>
      <c r="K63" s="120"/>
      <c r="L63" s="240">
        <f>+F64</f>
        <v>23.07715878787879</v>
      </c>
      <c r="M63" s="120"/>
      <c r="N63" s="120"/>
      <c r="O63" s="120"/>
      <c r="P63" s="120"/>
      <c r="Q63" s="120"/>
      <c r="R63" s="120"/>
      <c r="S63" s="120"/>
      <c r="T63" s="120"/>
      <c r="U63" s="120"/>
      <c r="W63" s="30"/>
      <c r="X63" s="30"/>
      <c r="Y63" s="30"/>
      <c r="Z63" s="30"/>
      <c r="AA63" s="30"/>
      <c r="AB63" s="30"/>
      <c r="AC63" s="30"/>
      <c r="AD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  <c r="DR63" s="30"/>
      <c r="DS63" s="30"/>
      <c r="DT63" s="30"/>
      <c r="DU63" s="30"/>
      <c r="DV63" s="30"/>
      <c r="DW63" s="30"/>
      <c r="DX63" s="3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</row>
    <row r="64" spans="1:144" thickBot="1" x14ac:dyDescent="0.4">
      <c r="A64" s="68"/>
      <c r="B64" s="124" t="s">
        <v>335</v>
      </c>
      <c r="C64" s="125" t="s">
        <v>139</v>
      </c>
      <c r="D64" s="125" t="s">
        <v>40</v>
      </c>
      <c r="E64" s="125">
        <f>+(G64*G61)/E61</f>
        <v>53.405397648409739</v>
      </c>
      <c r="F64" s="209">
        <f>+(E64*E61)/F61</f>
        <v>23.07715878787879</v>
      </c>
      <c r="G64" s="125">
        <f>+((H64*H61)/G61-D6*H64)-$K$7</f>
        <v>78.672132231404973</v>
      </c>
      <c r="H64" s="127">
        <f>K6</f>
        <v>110.38181818181819</v>
      </c>
      <c r="I64" s="128">
        <f>5%*K10</f>
        <v>5.5190909090909095</v>
      </c>
      <c r="J64" s="240"/>
      <c r="K64" s="120"/>
      <c r="L64" s="240">
        <f>+L63*F61/F62</f>
        <v>18.530909090909091</v>
      </c>
      <c r="M64" s="120"/>
      <c r="N64" s="120"/>
      <c r="O64" s="120"/>
      <c r="P64" s="120"/>
      <c r="Q64" s="120"/>
      <c r="R64" s="120"/>
      <c r="S64" s="120"/>
      <c r="T64" s="120"/>
      <c r="U64" s="12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  <c r="DR64" s="30"/>
      <c r="DS64" s="30"/>
      <c r="DT64" s="30"/>
      <c r="DU64" s="30"/>
      <c r="DV64" s="30"/>
      <c r="DW64" s="30"/>
      <c r="DX64" s="30"/>
      <c r="DY64" s="30"/>
      <c r="DZ64" s="30"/>
      <c r="EA64" s="30"/>
      <c r="EB64" s="30"/>
      <c r="EC64" s="30"/>
      <c r="ED64" s="30"/>
      <c r="EE64" s="30"/>
      <c r="EF64" s="30"/>
      <c r="EG64" s="30"/>
      <c r="EH64" s="30"/>
      <c r="EI64" s="30"/>
      <c r="EJ64" s="30"/>
      <c r="EK64" s="30"/>
      <c r="EL64" s="30"/>
      <c r="EM64" s="30"/>
      <c r="EN64" s="30"/>
    </row>
    <row r="65" spans="1:144" thickBot="1" x14ac:dyDescent="0.4">
      <c r="A65" s="68"/>
      <c r="B65" s="124" t="s">
        <v>140</v>
      </c>
      <c r="C65" s="125" t="s">
        <v>141</v>
      </c>
      <c r="D65" s="125" t="s">
        <v>51</v>
      </c>
      <c r="E65" s="125">
        <f>4.18*(1-0.006*E63)</f>
        <v>2.8330978609711504</v>
      </c>
      <c r="F65" s="209">
        <f>4.18*(1-0.006*F63)</f>
        <v>2.0682640000000001</v>
      </c>
      <c r="G65" s="125">
        <f>4.18*(1-0.006*G63)</f>
        <v>3.4977178609711506</v>
      </c>
      <c r="H65" s="125">
        <f>4.18*(1-0.006*H63)</f>
        <v>3.6909399999999999</v>
      </c>
      <c r="I65" s="126">
        <f>4.18*(1-0.006*I63)</f>
        <v>3.40252</v>
      </c>
      <c r="J65" s="240"/>
      <c r="K65" s="120"/>
      <c r="L65" s="240">
        <f>+L63-L64</f>
        <v>4.5462496969696993</v>
      </c>
      <c r="M65" s="120"/>
      <c r="N65" s="120"/>
      <c r="O65" s="120"/>
      <c r="P65" s="120"/>
      <c r="Q65" s="120"/>
      <c r="R65" s="120"/>
      <c r="S65" s="120"/>
      <c r="T65" s="120"/>
      <c r="U65" s="12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</row>
    <row r="66" spans="1:144" thickBot="1" x14ac:dyDescent="0.4">
      <c r="A66" s="68"/>
      <c r="B66" s="124" t="s">
        <v>142</v>
      </c>
      <c r="C66" s="125" t="s">
        <v>143</v>
      </c>
      <c r="D66" s="125" t="s">
        <v>144</v>
      </c>
      <c r="E66" s="125">
        <f>$D$22+0.2209*EXP(0.0557*E63)</f>
        <v>99.246273112282253</v>
      </c>
      <c r="F66" s="209">
        <f>$D$22+0.2209*EXP(0.0557*F63)</f>
        <v>118.89192314264594</v>
      </c>
      <c r="G66" s="125">
        <f>$D$22+0.2209*EXP(0.0557*G63)</f>
        <v>95.852942678070391</v>
      </c>
      <c r="H66" s="125">
        <f>$D$22+0.2209*EXP(0.0557*H63)</f>
        <v>95.502190909656974</v>
      </c>
      <c r="I66" s="126">
        <f>$D$22+0.2209*EXP(0.0557*I63)</f>
        <v>96.089613777968211</v>
      </c>
      <c r="J66" s="240"/>
      <c r="K66" s="120"/>
      <c r="L66" s="240"/>
      <c r="M66" s="120"/>
      <c r="N66" s="120"/>
      <c r="O66" s="120"/>
      <c r="P66" s="120"/>
      <c r="Q66" s="120"/>
      <c r="R66" s="120"/>
      <c r="S66" s="120"/>
      <c r="T66" s="120"/>
      <c r="U66" s="12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</row>
    <row r="67" spans="1:144" thickBot="1" x14ac:dyDescent="0.4">
      <c r="A67" s="68"/>
      <c r="B67" s="124" t="s">
        <v>145</v>
      </c>
      <c r="C67" s="129" t="s">
        <v>146</v>
      </c>
      <c r="D67" s="125" t="s">
        <v>35</v>
      </c>
      <c r="E67" s="125">
        <f>2492.9-2.0523*E66-0.0030752*E66^2</f>
        <v>2258.9266988425838</v>
      </c>
      <c r="F67" s="209">
        <f>2492.9-2.0523*F66-0.0030752*F66^2</f>
        <v>2205.429264206658</v>
      </c>
      <c r="G67" s="125">
        <f>2492.9-2.0523*G66-0.0030752*G66^2</f>
        <v>2267.9267243278323</v>
      </c>
      <c r="H67" s="125">
        <f>2492.9-2.0523*H66-0.0030752*H66^2</f>
        <v>2268.8529739216428</v>
      </c>
      <c r="I67" s="126">
        <f>2492.9-2.0523*I66-0.0030752*I66^2</f>
        <v>2267.3013063320036</v>
      </c>
      <c r="J67" s="240"/>
      <c r="K67" s="120"/>
      <c r="L67" s="240"/>
      <c r="M67" s="120"/>
      <c r="N67" s="120"/>
      <c r="O67" s="120"/>
      <c r="P67" s="120"/>
      <c r="Q67" s="120"/>
      <c r="R67" s="120"/>
      <c r="S67" s="120"/>
      <c r="T67" s="120"/>
      <c r="U67" s="12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</row>
    <row r="68" spans="1:144" thickBot="1" x14ac:dyDescent="0.4">
      <c r="A68" s="68"/>
      <c r="B68" s="130" t="s">
        <v>147</v>
      </c>
      <c r="C68" s="131" t="s">
        <v>148</v>
      </c>
      <c r="D68" s="131" t="s">
        <v>40</v>
      </c>
      <c r="E68" s="132">
        <f>+E64-F64</f>
        <v>30.328238860530949</v>
      </c>
      <c r="F68" s="210">
        <f>+F64-(F64*F61/F62)</f>
        <v>4.5462496969696993</v>
      </c>
      <c r="G68" s="131">
        <f>+G64-E64</f>
        <v>25.266734582995234</v>
      </c>
      <c r="H68" s="132">
        <f>+H64-G64</f>
        <v>31.709685950413217</v>
      </c>
      <c r="I68" s="133">
        <f>+I64-I64*I63/I62</f>
        <v>1.2417954545454553</v>
      </c>
      <c r="J68" s="241"/>
      <c r="K68" s="120"/>
      <c r="L68" s="240"/>
      <c r="M68" s="120"/>
      <c r="N68" s="120"/>
      <c r="O68" s="120"/>
      <c r="P68" s="120"/>
      <c r="Q68" s="120"/>
      <c r="R68" s="120"/>
      <c r="S68" s="120"/>
      <c r="T68" s="120"/>
      <c r="U68" s="12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</row>
    <row r="69" spans="1:144" thickBot="1" x14ac:dyDescent="0.4">
      <c r="A69" s="68"/>
      <c r="B69" s="134" t="s">
        <v>149</v>
      </c>
      <c r="C69" s="135" t="s">
        <v>150</v>
      </c>
      <c r="D69" s="135" t="s">
        <v>21</v>
      </c>
      <c r="E69" s="135">
        <f>(E64*E65*(E66- G66)+E68*E67)/3600</f>
        <v>19.17296905782246</v>
      </c>
      <c r="F69" s="211">
        <f>(F64*F65*(F66-E66)+F68*F67)/3600</f>
        <v>3.0455867379263801</v>
      </c>
      <c r="G69" s="135">
        <f>(G64*G65*(G66-H66)+G68*G67)/3600</f>
        <v>15.944338885085399</v>
      </c>
      <c r="H69" s="135">
        <f>(H64*H65*(H66-D19)+H68*H67)/3600</f>
        <v>27.963361380295847</v>
      </c>
      <c r="I69" s="136">
        <f>(I64*I65*(I66-D19)+I68*I67)/3600</f>
        <v>1.1529175884008671</v>
      </c>
      <c r="J69" s="240">
        <f>+E69+F69+G69+H69</f>
        <v>66.126256061130093</v>
      </c>
      <c r="K69" s="120"/>
      <c r="L69" s="240"/>
      <c r="M69" s="120"/>
      <c r="N69" s="120"/>
      <c r="O69" s="120"/>
      <c r="P69" s="120"/>
      <c r="Q69" s="120"/>
      <c r="R69" s="120"/>
      <c r="S69" s="120"/>
      <c r="T69" s="120"/>
      <c r="U69" s="12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</row>
    <row r="70" spans="1:144" thickBot="1" x14ac:dyDescent="0.4">
      <c r="A70" s="68"/>
      <c r="B70" s="30"/>
      <c r="C70" s="30"/>
      <c r="D70" s="67"/>
      <c r="E70" s="30"/>
      <c r="F70" s="74"/>
      <c r="G70" s="30"/>
      <c r="H70" s="30"/>
      <c r="I70" s="30"/>
      <c r="J70" s="240"/>
      <c r="K70" s="120"/>
      <c r="L70" s="240"/>
      <c r="M70" s="120"/>
      <c r="N70" s="120"/>
      <c r="O70" s="120"/>
      <c r="P70" s="120"/>
      <c r="Q70" s="120"/>
      <c r="R70" s="120"/>
      <c r="S70" s="120"/>
      <c r="T70" s="120"/>
      <c r="U70" s="12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</row>
    <row r="71" spans="1:144" thickBot="1" x14ac:dyDescent="0.4">
      <c r="A71" s="674" t="s">
        <v>334</v>
      </c>
      <c r="B71" s="675"/>
      <c r="C71" s="675"/>
      <c r="D71" s="675"/>
      <c r="E71" s="675"/>
      <c r="F71" s="675"/>
      <c r="G71" s="675"/>
      <c r="H71" s="675"/>
      <c r="I71" s="675"/>
      <c r="J71" s="675"/>
      <c r="K71" s="675"/>
      <c r="L71" s="675"/>
      <c r="M71" s="675"/>
      <c r="N71" s="675"/>
      <c r="O71" s="675"/>
      <c r="P71" s="675"/>
      <c r="Q71" s="675"/>
      <c r="R71" s="675"/>
      <c r="S71" s="675"/>
      <c r="T71" s="675"/>
      <c r="U71" s="676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</row>
    <row r="72" spans="1:144" thickBot="1" x14ac:dyDescent="0.4">
      <c r="A72" s="68"/>
      <c r="B72" s="30"/>
      <c r="C72" s="30"/>
      <c r="D72" s="67"/>
      <c r="E72" s="30"/>
      <c r="F72" s="74"/>
      <c r="G72" s="30"/>
      <c r="H72" s="30"/>
      <c r="I72" s="30"/>
      <c r="J72" s="206"/>
      <c r="K72" s="68"/>
      <c r="L72" s="206"/>
      <c r="M72" s="68"/>
      <c r="N72" s="68"/>
      <c r="O72" s="68"/>
      <c r="P72" s="68"/>
      <c r="Q72" s="68"/>
      <c r="R72" s="68"/>
      <c r="S72" s="68"/>
      <c r="T72" s="68"/>
      <c r="U72" s="68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</row>
    <row r="73" spans="1:144" thickBot="1" x14ac:dyDescent="0.4">
      <c r="A73" s="30"/>
      <c r="B73" s="318" t="s">
        <v>133</v>
      </c>
      <c r="C73" s="319" t="s">
        <v>134</v>
      </c>
      <c r="D73" s="321" t="s">
        <v>46</v>
      </c>
      <c r="E73" s="328">
        <v>3</v>
      </c>
      <c r="F73" s="320">
        <v>4</v>
      </c>
      <c r="G73" s="319">
        <v>2</v>
      </c>
      <c r="H73" s="319">
        <v>1</v>
      </c>
      <c r="I73" s="540" t="s">
        <v>204</v>
      </c>
      <c r="J73" s="566">
        <v>1</v>
      </c>
      <c r="K73" s="566">
        <v>2</v>
      </c>
      <c r="L73" s="566">
        <v>3</v>
      </c>
      <c r="M73" s="566">
        <v>4</v>
      </c>
      <c r="N73" s="566">
        <v>5</v>
      </c>
      <c r="O73" s="566">
        <v>6</v>
      </c>
      <c r="P73" s="566">
        <v>7</v>
      </c>
      <c r="Q73" s="66"/>
      <c r="R73" s="66"/>
      <c r="S73" s="66"/>
      <c r="T73" s="66"/>
      <c r="U73" s="66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</row>
    <row r="74" spans="1:144" thickBot="1" x14ac:dyDescent="0.4">
      <c r="A74" s="30"/>
      <c r="B74" s="322" t="s">
        <v>327</v>
      </c>
      <c r="C74" s="71" t="s">
        <v>328</v>
      </c>
      <c r="D74" s="332" t="s">
        <v>201</v>
      </c>
      <c r="E74" s="329">
        <f t="shared" ref="E74:J74" si="2">+E114</f>
        <v>35.371218749745829</v>
      </c>
      <c r="F74" s="212">
        <f t="shared" si="2"/>
        <v>14.935881550125281</v>
      </c>
      <c r="G74" s="83">
        <f t="shared" si="2"/>
        <v>55.587057964461948</v>
      </c>
      <c r="H74" s="83">
        <f t="shared" si="2"/>
        <v>27.569413333477179</v>
      </c>
      <c r="I74" s="541">
        <f t="shared" si="2"/>
        <v>11.831390041326902</v>
      </c>
      <c r="J74" s="567">
        <f t="shared" si="2"/>
        <v>11.995757248278483</v>
      </c>
      <c r="K74" s="567">
        <f t="shared" ref="K74:P74" si="3">+K114</f>
        <v>11.995757248278483</v>
      </c>
      <c r="L74" s="567">
        <f t="shared" si="3"/>
        <v>11.995757248278483</v>
      </c>
      <c r="M74" s="567">
        <f t="shared" si="3"/>
        <v>11.995757248278483</v>
      </c>
      <c r="N74" s="567">
        <f t="shared" si="3"/>
        <v>11.995757248278483</v>
      </c>
      <c r="O74" s="567">
        <f t="shared" si="3"/>
        <v>11.995757248278483</v>
      </c>
      <c r="P74" s="567">
        <f t="shared" si="3"/>
        <v>11.995757248278483</v>
      </c>
      <c r="Q74" s="66"/>
      <c r="R74" s="66"/>
      <c r="S74" s="66"/>
      <c r="T74" s="66"/>
      <c r="U74" s="66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</row>
    <row r="75" spans="1:144" thickBot="1" x14ac:dyDescent="0.4">
      <c r="A75" s="30"/>
      <c r="B75" s="322" t="s">
        <v>135</v>
      </c>
      <c r="C75" s="71" t="s">
        <v>151</v>
      </c>
      <c r="D75" s="332" t="s">
        <v>136</v>
      </c>
      <c r="E75" s="329">
        <f>+G76</f>
        <v>91.622247962267593</v>
      </c>
      <c r="F75" s="212">
        <f>+E76</f>
        <v>185.51772938837095</v>
      </c>
      <c r="G75" s="83">
        <f>+H76</f>
        <v>21.04337291352989</v>
      </c>
      <c r="H75" s="83">
        <f>+D8</f>
        <v>17</v>
      </c>
      <c r="I75" s="541">
        <v>0</v>
      </c>
      <c r="J75" s="567">
        <f>+F8</f>
        <v>0</v>
      </c>
      <c r="K75" s="567">
        <f t="shared" ref="K75:P75" si="4">+G8</f>
        <v>0</v>
      </c>
      <c r="L75" s="567" t="str">
        <f t="shared" si="4"/>
        <v>Jugo Clarificado</v>
      </c>
      <c r="M75" s="567">
        <f t="shared" si="4"/>
        <v>0</v>
      </c>
      <c r="N75" s="567" t="str">
        <f t="shared" si="4"/>
        <v>mEV</v>
      </c>
      <c r="O75" s="567">
        <f t="shared" si="4"/>
        <v>106.13636363636364</v>
      </c>
      <c r="P75" s="567" t="str">
        <f t="shared" si="4"/>
        <v>Kg/h</v>
      </c>
      <c r="Q75" s="66"/>
      <c r="R75" s="66"/>
      <c r="S75" s="66"/>
      <c r="T75" s="66"/>
      <c r="U75" s="66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</row>
    <row r="76" spans="1:144" thickBot="1" x14ac:dyDescent="0.4">
      <c r="A76" s="30"/>
      <c r="B76" s="322" t="s">
        <v>137</v>
      </c>
      <c r="C76" s="72" t="s">
        <v>152</v>
      </c>
      <c r="D76" s="332" t="s">
        <v>136</v>
      </c>
      <c r="E76" s="335">
        <f>+XbrixCl(E78,E75,0,E74,E74,$D$21/760,$D$22)</f>
        <v>185.51772938837095</v>
      </c>
      <c r="F76" s="314">
        <f>+XbrixCl(F78,F75,0,F74,F74,$D$21/760,$D$22)</f>
        <v>-209.77269784275646</v>
      </c>
      <c r="G76" s="313">
        <f>+XbrixCl(G78,G75,0,G74,G74,$D$21/760,$D$22)</f>
        <v>91.622247962267593</v>
      </c>
      <c r="H76" s="313">
        <f>+XbrixCl(H78,H75,D7,H74,H74,D21/760,D19)</f>
        <v>21.04337291352989</v>
      </c>
      <c r="I76" s="542">
        <f>+I75</f>
        <v>0</v>
      </c>
      <c r="J76" s="313" t="e">
        <f>+XbrixCl(J78,J75,F7,J74,J74,F21/760,F19)</f>
        <v>#VALUE!</v>
      </c>
      <c r="K76" s="313" t="e">
        <f t="shared" ref="K76:P76" si="5">+XbrixCl(K78,K75,G7,K74,K74,G21/760,G19)</f>
        <v>#VALUE!</v>
      </c>
      <c r="L76" s="313" t="e">
        <f t="shared" si="5"/>
        <v>#VALUE!</v>
      </c>
      <c r="M76" s="313" t="e">
        <f t="shared" si="5"/>
        <v>#VALUE!</v>
      </c>
      <c r="N76" s="313" t="e">
        <f t="shared" si="5"/>
        <v>#VALUE!</v>
      </c>
      <c r="O76" s="313" t="e">
        <f t="shared" si="5"/>
        <v>#VALUE!</v>
      </c>
      <c r="P76" s="313" t="e">
        <f t="shared" si="5"/>
        <v>#VALUE!</v>
      </c>
      <c r="Q76" s="66"/>
      <c r="R76" s="66"/>
      <c r="S76" s="66"/>
      <c r="T76" s="66"/>
      <c r="U76" s="66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</row>
    <row r="77" spans="1:144" thickBot="1" x14ac:dyDescent="0.4">
      <c r="A77" s="30"/>
      <c r="B77" s="322" t="s">
        <v>138</v>
      </c>
      <c r="C77" s="72" t="s">
        <v>153</v>
      </c>
      <c r="D77" s="332" t="s">
        <v>136</v>
      </c>
      <c r="E77" s="330">
        <f t="shared" ref="E77:G77" si="6">+AVERAGE(E75:E76)</f>
        <v>138.56998867531928</v>
      </c>
      <c r="F77" s="316">
        <f t="shared" si="6"/>
        <v>-12.127484227192753</v>
      </c>
      <c r="G77" s="315">
        <f t="shared" si="6"/>
        <v>56.332810437898743</v>
      </c>
      <c r="H77" s="315">
        <f>+AVERAGE(H75:H76)</f>
        <v>19.021686456764947</v>
      </c>
      <c r="I77" s="543">
        <f>+AVERAGE(I75:I76)</f>
        <v>0</v>
      </c>
      <c r="J77" s="313" t="e">
        <f>+AVERAGE(J75:J76)</f>
        <v>#VALUE!</v>
      </c>
      <c r="K77" s="313" t="e">
        <f t="shared" ref="K77:P77" si="7">+AVERAGE(K75:K76)</f>
        <v>#VALUE!</v>
      </c>
      <c r="L77" s="313" t="e">
        <f t="shared" si="7"/>
        <v>#VALUE!</v>
      </c>
      <c r="M77" s="313" t="e">
        <f t="shared" si="7"/>
        <v>#VALUE!</v>
      </c>
      <c r="N77" s="313" t="e">
        <f t="shared" si="7"/>
        <v>#VALUE!</v>
      </c>
      <c r="O77" s="313" t="e">
        <f t="shared" si="7"/>
        <v>#VALUE!</v>
      </c>
      <c r="P77" s="313" t="e">
        <f t="shared" si="7"/>
        <v>#VALUE!</v>
      </c>
      <c r="Q77" s="66"/>
      <c r="R77" s="66"/>
      <c r="S77" s="66"/>
      <c r="T77" s="66"/>
      <c r="U77" s="66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</row>
    <row r="78" spans="1:144" thickBot="1" x14ac:dyDescent="0.4">
      <c r="A78" s="30"/>
      <c r="B78" s="322" t="s">
        <v>329</v>
      </c>
      <c r="C78" s="71" t="s">
        <v>331</v>
      </c>
      <c r="D78" s="333" t="s">
        <v>40</v>
      </c>
      <c r="E78" s="330">
        <f>G78*G75/G76</f>
        <v>25.485076517240806</v>
      </c>
      <c r="F78" s="316">
        <f>+E75*E78/E76</f>
        <v>12.586398117841387</v>
      </c>
      <c r="G78" s="315">
        <f>+H78*H75/H76</f>
        <v>110.96129929336118</v>
      </c>
      <c r="H78" s="315">
        <f>+AL21</f>
        <v>137.35294117647058</v>
      </c>
      <c r="I78" s="543">
        <f>+H78*0.04</f>
        <v>5.4941176470588236</v>
      </c>
      <c r="J78" s="313">
        <f>+AN21</f>
        <v>0</v>
      </c>
      <c r="K78" s="313">
        <f t="shared" ref="K78:P78" si="8">+AO21</f>
        <v>0</v>
      </c>
      <c r="L78" s="313">
        <f t="shared" si="8"/>
        <v>0</v>
      </c>
      <c r="M78" s="313">
        <f t="shared" si="8"/>
        <v>0</v>
      </c>
      <c r="N78" s="313">
        <f t="shared" si="8"/>
        <v>0</v>
      </c>
      <c r="O78" s="313">
        <f t="shared" si="8"/>
        <v>0</v>
      </c>
      <c r="P78" s="313">
        <f t="shared" si="8"/>
        <v>0</v>
      </c>
      <c r="Q78" s="66"/>
      <c r="R78" s="66"/>
      <c r="S78" s="66"/>
      <c r="T78" s="66"/>
      <c r="U78" s="66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</row>
    <row r="79" spans="1:144" thickBot="1" x14ac:dyDescent="0.4">
      <c r="A79" s="30"/>
      <c r="B79" s="322" t="s">
        <v>332</v>
      </c>
      <c r="C79" s="71" t="s">
        <v>333</v>
      </c>
      <c r="D79" s="333" t="s">
        <v>144</v>
      </c>
      <c r="E79" s="330">
        <f>+Tjugo($D$21/760,E77)</f>
        <v>591.42558140905976</v>
      </c>
      <c r="F79" s="316">
        <f>+Tjugo($D$21/760,F77)</f>
        <v>94.680529542679125</v>
      </c>
      <c r="G79" s="315">
        <f>+Tjugo($D$21/760,G77)</f>
        <v>99.660223667176169</v>
      </c>
      <c r="H79" s="315">
        <f>+Tfinal_jugo(H75,$D$21/760,$D$19,H78,H74,D7)</f>
        <v>95.303904198255495</v>
      </c>
      <c r="I79" s="543">
        <f>+Tjugo(D22/760,I77)</f>
        <v>50.399354648379131</v>
      </c>
      <c r="J79" s="313" t="e">
        <f>+Tfinal_jugo(J75,$D$21/760,$D$19,J78,J74,F7)</f>
        <v>#VALUE!</v>
      </c>
      <c r="K79" s="313" t="e">
        <f t="shared" ref="K79:P79" si="9">+Tfinal_jugo(K75,$D$21/760,$D$19,K78,K74,G7)</f>
        <v>#VALUE!</v>
      </c>
      <c r="L79" s="313" t="e">
        <f t="shared" si="9"/>
        <v>#VALUE!</v>
      </c>
      <c r="M79" s="313" t="e">
        <f t="shared" si="9"/>
        <v>#VALUE!</v>
      </c>
      <c r="N79" s="313" t="e">
        <f t="shared" si="9"/>
        <v>#VALUE!</v>
      </c>
      <c r="O79" s="313" t="e">
        <f t="shared" si="9"/>
        <v>#VALUE!</v>
      </c>
      <c r="P79" s="313" t="e">
        <f t="shared" si="9"/>
        <v>#VALUE!</v>
      </c>
      <c r="Q79" s="66"/>
      <c r="R79" s="66"/>
      <c r="S79" s="66"/>
      <c r="T79" s="66"/>
      <c r="U79" s="66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</row>
    <row r="80" spans="1:144" thickBot="1" x14ac:dyDescent="0.4">
      <c r="A80" s="30"/>
      <c r="B80" s="322" t="s">
        <v>284</v>
      </c>
      <c r="C80" s="71" t="s">
        <v>287</v>
      </c>
      <c r="D80" s="332" t="s">
        <v>285</v>
      </c>
      <c r="E80" s="357">
        <f>+(EXP(-11.229+(3257.5/(E79+273.15))+(0.07572*E77)))/1000</f>
        <v>2.0723413909112486E-2</v>
      </c>
      <c r="F80" s="358">
        <f t="shared" ref="F80:I80" si="10">+(EXP(-11.229+(3257.5/(F79+273.15))+(0.07572*F77)))/1000</f>
        <v>3.7204982170754366E-5</v>
      </c>
      <c r="G80" s="358">
        <f t="shared" si="10"/>
        <v>5.8956215692606171E-3</v>
      </c>
      <c r="H80" s="358">
        <f t="shared" si="10"/>
        <v>3.8763910032590774E-4</v>
      </c>
      <c r="I80" s="544">
        <f t="shared" si="10"/>
        <v>3.1317778535360277E-4</v>
      </c>
      <c r="J80" s="568" t="e">
        <f t="shared" ref="J80:P80" si="11">+(EXP(-11.229+(3257.5/(J79+273.15))+(0.07572*J77)))/1000</f>
        <v>#VALUE!</v>
      </c>
      <c r="K80" s="568" t="e">
        <f t="shared" si="11"/>
        <v>#VALUE!</v>
      </c>
      <c r="L80" s="568" t="e">
        <f t="shared" si="11"/>
        <v>#VALUE!</v>
      </c>
      <c r="M80" s="568" t="e">
        <f t="shared" si="11"/>
        <v>#VALUE!</v>
      </c>
      <c r="N80" s="568" t="e">
        <f t="shared" si="11"/>
        <v>#VALUE!</v>
      </c>
      <c r="O80" s="568" t="e">
        <f t="shared" si="11"/>
        <v>#VALUE!</v>
      </c>
      <c r="P80" s="568" t="e">
        <f t="shared" si="11"/>
        <v>#VALUE!</v>
      </c>
      <c r="Q80" s="66"/>
      <c r="R80" s="66"/>
      <c r="S80" s="66"/>
      <c r="T80" s="66"/>
      <c r="U80" s="66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</row>
    <row r="81" spans="1:144" thickBot="1" x14ac:dyDescent="0.4">
      <c r="A81" s="30"/>
      <c r="B81" s="323" t="s">
        <v>286</v>
      </c>
      <c r="C81" s="71" t="s">
        <v>288</v>
      </c>
      <c r="D81" s="332" t="s">
        <v>289</v>
      </c>
      <c r="E81" s="329">
        <v>5.5460000000000002E-2</v>
      </c>
      <c r="F81" s="212">
        <v>5.5460000000000002E-2</v>
      </c>
      <c r="G81" s="83">
        <v>5.5460000000000002E-2</v>
      </c>
      <c r="H81" s="83">
        <v>5.5460000000000002E-2</v>
      </c>
      <c r="I81" s="541">
        <v>5.5460000000000002E-2</v>
      </c>
      <c r="J81" s="567">
        <v>5.5460000000000002E-2</v>
      </c>
      <c r="K81" s="567">
        <v>1.0554600000000001</v>
      </c>
      <c r="L81" s="567">
        <v>2.0554600000000001</v>
      </c>
      <c r="M81" s="567">
        <v>3.0554600000000001</v>
      </c>
      <c r="N81" s="567">
        <v>4.0554600000000001</v>
      </c>
      <c r="O81" s="567">
        <v>5.0554600000000001</v>
      </c>
      <c r="P81" s="567">
        <v>6.0554600000000001</v>
      </c>
      <c r="Q81" s="66"/>
      <c r="R81" s="66"/>
      <c r="S81" s="66"/>
      <c r="T81" s="66"/>
      <c r="U81" s="66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</row>
    <row r="82" spans="1:144" thickBot="1" x14ac:dyDescent="0.4">
      <c r="A82" s="30"/>
      <c r="B82" s="323" t="s">
        <v>212</v>
      </c>
      <c r="C82" s="71" t="s">
        <v>291</v>
      </c>
      <c r="D82" s="332" t="s">
        <v>290</v>
      </c>
      <c r="E82" s="329">
        <f>1043+4.854*E77-1.07*E79</f>
        <v>1082.793352922306</v>
      </c>
      <c r="F82" s="212">
        <f t="shared" ref="F82:I82" si="12">1043+4.854*F77-1.07*F79</f>
        <v>882.82502495053961</v>
      </c>
      <c r="G82" s="83">
        <f t="shared" si="12"/>
        <v>1209.8030225416821</v>
      </c>
      <c r="H82" s="83">
        <f t="shared" si="12"/>
        <v>1033.3560885690038</v>
      </c>
      <c r="I82" s="541">
        <f t="shared" si="12"/>
        <v>989.07269052623428</v>
      </c>
      <c r="J82" s="567" t="e">
        <f t="shared" ref="J82:P82" si="13">1043+4.854*J77-1.07*J79</f>
        <v>#VALUE!</v>
      </c>
      <c r="K82" s="567" t="e">
        <f t="shared" si="13"/>
        <v>#VALUE!</v>
      </c>
      <c r="L82" s="567" t="e">
        <f t="shared" si="13"/>
        <v>#VALUE!</v>
      </c>
      <c r="M82" s="567" t="e">
        <f t="shared" si="13"/>
        <v>#VALUE!</v>
      </c>
      <c r="N82" s="567" t="e">
        <f t="shared" si="13"/>
        <v>#VALUE!</v>
      </c>
      <c r="O82" s="567" t="e">
        <f t="shared" si="13"/>
        <v>#VALUE!</v>
      </c>
      <c r="P82" s="567" t="e">
        <f t="shared" si="13"/>
        <v>#VALUE!</v>
      </c>
      <c r="Q82" s="66"/>
      <c r="R82" s="66"/>
      <c r="S82" s="66"/>
      <c r="T82" s="66"/>
      <c r="U82" s="66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</row>
    <row r="83" spans="1:144" thickBot="1" x14ac:dyDescent="0.4">
      <c r="A83" s="30"/>
      <c r="B83" s="322" t="s">
        <v>140</v>
      </c>
      <c r="C83" s="71" t="s">
        <v>141</v>
      </c>
      <c r="D83" s="332" t="s">
        <v>51</v>
      </c>
      <c r="E83" s="330">
        <f>4.18*(1-0.006*E77)</f>
        <v>0.70466468402299243</v>
      </c>
      <c r="F83" s="315">
        <f t="shared" ref="F83:I83" si="14">4.18*(1-0.006*F77)</f>
        <v>4.4841573044179937</v>
      </c>
      <c r="G83" s="315">
        <f t="shared" si="14"/>
        <v>2.7671731142174991</v>
      </c>
      <c r="H83" s="315">
        <f t="shared" si="14"/>
        <v>3.7029361036643351</v>
      </c>
      <c r="I83" s="543">
        <f t="shared" si="14"/>
        <v>4.18</v>
      </c>
      <c r="J83" s="313" t="e">
        <f t="shared" ref="J83:P83" si="15">4.18*(1-0.006*J77)</f>
        <v>#VALUE!</v>
      </c>
      <c r="K83" s="313" t="e">
        <f t="shared" si="15"/>
        <v>#VALUE!</v>
      </c>
      <c r="L83" s="313" t="e">
        <f t="shared" si="15"/>
        <v>#VALUE!</v>
      </c>
      <c r="M83" s="313" t="e">
        <f t="shared" si="15"/>
        <v>#VALUE!</v>
      </c>
      <c r="N83" s="313" t="e">
        <f t="shared" si="15"/>
        <v>#VALUE!</v>
      </c>
      <c r="O83" s="313" t="e">
        <f t="shared" si="15"/>
        <v>#VALUE!</v>
      </c>
      <c r="P83" s="313" t="e">
        <f t="shared" si="15"/>
        <v>#VALUE!</v>
      </c>
      <c r="Q83" s="66"/>
      <c r="R83" s="66"/>
      <c r="S83" s="66"/>
      <c r="T83" s="66"/>
      <c r="U83" s="66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</row>
    <row r="84" spans="1:144" thickBot="1" x14ac:dyDescent="0.4">
      <c r="A84" s="30"/>
      <c r="B84" s="322" t="s">
        <v>145</v>
      </c>
      <c r="C84" s="317" t="s">
        <v>146</v>
      </c>
      <c r="D84" s="332" t="s">
        <v>35</v>
      </c>
      <c r="E84" s="330">
        <f>2492.9-2.0523*E79-0.0030752*E79^2</f>
        <v>203.46085101950644</v>
      </c>
      <c r="F84" s="315">
        <f t="shared" ref="F84:I84" si="16">2492.9-2.0523*F79-0.0030752*F79^2</f>
        <v>2271.0198181149922</v>
      </c>
      <c r="G84" s="315">
        <f t="shared" si="16"/>
        <v>2257.8239439780391</v>
      </c>
      <c r="H84" s="315">
        <f t="shared" si="16"/>
        <v>2269.3762658191413</v>
      </c>
      <c r="I84" s="543">
        <f t="shared" si="16"/>
        <v>2381.6541044680498</v>
      </c>
      <c r="J84" s="313" t="e">
        <f t="shared" ref="J84:P84" si="17">2492.9-2.0523*J79-0.0030752*J79^2</f>
        <v>#VALUE!</v>
      </c>
      <c r="K84" s="313" t="e">
        <f t="shared" si="17"/>
        <v>#VALUE!</v>
      </c>
      <c r="L84" s="313" t="e">
        <f t="shared" si="17"/>
        <v>#VALUE!</v>
      </c>
      <c r="M84" s="313" t="e">
        <f t="shared" si="17"/>
        <v>#VALUE!</v>
      </c>
      <c r="N84" s="313" t="e">
        <f t="shared" si="17"/>
        <v>#VALUE!</v>
      </c>
      <c r="O84" s="313" t="e">
        <f t="shared" si="17"/>
        <v>#VALUE!</v>
      </c>
      <c r="P84" s="313" t="e">
        <f t="shared" si="17"/>
        <v>#VALUE!</v>
      </c>
      <c r="Q84" s="66"/>
      <c r="R84" s="66"/>
      <c r="S84" s="66"/>
      <c r="T84" s="66"/>
      <c r="U84" s="66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</row>
    <row r="85" spans="1:144" thickBot="1" x14ac:dyDescent="0.4">
      <c r="A85" s="30"/>
      <c r="B85" s="323" t="s">
        <v>357</v>
      </c>
      <c r="C85" s="71" t="s">
        <v>330</v>
      </c>
      <c r="D85" s="332" t="s">
        <v>292</v>
      </c>
      <c r="E85" s="329">
        <f t="shared" ref="E85:J85" si="18">0.3815-0.0051*E77+0.001866*E79</f>
        <v>0.77839319266517726</v>
      </c>
      <c r="F85" s="212">
        <f t="shared" si="18"/>
        <v>0.62002403768532233</v>
      </c>
      <c r="G85" s="83">
        <f t="shared" si="18"/>
        <v>0.28016864412966713</v>
      </c>
      <c r="H85" s="83">
        <f t="shared" si="18"/>
        <v>0.46232648430444351</v>
      </c>
      <c r="I85" s="541">
        <f t="shared" si="18"/>
        <v>0.47554519577387544</v>
      </c>
      <c r="J85" s="567" t="e">
        <f t="shared" si="18"/>
        <v>#VALUE!</v>
      </c>
      <c r="K85" s="567" t="e">
        <f t="shared" ref="K85:P85" si="19">0.3815-0.0051*K77+0.001866*K79</f>
        <v>#VALUE!</v>
      </c>
      <c r="L85" s="567" t="e">
        <f t="shared" si="19"/>
        <v>#VALUE!</v>
      </c>
      <c r="M85" s="567" t="e">
        <f t="shared" si="19"/>
        <v>#VALUE!</v>
      </c>
      <c r="N85" s="567" t="e">
        <f t="shared" si="19"/>
        <v>#VALUE!</v>
      </c>
      <c r="O85" s="567" t="e">
        <f t="shared" si="19"/>
        <v>#VALUE!</v>
      </c>
      <c r="P85" s="567" t="e">
        <f t="shared" si="19"/>
        <v>#VALUE!</v>
      </c>
      <c r="Q85" s="66"/>
      <c r="R85" s="66"/>
      <c r="S85" s="66"/>
      <c r="T85" s="66"/>
      <c r="U85" s="66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</row>
    <row r="86" spans="1:144" thickBot="1" x14ac:dyDescent="0.4">
      <c r="A86" s="30"/>
      <c r="B86" s="322" t="s">
        <v>296</v>
      </c>
      <c r="C86" s="71" t="s">
        <v>298</v>
      </c>
      <c r="D86" s="332" t="s">
        <v>30</v>
      </c>
      <c r="E86" s="329">
        <v>0.78539816339744795</v>
      </c>
      <c r="F86" s="212">
        <v>0.58119464091411177</v>
      </c>
      <c r="G86" s="83">
        <v>1.1036076228478182</v>
      </c>
      <c r="H86" s="83">
        <v>0.78</v>
      </c>
      <c r="I86" s="541">
        <v>0.42</v>
      </c>
      <c r="J86" s="567">
        <v>0.78</v>
      </c>
      <c r="K86" s="567">
        <v>1.78</v>
      </c>
      <c r="L86" s="567">
        <v>2.78</v>
      </c>
      <c r="M86" s="567">
        <v>3.78</v>
      </c>
      <c r="N86" s="567">
        <v>4.78</v>
      </c>
      <c r="O86" s="567">
        <v>5.78</v>
      </c>
      <c r="P86" s="567">
        <v>6.78</v>
      </c>
      <c r="Q86" s="66"/>
      <c r="R86" s="66"/>
      <c r="S86" s="66"/>
      <c r="T86" s="66"/>
      <c r="U86" s="66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  <c r="AT86" s="30"/>
      <c r="AU86" s="30"/>
      <c r="AV86" s="30"/>
      <c r="AW86" s="30"/>
      <c r="AX86" s="30"/>
      <c r="AY86" s="30"/>
      <c r="AZ86" s="30"/>
      <c r="BA86" s="30"/>
      <c r="BB86" s="30"/>
      <c r="BC86" s="30"/>
      <c r="BD86" s="30"/>
      <c r="BE86" s="30"/>
      <c r="BF86" s="30"/>
      <c r="BG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</row>
    <row r="87" spans="1:144" thickBot="1" x14ac:dyDescent="0.4">
      <c r="A87" s="30"/>
      <c r="B87" s="322" t="s">
        <v>295</v>
      </c>
      <c r="C87" s="71" t="s">
        <v>297</v>
      </c>
      <c r="D87" s="332" t="s">
        <v>299</v>
      </c>
      <c r="E87" s="329">
        <f t="shared" ref="E87:J87" si="20">+E74/E86*1000</f>
        <v>45036.034457654256</v>
      </c>
      <c r="F87" s="212">
        <f t="shared" si="20"/>
        <v>25698.587871756521</v>
      </c>
      <c r="G87" s="83">
        <f t="shared" si="20"/>
        <v>50368.497655916537</v>
      </c>
      <c r="H87" s="83">
        <f t="shared" si="20"/>
        <v>35345.401709586127</v>
      </c>
      <c r="I87" s="541">
        <f t="shared" si="20"/>
        <v>28169.976288873579</v>
      </c>
      <c r="J87" s="567">
        <f t="shared" si="20"/>
        <v>15379.175959331387</v>
      </c>
      <c r="K87" s="567">
        <f t="shared" ref="K87:P87" si="21">+K74/K86*1000</f>
        <v>6739.189465324991</v>
      </c>
      <c r="L87" s="567">
        <f t="shared" si="21"/>
        <v>4315.0205929059293</v>
      </c>
      <c r="M87" s="567">
        <f t="shared" si="21"/>
        <v>3173.4807535128266</v>
      </c>
      <c r="N87" s="567">
        <f t="shared" si="21"/>
        <v>2509.5726460833644</v>
      </c>
      <c r="O87" s="567">
        <f t="shared" si="21"/>
        <v>2075.3905273838209</v>
      </c>
      <c r="P87" s="567">
        <f t="shared" si="21"/>
        <v>1769.2857298345846</v>
      </c>
      <c r="Q87" s="66"/>
      <c r="R87" s="66"/>
      <c r="S87" s="66"/>
      <c r="T87" s="66"/>
      <c r="U87" s="66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</row>
    <row r="88" spans="1:144" thickBot="1" x14ac:dyDescent="0.4">
      <c r="A88" s="30"/>
      <c r="B88" s="322" t="s">
        <v>293</v>
      </c>
      <c r="C88" s="71" t="s">
        <v>294</v>
      </c>
      <c r="D88" s="332" t="s">
        <v>144</v>
      </c>
      <c r="E88" s="329">
        <f>+tw(E87,E80,E84,E81,E82,E83,E85,E79)</f>
        <v>597.91533620694247</v>
      </c>
      <c r="F88" s="83">
        <f>+tw(F87,F80,F84,F81,F82,F83,F85,F79)</f>
        <v>95.196361374916933</v>
      </c>
      <c r="G88" s="83">
        <f t="shared" ref="G88:I88" si="22">+tw(G87,G80,G84,G81,G82,G83,G85,G79)</f>
        <v>139.19936547623382</v>
      </c>
      <c r="H88" s="83">
        <f t="shared" si="22"/>
        <v>98.87703040260395</v>
      </c>
      <c r="I88" s="541">
        <f t="shared" si="22"/>
        <v>53.305733024244645</v>
      </c>
      <c r="J88" s="567" t="e">
        <f t="shared" ref="J88:P88" si="23">+tw(J87,J80,J84,J81,J82,J83,J85,J79)</f>
        <v>#VALUE!</v>
      </c>
      <c r="K88" s="567" t="e">
        <f t="shared" si="23"/>
        <v>#VALUE!</v>
      </c>
      <c r="L88" s="567" t="e">
        <f t="shared" si="23"/>
        <v>#VALUE!</v>
      </c>
      <c r="M88" s="567" t="e">
        <f t="shared" si="23"/>
        <v>#VALUE!</v>
      </c>
      <c r="N88" s="567" t="e">
        <f t="shared" si="23"/>
        <v>#VALUE!</v>
      </c>
      <c r="O88" s="567" t="e">
        <f t="shared" si="23"/>
        <v>#VALUE!</v>
      </c>
      <c r="P88" s="567" t="e">
        <f t="shared" si="23"/>
        <v>#VALUE!</v>
      </c>
      <c r="Q88" s="66"/>
      <c r="R88" s="66"/>
      <c r="S88" s="66"/>
      <c r="T88" s="66"/>
      <c r="U88" s="66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  <c r="AT88" s="30"/>
      <c r="AU88" s="30"/>
      <c r="AV88" s="30"/>
      <c r="AW88" s="30"/>
      <c r="AX88" s="30"/>
      <c r="AY88" s="30"/>
      <c r="AZ88" s="30"/>
      <c r="BA88" s="30"/>
      <c r="BB88" s="30"/>
      <c r="BC88" s="30"/>
      <c r="BD88" s="30"/>
      <c r="BE88" s="30"/>
      <c r="BF88" s="30"/>
      <c r="BG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</row>
    <row r="89" spans="1:144" thickBot="1" x14ac:dyDescent="0.4">
      <c r="A89" s="30"/>
      <c r="B89" s="324" t="s">
        <v>306</v>
      </c>
      <c r="C89" s="325" t="s">
        <v>307</v>
      </c>
      <c r="D89" s="334" t="s">
        <v>144</v>
      </c>
      <c r="E89" s="331">
        <f>+twg(E42,E87,E88)</f>
        <v>611.21667661652873</v>
      </c>
      <c r="F89" s="327">
        <f>+twg(F42,F87,F88)</f>
        <v>102.7864094207613</v>
      </c>
      <c r="G89" s="326">
        <f>+twg(G42,G87,G88)</f>
        <v>154.07564269088823</v>
      </c>
      <c r="H89" s="326">
        <f>+twg(H42,H87,H88)</f>
        <v>109.31625369822589</v>
      </c>
      <c r="I89" s="545">
        <f>+twg(I42,I87,I88)</f>
        <v>61.625702765377071</v>
      </c>
      <c r="J89" s="569" t="e">
        <f t="shared" ref="J89:P89" si="24">+twg(X47,J87,J88)</f>
        <v>#VALUE!</v>
      </c>
      <c r="K89" s="569" t="e">
        <f t="shared" si="24"/>
        <v>#VALUE!</v>
      </c>
      <c r="L89" s="569" t="e">
        <f t="shared" si="24"/>
        <v>#VALUE!</v>
      </c>
      <c r="M89" s="569" t="e">
        <f t="shared" si="24"/>
        <v>#VALUE!</v>
      </c>
      <c r="N89" s="569" t="e">
        <f t="shared" si="24"/>
        <v>#VALUE!</v>
      </c>
      <c r="O89" s="569" t="e">
        <f t="shared" si="24"/>
        <v>#VALUE!</v>
      </c>
      <c r="P89" s="569" t="e">
        <f t="shared" si="24"/>
        <v>#VALUE!</v>
      </c>
      <c r="Q89" s="66"/>
      <c r="R89" s="66"/>
      <c r="S89" s="66"/>
      <c r="T89" s="66"/>
      <c r="U89" s="66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  <c r="AT89" s="30"/>
      <c r="AU89" s="30"/>
      <c r="AV89" s="30"/>
      <c r="AW89" s="30"/>
      <c r="AX89" s="30"/>
      <c r="AY89" s="30"/>
      <c r="AZ89" s="30"/>
      <c r="BA89" s="30"/>
      <c r="BB89" s="30"/>
      <c r="BC89" s="30"/>
      <c r="BD89" s="30"/>
      <c r="BE89" s="30"/>
      <c r="BF89" s="30"/>
      <c r="BG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  <c r="DB89" s="30"/>
      <c r="DC89" s="30"/>
      <c r="DD89" s="30"/>
      <c r="DE89" s="30"/>
      <c r="DF89" s="30"/>
      <c r="DG89" s="30"/>
      <c r="DH89" s="30"/>
      <c r="DI89" s="30"/>
      <c r="DJ89" s="30"/>
      <c r="DK89" s="30"/>
      <c r="DL89" s="30"/>
      <c r="DM89" s="30"/>
      <c r="DN89" s="30"/>
      <c r="DO89" s="30"/>
      <c r="DP89" s="30"/>
      <c r="DQ89" s="30"/>
      <c r="DR89" s="30"/>
      <c r="DS89" s="30"/>
      <c r="DT89" s="30"/>
      <c r="DU89" s="30"/>
      <c r="DV89" s="30"/>
      <c r="DW89" s="30"/>
      <c r="DX89" s="30"/>
      <c r="DY89" s="30"/>
      <c r="DZ89" s="30"/>
      <c r="EA89" s="30"/>
      <c r="EB89" s="30"/>
      <c r="EC89" s="30"/>
      <c r="ED89" s="30"/>
      <c r="EE89" s="30"/>
      <c r="EF89" s="30"/>
      <c r="EG89" s="30"/>
      <c r="EH89" s="30"/>
      <c r="EI89" s="30"/>
      <c r="EJ89" s="30"/>
      <c r="EK89" s="30"/>
      <c r="EL89" s="30"/>
      <c r="EM89" s="30"/>
      <c r="EN89" s="30"/>
    </row>
    <row r="90" spans="1:144" thickBot="1" x14ac:dyDescent="0.4">
      <c r="A90" s="30"/>
      <c r="B90" s="30"/>
      <c r="C90" s="30"/>
      <c r="D90" s="67"/>
      <c r="E90" s="30"/>
      <c r="F90" s="74"/>
      <c r="G90" s="30"/>
      <c r="H90" s="30"/>
      <c r="I90" s="30"/>
      <c r="J90" s="74"/>
      <c r="K90" s="30"/>
      <c r="L90" s="74"/>
      <c r="M90" s="30"/>
      <c r="N90" s="30"/>
      <c r="O90" s="30"/>
      <c r="P90" s="30"/>
      <c r="Q90" s="30"/>
      <c r="R90" s="30"/>
      <c r="S90" s="30"/>
      <c r="T90" s="30"/>
      <c r="U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  <c r="AT90" s="30"/>
      <c r="AU90" s="30"/>
      <c r="AV90" s="30"/>
      <c r="AW90" s="30"/>
      <c r="AX90" s="30"/>
      <c r="AY90" s="30"/>
      <c r="AZ90" s="30"/>
      <c r="BA90" s="30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  <c r="DB90" s="30"/>
      <c r="DC90" s="30"/>
      <c r="DD90" s="30"/>
      <c r="DE90" s="30"/>
      <c r="DF90" s="30"/>
      <c r="DG90" s="30"/>
      <c r="DH90" s="30"/>
      <c r="DI90" s="30"/>
      <c r="DJ90" s="30"/>
      <c r="DK90" s="30"/>
      <c r="DL90" s="30"/>
      <c r="DM90" s="30"/>
      <c r="DN90" s="30"/>
      <c r="DO90" s="30"/>
      <c r="DP90" s="30"/>
      <c r="DQ90" s="30"/>
      <c r="DR90" s="30"/>
      <c r="DS90" s="30"/>
      <c r="DT90" s="30"/>
      <c r="DU90" s="30"/>
      <c r="DV90" s="30"/>
      <c r="DW90" s="30"/>
      <c r="DX90" s="3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</row>
    <row r="91" spans="1:144" thickBot="1" x14ac:dyDescent="0.4">
      <c r="A91" s="633" t="s">
        <v>154</v>
      </c>
      <c r="B91" s="634"/>
      <c r="C91" s="634"/>
      <c r="D91" s="634"/>
      <c r="E91" s="634"/>
      <c r="F91" s="634"/>
      <c r="G91" s="634"/>
      <c r="H91" s="634"/>
      <c r="I91" s="634"/>
      <c r="J91" s="634"/>
      <c r="K91" s="634"/>
      <c r="L91" s="634"/>
      <c r="M91" s="634"/>
      <c r="N91" s="634"/>
      <c r="O91" s="634"/>
      <c r="P91" s="634"/>
      <c r="Q91" s="634"/>
      <c r="R91" s="634"/>
      <c r="S91" s="634"/>
      <c r="T91" s="634"/>
      <c r="U91" s="634"/>
      <c r="V91" s="635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  <c r="AT91" s="30"/>
      <c r="AU91" s="30"/>
      <c r="AV91" s="30"/>
      <c r="AW91" s="30"/>
      <c r="AX91" s="30"/>
      <c r="AY91" s="30"/>
      <c r="AZ91" s="30"/>
      <c r="BA91" s="30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  <c r="DB91" s="30"/>
      <c r="DC91" s="30"/>
      <c r="DD91" s="30"/>
      <c r="DE91" s="30"/>
      <c r="DF91" s="30"/>
      <c r="DG91" s="30"/>
      <c r="DH91" s="30"/>
      <c r="DI91" s="30"/>
      <c r="DJ91" s="30"/>
      <c r="DK91" s="30"/>
      <c r="DL91" s="30"/>
      <c r="DM91" s="30"/>
      <c r="DN91" s="30"/>
      <c r="DO91" s="30"/>
      <c r="DP91" s="30"/>
      <c r="DQ91" s="30"/>
      <c r="DR91" s="30"/>
      <c r="DS91" s="30"/>
      <c r="DT91" s="30"/>
      <c r="DU91" s="30"/>
      <c r="DV91" s="30"/>
      <c r="DW91" s="30"/>
      <c r="DX91" s="30"/>
      <c r="DY91" s="30"/>
      <c r="DZ91" s="30"/>
      <c r="EA91" s="30"/>
      <c r="EB91" s="30"/>
      <c r="EC91" s="30"/>
      <c r="ED91" s="30"/>
      <c r="EE91" s="30"/>
      <c r="EF91" s="30"/>
      <c r="EG91" s="30"/>
      <c r="EH91" s="30"/>
      <c r="EI91" s="30"/>
      <c r="EJ91" s="30"/>
      <c r="EK91" s="30"/>
      <c r="EL91" s="30"/>
      <c r="EM91" s="30"/>
      <c r="EN91" s="30"/>
    </row>
    <row r="92" spans="1:144" thickBot="1" x14ac:dyDescent="0.4">
      <c r="A92" s="246"/>
      <c r="B92" s="277"/>
      <c r="C92" s="277"/>
      <c r="D92" s="291"/>
      <c r="E92" s="246"/>
      <c r="F92" s="276"/>
      <c r="G92" s="277"/>
      <c r="H92" s="277"/>
      <c r="I92" s="246"/>
      <c r="J92" s="276"/>
      <c r="K92" s="277"/>
      <c r="L92" s="276"/>
      <c r="M92" s="246"/>
      <c r="N92" s="246"/>
      <c r="O92" s="246"/>
      <c r="P92" s="246"/>
      <c r="Q92" s="246"/>
      <c r="R92" s="246"/>
      <c r="S92" s="246"/>
      <c r="T92" s="246"/>
      <c r="U92" s="246"/>
      <c r="V92" s="355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  <c r="AT92" s="30"/>
      <c r="AU92" s="30"/>
      <c r="AV92" s="30"/>
      <c r="AW92" s="30"/>
      <c r="AX92" s="30"/>
      <c r="AY92" s="30"/>
      <c r="AZ92" s="30"/>
      <c r="BA92" s="30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  <c r="DB92" s="30"/>
      <c r="DC92" s="30"/>
      <c r="DD92" s="30"/>
      <c r="DE92" s="30"/>
      <c r="DF92" s="30"/>
      <c r="DG92" s="30"/>
      <c r="DH92" s="30"/>
      <c r="DI92" s="30"/>
      <c r="DJ92" s="30"/>
      <c r="DK92" s="30"/>
      <c r="DL92" s="30"/>
      <c r="DM92" s="30"/>
      <c r="DN92" s="30"/>
      <c r="DO92" s="30"/>
      <c r="DP92" s="30"/>
      <c r="DQ92" s="30"/>
      <c r="DR92" s="30"/>
      <c r="DS92" s="30"/>
      <c r="DT92" s="30"/>
      <c r="DU92" s="30"/>
      <c r="DV92" s="30"/>
      <c r="DW92" s="30"/>
      <c r="DX92" s="30"/>
      <c r="DY92" s="30"/>
      <c r="DZ92" s="30"/>
      <c r="EA92" s="30"/>
      <c r="EB92" s="30"/>
      <c r="EC92" s="30"/>
      <c r="ED92" s="30"/>
      <c r="EE92" s="30"/>
      <c r="EF92" s="30"/>
      <c r="EG92" s="30"/>
      <c r="EH92" s="30"/>
      <c r="EI92" s="30"/>
      <c r="EJ92" s="30"/>
      <c r="EK92" s="30"/>
      <c r="EL92" s="30"/>
      <c r="EM92" s="30"/>
      <c r="EN92" s="30"/>
    </row>
    <row r="93" spans="1:144" thickBot="1" x14ac:dyDescent="0.4">
      <c r="A93" s="246"/>
      <c r="B93" s="247" t="s">
        <v>155</v>
      </c>
      <c r="C93" s="248">
        <f>+D3*D4</f>
        <v>67.5</v>
      </c>
      <c r="D93" s="249" t="s">
        <v>33</v>
      </c>
      <c r="E93" s="246"/>
      <c r="F93" s="607" t="s">
        <v>179</v>
      </c>
      <c r="G93" s="608"/>
      <c r="H93" s="609"/>
      <c r="I93" s="246"/>
      <c r="J93" s="250" t="s">
        <v>190</v>
      </c>
      <c r="K93" s="248">
        <f>(C107*G103)/1000</f>
        <v>77.303897581947766</v>
      </c>
      <c r="L93" s="251" t="s">
        <v>33</v>
      </c>
      <c r="M93" s="246"/>
      <c r="N93" s="586" t="s">
        <v>411</v>
      </c>
      <c r="O93" s="587"/>
      <c r="P93" s="660"/>
      <c r="Q93" s="586" t="s">
        <v>412</v>
      </c>
      <c r="R93" s="660"/>
      <c r="S93" s="586" t="s">
        <v>413</v>
      </c>
      <c r="T93" s="660"/>
      <c r="U93" s="246"/>
      <c r="W93" s="30"/>
      <c r="X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  <c r="AT93" s="30"/>
      <c r="AU93" s="30"/>
      <c r="AV93" s="30"/>
      <c r="AW93" s="30"/>
      <c r="AX93" s="30"/>
      <c r="AY93" s="30"/>
      <c r="AZ93" s="30"/>
      <c r="BA93" s="30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  <c r="DB93" s="30"/>
      <c r="DC93" s="30"/>
      <c r="DD93" s="30"/>
      <c r="DE93" s="30"/>
      <c r="DF93" s="30"/>
      <c r="DG93" s="30"/>
      <c r="DH93" s="30"/>
      <c r="DI93" s="30"/>
      <c r="DJ93" s="30"/>
      <c r="DK93" s="30"/>
      <c r="DL93" s="30"/>
      <c r="DM93" s="30"/>
      <c r="DN93" s="30"/>
      <c r="DO93" s="30"/>
      <c r="DP93" s="30"/>
      <c r="DQ93" s="30"/>
      <c r="DR93" s="30"/>
      <c r="DS93" s="30"/>
      <c r="DT93" s="30"/>
      <c r="DU93" s="30"/>
      <c r="DV93" s="30"/>
      <c r="DW93" s="30"/>
      <c r="DX93" s="30"/>
      <c r="DY93" s="30"/>
      <c r="DZ93" s="30"/>
      <c r="EA93" s="30"/>
      <c r="EB93" s="30"/>
      <c r="EC93" s="30"/>
      <c r="ED93" s="30"/>
      <c r="EE93" s="30"/>
      <c r="EF93" s="30"/>
      <c r="EG93" s="30"/>
      <c r="EH93" s="30"/>
      <c r="EI93" s="30"/>
      <c r="EJ93" s="30"/>
      <c r="EK93" s="30"/>
      <c r="EL93" s="30"/>
      <c r="EM93" s="30"/>
      <c r="EN93" s="30"/>
    </row>
    <row r="94" spans="1:144" thickBot="1" x14ac:dyDescent="0.4">
      <c r="A94" s="246"/>
      <c r="B94" s="252" t="s">
        <v>156</v>
      </c>
      <c r="C94" s="253">
        <v>0.95</v>
      </c>
      <c r="D94" s="254" t="s">
        <v>8</v>
      </c>
      <c r="E94" s="246"/>
      <c r="F94" s="538" t="s">
        <v>180</v>
      </c>
      <c r="G94" s="273">
        <f>C104*D100/C105</f>
        <v>1.8489763294395831</v>
      </c>
      <c r="H94" s="274" t="s">
        <v>181</v>
      </c>
      <c r="I94" s="246"/>
      <c r="J94" s="258" t="s">
        <v>192</v>
      </c>
      <c r="K94" s="256">
        <f>(C108*G104)/1000</f>
        <v>2.5895005942617906</v>
      </c>
      <c r="L94" s="259" t="s">
        <v>33</v>
      </c>
      <c r="M94" s="246"/>
      <c r="N94" s="584" t="s">
        <v>456</v>
      </c>
      <c r="O94" s="585"/>
      <c r="P94" s="451" t="s">
        <v>385</v>
      </c>
      <c r="Q94" s="470">
        <f>+AN4</f>
        <v>0.22021874999999999</v>
      </c>
      <c r="R94" s="452" t="s">
        <v>30</v>
      </c>
      <c r="S94" s="451">
        <f>Q94</f>
        <v>0.22021874999999999</v>
      </c>
      <c r="T94" s="452" t="s">
        <v>30</v>
      </c>
      <c r="U94" s="246"/>
      <c r="W94" s="30"/>
      <c r="X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  <c r="AT94" s="30"/>
      <c r="AU94" s="30"/>
      <c r="AV94" s="30"/>
      <c r="AW94" s="30"/>
      <c r="AX94" s="30"/>
      <c r="AY94" s="30"/>
      <c r="AZ94" s="30"/>
      <c r="BA94" s="30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  <c r="DB94" s="30"/>
      <c r="DC94" s="30"/>
      <c r="DD94" s="30"/>
      <c r="DE94" s="30"/>
      <c r="DF94" s="30"/>
      <c r="DG94" s="30"/>
      <c r="DH94" s="30"/>
      <c r="DI94" s="30"/>
      <c r="DJ94" s="30"/>
      <c r="DK94" s="30"/>
      <c r="DL94" s="30"/>
      <c r="DM94" s="30"/>
      <c r="DN94" s="30"/>
      <c r="DO94" s="30"/>
      <c r="DP94" s="30"/>
      <c r="DQ94" s="30"/>
      <c r="DR94" s="30"/>
      <c r="DS94" s="30"/>
      <c r="DT94" s="30"/>
      <c r="DU94" s="30"/>
      <c r="DV94" s="30"/>
      <c r="DW94" s="30"/>
      <c r="DX94" s="30"/>
      <c r="DY94" s="30"/>
      <c r="DZ94" s="30"/>
      <c r="EA94" s="30"/>
      <c r="EB94" s="30"/>
      <c r="EC94" s="30"/>
      <c r="ED94" s="30"/>
      <c r="EE94" s="30"/>
      <c r="EF94" s="30"/>
      <c r="EG94" s="30"/>
      <c r="EH94" s="30"/>
      <c r="EI94" s="30"/>
      <c r="EJ94" s="30"/>
      <c r="EK94" s="30"/>
      <c r="EL94" s="30"/>
      <c r="EM94" s="30"/>
      <c r="EN94" s="30"/>
    </row>
    <row r="95" spans="1:144" thickBot="1" x14ac:dyDescent="0.4">
      <c r="A95" s="246"/>
      <c r="B95" s="260" t="s">
        <v>157</v>
      </c>
      <c r="C95" s="261">
        <f>+D14</f>
        <v>0.3</v>
      </c>
      <c r="D95" s="257" t="s">
        <v>8</v>
      </c>
      <c r="E95" s="246"/>
      <c r="F95" s="255" t="s">
        <v>182</v>
      </c>
      <c r="G95" s="256">
        <f>D101*C104/C106</f>
        <v>1.5235281862015595</v>
      </c>
      <c r="H95" s="257" t="s">
        <v>181</v>
      </c>
      <c r="I95" s="246"/>
      <c r="J95" s="258" t="s">
        <v>194</v>
      </c>
      <c r="K95" s="256">
        <f>(C109*G106)/1000</f>
        <v>48.181538475406128</v>
      </c>
      <c r="L95" s="259" t="s">
        <v>33</v>
      </c>
      <c r="M95" s="246"/>
      <c r="N95" s="584" t="s">
        <v>387</v>
      </c>
      <c r="O95" s="585"/>
      <c r="P95" s="451" t="s">
        <v>388</v>
      </c>
      <c r="Q95" s="470">
        <f>AL4</f>
        <v>0.155</v>
      </c>
      <c r="R95" s="452" t="s">
        <v>64</v>
      </c>
      <c r="S95" s="451">
        <f>Q95</f>
        <v>0.155</v>
      </c>
      <c r="T95" s="452" t="s">
        <v>64</v>
      </c>
      <c r="U95" s="246"/>
      <c r="W95" s="30"/>
      <c r="X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  <c r="AT95" s="30"/>
      <c r="AU95" s="30"/>
      <c r="AV95" s="30"/>
      <c r="AW95" s="30"/>
      <c r="AX95" s="30"/>
      <c r="AY95" s="30"/>
      <c r="AZ95" s="30"/>
      <c r="BA95" s="30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  <c r="DB95" s="30"/>
      <c r="DC95" s="30"/>
      <c r="DD95" s="30"/>
      <c r="DE95" s="30"/>
      <c r="DF95" s="30"/>
      <c r="DG95" s="30"/>
      <c r="DH95" s="30"/>
      <c r="DI95" s="30"/>
      <c r="DJ95" s="30"/>
      <c r="DK95" s="30"/>
      <c r="DL95" s="30"/>
      <c r="DM95" s="30"/>
      <c r="DN95" s="30"/>
      <c r="DO95" s="30"/>
      <c r="DP95" s="30"/>
      <c r="DQ95" s="30"/>
      <c r="DR95" s="30"/>
      <c r="DS95" s="30"/>
      <c r="DT95" s="30"/>
      <c r="DU95" s="30"/>
      <c r="DV95" s="30"/>
      <c r="DW95" s="30"/>
      <c r="DX95" s="3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</row>
    <row r="96" spans="1:144" thickBot="1" x14ac:dyDescent="0.4">
      <c r="A96" s="246"/>
      <c r="B96" s="260" t="s">
        <v>158</v>
      </c>
      <c r="C96" s="256">
        <v>1.8</v>
      </c>
      <c r="D96" s="257" t="s">
        <v>131</v>
      </c>
      <c r="E96" s="246"/>
      <c r="F96" s="255" t="s">
        <v>183</v>
      </c>
      <c r="G96" s="256">
        <f>D102*C104/C110</f>
        <v>0.64971186419490734</v>
      </c>
      <c r="H96" s="257" t="s">
        <v>181</v>
      </c>
      <c r="I96" s="246"/>
      <c r="J96" s="258" t="s">
        <v>195</v>
      </c>
      <c r="K96" s="256">
        <f>(C110*G107)/1000</f>
        <v>51.67957410048944</v>
      </c>
      <c r="L96" s="259" t="s">
        <v>33</v>
      </c>
      <c r="M96" s="246"/>
      <c r="N96" s="584" t="s">
        <v>386</v>
      </c>
      <c r="O96" s="585"/>
      <c r="P96" s="451" t="s">
        <v>390</v>
      </c>
      <c r="Q96" s="470">
        <f>AP5</f>
        <v>0.5</v>
      </c>
      <c r="R96" s="475" t="s">
        <v>64</v>
      </c>
      <c r="S96" s="5">
        <v>0.5</v>
      </c>
      <c r="T96" s="5" t="s">
        <v>64</v>
      </c>
      <c r="U96" s="246"/>
      <c r="W96" s="30"/>
      <c r="X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  <c r="AT96" s="30"/>
      <c r="AU96" s="30"/>
      <c r="AV96" s="30"/>
      <c r="AW96" s="30"/>
      <c r="AX96" s="30"/>
      <c r="AY96" s="30"/>
      <c r="AZ96" s="30"/>
      <c r="BA96" s="30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  <c r="DB96" s="30"/>
      <c r="DC96" s="30"/>
      <c r="DD96" s="30"/>
      <c r="DE96" s="30"/>
      <c r="DF96" s="30"/>
      <c r="DG96" s="30"/>
      <c r="DH96" s="30"/>
      <c r="DI96" s="30"/>
      <c r="DJ96" s="30"/>
      <c r="DK96" s="30"/>
      <c r="DL96" s="30"/>
      <c r="DM96" s="30"/>
      <c r="DN96" s="30"/>
      <c r="DO96" s="30"/>
      <c r="DP96" s="30"/>
      <c r="DQ96" s="30"/>
      <c r="DR96" s="30"/>
      <c r="DS96" s="30"/>
      <c r="DT96" s="30"/>
      <c r="DU96" s="30"/>
      <c r="DV96" s="30"/>
      <c r="DW96" s="30"/>
      <c r="DX96" s="30"/>
      <c r="DY96" s="30"/>
      <c r="DZ96" s="30"/>
      <c r="EA96" s="30"/>
      <c r="EB96" s="30"/>
      <c r="EC96" s="30"/>
      <c r="ED96" s="30"/>
      <c r="EE96" s="30"/>
      <c r="EF96" s="30"/>
      <c r="EG96" s="30"/>
      <c r="EH96" s="30"/>
      <c r="EI96" s="30"/>
      <c r="EJ96" s="30"/>
      <c r="EK96" s="30"/>
      <c r="EL96" s="30"/>
      <c r="EM96" s="30"/>
      <c r="EN96" s="30"/>
    </row>
    <row r="97" spans="1:144" thickBot="1" x14ac:dyDescent="0.4">
      <c r="A97" s="246"/>
      <c r="B97" s="260" t="s">
        <v>159</v>
      </c>
      <c r="C97" s="256">
        <v>1E-3</v>
      </c>
      <c r="D97" s="259" t="s">
        <v>364</v>
      </c>
      <c r="E97" s="246"/>
      <c r="F97" s="255" t="s">
        <v>184</v>
      </c>
      <c r="G97" s="256">
        <f>C95*C93/C109</f>
        <v>1.1240458100012878</v>
      </c>
      <c r="H97" s="257" t="s">
        <v>181</v>
      </c>
      <c r="I97" s="246"/>
      <c r="J97" s="258" t="s">
        <v>196</v>
      </c>
      <c r="K97" s="256">
        <f>(C111*G108)/1000</f>
        <v>371.80060395388784</v>
      </c>
      <c r="L97" s="259" t="s">
        <v>33</v>
      </c>
      <c r="M97" s="246"/>
      <c r="N97" s="584" t="s">
        <v>392</v>
      </c>
      <c r="O97" s="585"/>
      <c r="P97" s="451" t="s">
        <v>393</v>
      </c>
      <c r="Q97" s="470">
        <f>AP6</f>
        <v>3</v>
      </c>
      <c r="R97" s="475" t="s">
        <v>394</v>
      </c>
      <c r="S97" s="5">
        <v>6</v>
      </c>
      <c r="T97" s="5" t="s">
        <v>46</v>
      </c>
      <c r="U97" s="246"/>
      <c r="W97" s="30"/>
      <c r="X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  <c r="AT97" s="30"/>
      <c r="AU97" s="30"/>
      <c r="AV97" s="30"/>
      <c r="AW97" s="30"/>
      <c r="AX97" s="30"/>
      <c r="AY97" s="30"/>
      <c r="AZ97" s="30"/>
      <c r="BA97" s="30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  <c r="DB97" s="30"/>
      <c r="DC97" s="30"/>
      <c r="DD97" s="30"/>
      <c r="DE97" s="30"/>
      <c r="DF97" s="30"/>
      <c r="DG97" s="30"/>
      <c r="DH97" s="30"/>
      <c r="DI97" s="30"/>
      <c r="DJ97" s="30"/>
      <c r="DK97" s="30"/>
      <c r="DL97" s="30"/>
      <c r="DM97" s="30"/>
      <c r="DN97" s="30"/>
      <c r="DO97" s="30"/>
      <c r="DP97" s="30"/>
      <c r="DQ97" s="30"/>
      <c r="DR97" s="30"/>
      <c r="DS97" s="30"/>
      <c r="DT97" s="30"/>
      <c r="DU97" s="30"/>
      <c r="DV97" s="30"/>
      <c r="DW97" s="30"/>
      <c r="DX97" s="30"/>
      <c r="DY97" s="30"/>
      <c r="DZ97" s="30"/>
      <c r="EA97" s="30"/>
      <c r="EB97" s="30"/>
      <c r="EC97" s="30"/>
      <c r="ED97" s="30"/>
      <c r="EE97" s="30"/>
      <c r="EF97" s="30"/>
      <c r="EG97" s="30"/>
      <c r="EH97" s="30"/>
      <c r="EI97" s="30"/>
      <c r="EJ97" s="30"/>
      <c r="EK97" s="30"/>
      <c r="EL97" s="30"/>
      <c r="EM97" s="30"/>
      <c r="EN97" s="30"/>
    </row>
    <row r="98" spans="1:144" thickBot="1" x14ac:dyDescent="0.4">
      <c r="A98" s="246"/>
      <c r="B98" s="262" t="s">
        <v>160</v>
      </c>
      <c r="C98" s="163">
        <f>D12+273.15</f>
        <v>366.54999999999995</v>
      </c>
      <c r="D98" s="164" t="s">
        <v>161</v>
      </c>
      <c r="E98" s="246"/>
      <c r="F98" s="255" t="s">
        <v>185</v>
      </c>
      <c r="G98" s="256">
        <f>(G94+G95/2)-G96</f>
        <v>1.9610285583454556</v>
      </c>
      <c r="H98" s="257" t="s">
        <v>181</v>
      </c>
      <c r="I98" s="246"/>
      <c r="J98" s="258" t="s">
        <v>300</v>
      </c>
      <c r="K98" s="256">
        <f>SUM(K93:K97)</f>
        <v>551.55511470599299</v>
      </c>
      <c r="L98" s="259" t="str">
        <f>L97</f>
        <v>kg</v>
      </c>
      <c r="M98" s="246"/>
      <c r="N98" s="584" t="s">
        <v>396</v>
      </c>
      <c r="O98" s="585"/>
      <c r="P98" s="451" t="s">
        <v>397</v>
      </c>
      <c r="Q98" s="470">
        <f>AP8</f>
        <v>1</v>
      </c>
      <c r="R98" s="475" t="s">
        <v>394</v>
      </c>
      <c r="S98" s="5">
        <v>1</v>
      </c>
      <c r="T98" s="5" t="s">
        <v>46</v>
      </c>
      <c r="U98" s="246"/>
      <c r="W98" s="30"/>
      <c r="X98" s="30"/>
      <c r="Y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  <c r="AT98" s="30"/>
      <c r="AU98" s="30"/>
      <c r="AV98" s="30"/>
      <c r="AW98" s="30"/>
      <c r="AX98" s="30"/>
      <c r="AY98" s="30"/>
      <c r="AZ98" s="30"/>
      <c r="BA98" s="30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  <c r="DB98" s="30"/>
      <c r="DC98" s="30"/>
      <c r="DD98" s="30"/>
      <c r="DE98" s="30"/>
      <c r="DF98" s="30"/>
      <c r="DG98" s="30"/>
      <c r="DH98" s="30"/>
      <c r="DI98" s="30"/>
      <c r="DJ98" s="30"/>
      <c r="DK98" s="30"/>
      <c r="DL98" s="30"/>
      <c r="DM98" s="30"/>
      <c r="DN98" s="30"/>
      <c r="DO98" s="30"/>
      <c r="DP98" s="30"/>
      <c r="DQ98" s="30"/>
      <c r="DR98" s="30"/>
      <c r="DS98" s="30"/>
      <c r="DT98" s="30"/>
      <c r="DU98" s="30"/>
      <c r="DV98" s="30"/>
      <c r="DW98" s="30"/>
      <c r="DX98" s="3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</row>
    <row r="99" spans="1:144" thickBot="1" x14ac:dyDescent="0.4">
      <c r="A99" s="246"/>
      <c r="B99" s="610" t="s">
        <v>162</v>
      </c>
      <c r="C99" s="611"/>
      <c r="D99" s="612"/>
      <c r="E99" s="246"/>
      <c r="F99" s="255" t="s">
        <v>186</v>
      </c>
      <c r="G99" s="256">
        <f>G98*C96</f>
        <v>3.5298514050218204</v>
      </c>
      <c r="H99" s="257" t="s">
        <v>181</v>
      </c>
      <c r="I99" s="246"/>
      <c r="J99" s="258" t="s">
        <v>301</v>
      </c>
      <c r="K99" s="271">
        <f>K98/3600</f>
        <v>0.15320975408499804</v>
      </c>
      <c r="L99" s="259" t="s">
        <v>302</v>
      </c>
      <c r="M99" s="266"/>
      <c r="N99" s="584" t="s">
        <v>399</v>
      </c>
      <c r="O99" s="585"/>
      <c r="P99" s="451" t="s">
        <v>400</v>
      </c>
      <c r="Q99" s="470">
        <f>AP10</f>
        <v>0.46499999999999997</v>
      </c>
      <c r="R99" s="452" t="s">
        <v>30</v>
      </c>
      <c r="S99" s="451">
        <f>S97*S95</f>
        <v>0.92999999999999994</v>
      </c>
      <c r="T99" s="452" t="s">
        <v>30</v>
      </c>
      <c r="U99" s="246"/>
      <c r="W99" s="30"/>
      <c r="X99" s="30"/>
      <c r="Y99" s="30">
        <v>1</v>
      </c>
      <c r="Z99">
        <v>2</v>
      </c>
      <c r="AA99">
        <v>3</v>
      </c>
      <c r="AB99" s="37">
        <v>4</v>
      </c>
      <c r="AC99" s="37">
        <v>5</v>
      </c>
      <c r="AD99" s="30" t="s">
        <v>467</v>
      </c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  <c r="AT99" s="30"/>
      <c r="AU99" s="30"/>
      <c r="AV99" s="30"/>
      <c r="AW99" s="30"/>
      <c r="AX99" s="30"/>
      <c r="AY99" s="30"/>
      <c r="AZ99" s="30"/>
      <c r="BA99" s="30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  <c r="DB99" s="30"/>
      <c r="DC99" s="30"/>
      <c r="DD99" s="30"/>
      <c r="DE99" s="30"/>
      <c r="DF99" s="30"/>
      <c r="DG99" s="30"/>
      <c r="DH99" s="30"/>
      <c r="DI99" s="30"/>
      <c r="DJ99" s="30"/>
      <c r="DK99" s="30"/>
      <c r="DL99" s="30"/>
      <c r="DM99" s="30"/>
      <c r="DN99" s="30"/>
      <c r="DO99" s="30"/>
      <c r="DP99" s="30"/>
      <c r="DQ99" s="30"/>
      <c r="DR99" s="30"/>
      <c r="DS99" s="30"/>
      <c r="DT99" s="30"/>
      <c r="DU99" s="30"/>
      <c r="DV99" s="30"/>
      <c r="DW99" s="30"/>
      <c r="DX99" s="3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</row>
    <row r="100" spans="1:144" thickBot="1" x14ac:dyDescent="0.4">
      <c r="A100" s="246"/>
      <c r="B100" s="260" t="s">
        <v>163</v>
      </c>
      <c r="C100" s="256" t="s">
        <v>164</v>
      </c>
      <c r="D100" s="257">
        <v>0.47</v>
      </c>
      <c r="E100" s="246"/>
      <c r="F100" s="255" t="s">
        <v>187</v>
      </c>
      <c r="G100" s="256">
        <f>G99*3.76</f>
        <v>13.272241282882044</v>
      </c>
      <c r="H100" s="257" t="s">
        <v>181</v>
      </c>
      <c r="I100" s="246"/>
      <c r="J100" s="390" t="s">
        <v>370</v>
      </c>
      <c r="K100" s="55">
        <f>+(K99/Densidad_kgm3($K$102,$K$101,$K$105,$K$104,$K$103,E128*101.325,K109))/0.93</f>
        <v>0.82176322859947748</v>
      </c>
      <c r="L100" s="391" t="s">
        <v>222</v>
      </c>
      <c r="M100" s="266"/>
      <c r="N100" s="588" t="s">
        <v>383</v>
      </c>
      <c r="O100" s="589"/>
      <c r="P100" s="458" t="s">
        <v>401</v>
      </c>
      <c r="Q100" s="459">
        <f>AP11</f>
        <v>0.23249999999999998</v>
      </c>
      <c r="R100" s="445" t="s">
        <v>30</v>
      </c>
      <c r="S100" s="459">
        <f>S95*S96*S97*S98</f>
        <v>0.46499999999999997</v>
      </c>
      <c r="T100" s="445" t="s">
        <v>30</v>
      </c>
      <c r="U100" s="246"/>
      <c r="W100" s="30"/>
      <c r="X100" s="30"/>
      <c r="Y100" s="482">
        <v>1.871</v>
      </c>
      <c r="Z100" s="481">
        <v>2.4479999999999995</v>
      </c>
      <c r="AA100" s="482">
        <v>4.7549999999999999</v>
      </c>
      <c r="AB100" s="482">
        <v>2.8879999999999999</v>
      </c>
      <c r="AC100" s="482">
        <v>1.8679999999999999</v>
      </c>
      <c r="AD100" s="482">
        <v>33.152999999999999</v>
      </c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  <c r="AT100" s="30"/>
      <c r="AU100" s="30"/>
      <c r="AV100" s="30"/>
      <c r="AW100" s="30"/>
      <c r="AX100" s="30"/>
      <c r="AY100" s="30"/>
      <c r="AZ100" s="30"/>
      <c r="BA100" s="30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  <c r="DB100" s="30"/>
      <c r="DC100" s="30"/>
      <c r="DD100" s="30"/>
      <c r="DE100" s="30"/>
      <c r="DF100" s="30"/>
      <c r="DG100" s="30"/>
      <c r="DH100" s="30"/>
      <c r="DI100" s="30"/>
      <c r="DJ100" s="30"/>
      <c r="DK100" s="30"/>
      <c r="DL100" s="30"/>
      <c r="DM100" s="30"/>
      <c r="DN100" s="30"/>
      <c r="DO100" s="30"/>
      <c r="DP100" s="30"/>
      <c r="DQ100" s="30"/>
      <c r="DR100" s="30"/>
      <c r="DS100" s="30"/>
      <c r="DT100" s="30"/>
      <c r="DU100" s="30"/>
      <c r="DV100" s="30"/>
      <c r="DW100" s="30"/>
      <c r="DX100" s="30"/>
      <c r="DY100" s="30"/>
      <c r="DZ100" s="30"/>
      <c r="EA100" s="30"/>
      <c r="EB100" s="30"/>
      <c r="EC100" s="30"/>
      <c r="ED100" s="30"/>
      <c r="EE100" s="30"/>
      <c r="EF100" s="30"/>
      <c r="EG100" s="30"/>
      <c r="EH100" s="30"/>
      <c r="EI100" s="30"/>
      <c r="EJ100" s="30"/>
      <c r="EK100" s="30"/>
      <c r="EL100" s="30"/>
      <c r="EM100" s="30"/>
      <c r="EN100" s="30"/>
    </row>
    <row r="101" spans="1:144" thickBot="1" x14ac:dyDescent="0.4">
      <c r="A101" s="246"/>
      <c r="B101" s="260" t="s">
        <v>165</v>
      </c>
      <c r="C101" s="256" t="s">
        <v>166</v>
      </c>
      <c r="D101" s="257">
        <v>6.5000000000000002E-2</v>
      </c>
      <c r="E101" s="246"/>
      <c r="F101" s="268" t="s">
        <v>188</v>
      </c>
      <c r="G101" s="269">
        <f>(G100*C111+G99*C110)*C97/C109</f>
        <v>2.6907803436466159E-2</v>
      </c>
      <c r="H101" s="270" t="s">
        <v>181</v>
      </c>
      <c r="I101" s="246"/>
      <c r="J101" s="388" t="s">
        <v>190</v>
      </c>
      <c r="K101" s="389">
        <f>+G103/$G$109</f>
        <v>9.049252680038955E-2</v>
      </c>
      <c r="L101" s="392" t="s">
        <v>303</v>
      </c>
      <c r="M101" s="266"/>
      <c r="N101" s="586" t="s">
        <v>414</v>
      </c>
      <c r="O101" s="587"/>
      <c r="P101" s="660"/>
      <c r="Q101" s="586" t="s">
        <v>412</v>
      </c>
      <c r="R101" s="660"/>
      <c r="S101" s="671" t="s">
        <v>413</v>
      </c>
      <c r="T101" s="673"/>
      <c r="U101" s="246"/>
      <c r="W101" s="30"/>
      <c r="X101" s="30"/>
      <c r="Y101" s="482">
        <v>5.6435315054444546E-2</v>
      </c>
      <c r="Z101" s="481">
        <v>7.3839471541036997E-2</v>
      </c>
      <c r="AA101" s="482">
        <v>0.14342593430458783</v>
      </c>
      <c r="AB101" s="482">
        <v>8.7111271981419477E-2</v>
      </c>
      <c r="AC101" s="482">
        <v>5.6344825505987392E-2</v>
      </c>
      <c r="AD101" s="482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  <c r="AT101" s="30"/>
      <c r="AU101" s="30"/>
      <c r="AV101" s="30"/>
      <c r="AW101" s="30"/>
      <c r="AX101" s="30"/>
      <c r="AY101" s="30"/>
      <c r="AZ101" s="30"/>
      <c r="BA101" s="30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  <c r="DB101" s="30"/>
      <c r="DC101" s="30"/>
      <c r="DD101" s="3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30"/>
      <c r="DT101" s="30"/>
      <c r="DU101" s="30"/>
      <c r="DV101" s="30"/>
      <c r="DW101" s="30"/>
      <c r="DX101" s="30"/>
      <c r="DY101" s="30"/>
      <c r="DZ101" s="30"/>
      <c r="EA101" s="30"/>
      <c r="EB101" s="30"/>
      <c r="EC101" s="30"/>
      <c r="ED101" s="30"/>
      <c r="EE101" s="30"/>
      <c r="EF101" s="30"/>
      <c r="EG101" s="30"/>
      <c r="EH101" s="30"/>
      <c r="EI101" s="30"/>
      <c r="EJ101" s="30"/>
      <c r="EK101" s="30"/>
      <c r="EL101" s="30"/>
      <c r="EM101" s="30"/>
      <c r="EN101" s="30"/>
    </row>
    <row r="102" spans="1:144" thickBot="1" x14ac:dyDescent="0.4">
      <c r="A102" s="246"/>
      <c r="B102" s="260" t="s">
        <v>167</v>
      </c>
      <c r="C102" s="256" t="s">
        <v>168</v>
      </c>
      <c r="D102" s="257">
        <v>0.44</v>
      </c>
      <c r="E102" s="246"/>
      <c r="F102" s="607" t="s">
        <v>189</v>
      </c>
      <c r="G102" s="608"/>
      <c r="H102" s="609"/>
      <c r="I102" s="246"/>
      <c r="J102" s="258" t="s">
        <v>192</v>
      </c>
      <c r="K102" s="271">
        <f>+G104/$G$109</f>
        <v>4.7627645684415682E-3</v>
      </c>
      <c r="L102" s="259" t="s">
        <v>303</v>
      </c>
      <c r="M102" s="266"/>
      <c r="N102" s="582" t="s">
        <v>402</v>
      </c>
      <c r="O102" s="583"/>
      <c r="P102" s="466" t="s">
        <v>403</v>
      </c>
      <c r="Q102" s="471">
        <f>R21/300</f>
        <v>0.73406249999999995</v>
      </c>
      <c r="R102" s="467" t="s">
        <v>404</v>
      </c>
      <c r="S102" s="451">
        <f>Q102</f>
        <v>0.73406249999999995</v>
      </c>
      <c r="T102" s="452" t="s">
        <v>404</v>
      </c>
      <c r="U102" s="246"/>
      <c r="W102" s="30"/>
      <c r="X102" s="30"/>
      <c r="Y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  <c r="AT102" s="30"/>
      <c r="AU102" s="30"/>
      <c r="AV102" s="30"/>
      <c r="AW102" s="30"/>
      <c r="AX102" s="30"/>
      <c r="AY102" s="30"/>
      <c r="AZ102" s="30"/>
      <c r="BA102" s="30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  <c r="DB102" s="30"/>
      <c r="DC102" s="30"/>
      <c r="DD102" s="30"/>
      <c r="DE102" s="30"/>
      <c r="DF102" s="30"/>
      <c r="DG102" s="30"/>
      <c r="DH102" s="30"/>
      <c r="DI102" s="30"/>
      <c r="DJ102" s="30"/>
      <c r="DK102" s="30"/>
      <c r="DL102" s="30"/>
      <c r="DM102" s="30"/>
      <c r="DN102" s="30"/>
      <c r="DO102" s="30"/>
      <c r="DP102" s="30"/>
      <c r="DQ102" s="30"/>
      <c r="DR102" s="30"/>
      <c r="DS102" s="30"/>
      <c r="DT102" s="30"/>
      <c r="DU102" s="30"/>
      <c r="DV102" s="30"/>
      <c r="DW102" s="30"/>
      <c r="DX102" s="3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</row>
    <row r="103" spans="1:144" thickBot="1" x14ac:dyDescent="0.4">
      <c r="A103" s="246"/>
      <c r="B103" s="260" t="s">
        <v>169</v>
      </c>
      <c r="C103" s="256" t="s">
        <v>170</v>
      </c>
      <c r="D103" s="257">
        <v>2.5000000000000001E-2</v>
      </c>
      <c r="E103" s="246"/>
      <c r="F103" s="538" t="s">
        <v>190</v>
      </c>
      <c r="G103" s="273">
        <f>G94*C94*1000</f>
        <v>1756.5275129676038</v>
      </c>
      <c r="H103" s="274" t="s">
        <v>191</v>
      </c>
      <c r="I103" s="246"/>
      <c r="J103" s="258" t="s">
        <v>194</v>
      </c>
      <c r="K103" s="271">
        <f>+G106/$G$109</f>
        <v>0.13778356111378387</v>
      </c>
      <c r="L103" s="259" t="s">
        <v>303</v>
      </c>
      <c r="M103" s="266"/>
      <c r="N103" s="584" t="s">
        <v>405</v>
      </c>
      <c r="O103" s="585"/>
      <c r="P103" s="451" t="s">
        <v>406</v>
      </c>
      <c r="Q103" s="470">
        <f>Q99+0.2</f>
        <v>0.66500000000000004</v>
      </c>
      <c r="R103" s="452" t="s">
        <v>64</v>
      </c>
      <c r="S103" s="468">
        <f>S99</f>
        <v>0.92999999999999994</v>
      </c>
      <c r="T103" s="452" t="s">
        <v>64</v>
      </c>
      <c r="U103" s="246"/>
      <c r="W103" s="30"/>
      <c r="X103" s="30"/>
      <c r="Y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  <c r="AT103" s="30"/>
      <c r="AU103" s="30"/>
      <c r="AV103" s="30"/>
      <c r="AW103" s="30"/>
      <c r="AX103" s="30"/>
      <c r="AY103" s="30"/>
      <c r="AZ103" s="30"/>
      <c r="BA103" s="30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  <c r="DB103" s="30"/>
      <c r="DC103" s="30"/>
      <c r="DD103" s="30"/>
      <c r="DE103" s="30"/>
      <c r="DF103" s="30"/>
      <c r="DG103" s="30"/>
      <c r="DH103" s="30"/>
      <c r="DI103" s="30"/>
      <c r="DJ103" s="30"/>
      <c r="DK103" s="30"/>
      <c r="DL103" s="30"/>
      <c r="DM103" s="30"/>
      <c r="DN103" s="30"/>
      <c r="DO103" s="30"/>
      <c r="DP103" s="30"/>
      <c r="DQ103" s="30"/>
      <c r="DR103" s="30"/>
      <c r="DS103" s="30"/>
      <c r="DT103" s="30"/>
      <c r="DU103" s="30"/>
      <c r="DV103" s="30"/>
      <c r="DW103" s="30"/>
      <c r="DX103" s="30"/>
      <c r="DY103" s="30"/>
      <c r="DZ103" s="30"/>
      <c r="EA103" s="30"/>
      <c r="EB103" s="30"/>
      <c r="EC103" s="30"/>
      <c r="ED103" s="30"/>
      <c r="EE103" s="30"/>
      <c r="EF103" s="30"/>
      <c r="EG103" s="30"/>
      <c r="EH103" s="30"/>
      <c r="EI103" s="30"/>
      <c r="EJ103" s="30"/>
      <c r="EK103" s="30"/>
      <c r="EL103" s="30"/>
      <c r="EM103" s="30"/>
      <c r="EN103" s="30"/>
    </row>
    <row r="104" spans="1:144" thickBot="1" x14ac:dyDescent="0.4">
      <c r="A104" s="246"/>
      <c r="B104" s="262" t="s">
        <v>171</v>
      </c>
      <c r="C104" s="163">
        <f>C93*(1-C95)</f>
        <v>47.25</v>
      </c>
      <c r="D104" s="164" t="s">
        <v>33</v>
      </c>
      <c r="E104" s="246"/>
      <c r="F104" s="255" t="s">
        <v>192</v>
      </c>
      <c r="G104" s="256">
        <f>(G94*1000-G103)</f>
        <v>92.448816471979399</v>
      </c>
      <c r="H104" s="257" t="s">
        <v>191</v>
      </c>
      <c r="I104" s="246"/>
      <c r="J104" s="258" t="s">
        <v>195</v>
      </c>
      <c r="K104" s="271">
        <f>+G107/$G$109</f>
        <v>8.3203767615422072E-2</v>
      </c>
      <c r="L104" s="259" t="s">
        <v>303</v>
      </c>
      <c r="M104" s="266"/>
      <c r="N104" s="584" t="s">
        <v>407</v>
      </c>
      <c r="O104" s="585"/>
      <c r="P104" s="451" t="s">
        <v>408</v>
      </c>
      <c r="Q104" s="470">
        <f>Q96+0.1</f>
        <v>0.6</v>
      </c>
      <c r="R104" s="452" t="s">
        <v>64</v>
      </c>
      <c r="S104" s="468">
        <f>S96+0.1</f>
        <v>0.6</v>
      </c>
      <c r="T104" s="452" t="s">
        <v>64</v>
      </c>
      <c r="U104" s="246"/>
      <c r="W104" s="30"/>
      <c r="X104" s="30"/>
      <c r="Y104" s="75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  <c r="AT104" s="30"/>
      <c r="AU104" s="30"/>
      <c r="AV104" s="30"/>
      <c r="AW104" s="30"/>
      <c r="AX104" s="30"/>
      <c r="AY104" s="30"/>
      <c r="AZ104" s="30"/>
      <c r="BA104" s="30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  <c r="DB104" s="30"/>
      <c r="DC104" s="30"/>
      <c r="DD104" s="30"/>
      <c r="DE104" s="30"/>
      <c r="DF104" s="30"/>
      <c r="DG104" s="30"/>
      <c r="DH104" s="30"/>
      <c r="DI104" s="30"/>
      <c r="DJ104" s="30"/>
      <c r="DK104" s="30"/>
      <c r="DL104" s="30"/>
      <c r="DM104" s="30"/>
      <c r="DN104" s="30"/>
      <c r="DO104" s="30"/>
      <c r="DP104" s="30"/>
      <c r="DQ104" s="30"/>
      <c r="DR104" s="30"/>
      <c r="DS104" s="30"/>
      <c r="DT104" s="30"/>
      <c r="DU104" s="30"/>
      <c r="DV104" s="30"/>
      <c r="DW104" s="30"/>
      <c r="DX104" s="30"/>
      <c r="DY104" s="30"/>
      <c r="DZ104" s="30"/>
      <c r="EA104" s="30"/>
      <c r="EB104" s="30"/>
      <c r="EC104" s="30"/>
      <c r="ED104" s="30"/>
      <c r="EE104" s="30"/>
      <c r="EF104" s="30"/>
      <c r="EG104" s="30"/>
      <c r="EH104" s="30"/>
      <c r="EI104" s="30"/>
      <c r="EJ104" s="30"/>
      <c r="EK104" s="30"/>
      <c r="EL104" s="30"/>
      <c r="EM104" s="30"/>
      <c r="EN104" s="30"/>
    </row>
    <row r="105" spans="1:144" thickBot="1" x14ac:dyDescent="0.4">
      <c r="A105" s="246"/>
      <c r="B105" s="272" t="s">
        <v>164</v>
      </c>
      <c r="C105" s="273">
        <v>12.0107</v>
      </c>
      <c r="D105" s="274" t="s">
        <v>172</v>
      </c>
      <c r="E105" s="246"/>
      <c r="F105" s="255" t="s">
        <v>193</v>
      </c>
      <c r="G105" s="256">
        <f>G95*1000</f>
        <v>1523.5281862015595</v>
      </c>
      <c r="H105" s="257" t="s">
        <v>191</v>
      </c>
      <c r="I105" s="246"/>
      <c r="J105" s="258" t="s">
        <v>196</v>
      </c>
      <c r="K105" s="271">
        <f>+G108/$G$109</f>
        <v>0.68375737990196284</v>
      </c>
      <c r="L105" s="259" t="s">
        <v>303</v>
      </c>
      <c r="M105" s="266"/>
      <c r="N105" s="586" t="s">
        <v>409</v>
      </c>
      <c r="O105" s="587"/>
      <c r="P105" s="445" t="s">
        <v>410</v>
      </c>
      <c r="Q105" s="444">
        <f>Q102/(Q103*Q104)</f>
        <v>1.8397556390977441</v>
      </c>
      <c r="R105" s="445" t="s">
        <v>64</v>
      </c>
      <c r="S105" s="444">
        <f>S102/(S103*S104)</f>
        <v>1.3155241935483872</v>
      </c>
      <c r="T105" s="445" t="s">
        <v>64</v>
      </c>
      <c r="U105" s="246"/>
      <c r="W105" s="30"/>
      <c r="X105" s="30"/>
      <c r="Y105" s="75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  <c r="AT105" s="30"/>
      <c r="AU105" s="30"/>
      <c r="AV105" s="30"/>
      <c r="AW105" s="30"/>
      <c r="AX105" s="30"/>
      <c r="AY105" s="30"/>
      <c r="AZ105" s="30"/>
      <c r="BA105" s="30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  <c r="DB105" s="30"/>
      <c r="DC105" s="30"/>
      <c r="DD105" s="30"/>
      <c r="DE105" s="30"/>
      <c r="DF105" s="30"/>
      <c r="DG105" s="30"/>
      <c r="DH105" s="30"/>
      <c r="DI105" s="30"/>
      <c r="DJ105" s="30"/>
      <c r="DK105" s="30"/>
      <c r="DL105" s="30"/>
      <c r="DM105" s="30"/>
      <c r="DN105" s="30"/>
      <c r="DO105" s="30"/>
      <c r="DP105" s="30"/>
      <c r="DQ105" s="30"/>
      <c r="DR105" s="30"/>
      <c r="DS105" s="30"/>
      <c r="DT105" s="30"/>
      <c r="DU105" s="30"/>
      <c r="DV105" s="30"/>
      <c r="DW105" s="30"/>
      <c r="DX105" s="30"/>
      <c r="DY105" s="30"/>
      <c r="DZ105" s="30"/>
      <c r="EA105" s="30"/>
      <c r="EB105" s="30"/>
      <c r="EC105" s="30"/>
      <c r="ED105" s="30"/>
      <c r="EE105" s="30"/>
      <c r="EF105" s="30"/>
      <c r="EG105" s="30"/>
      <c r="EH105" s="30"/>
      <c r="EI105" s="30"/>
      <c r="EJ105" s="30"/>
      <c r="EK105" s="30"/>
      <c r="EL105" s="30"/>
      <c r="EM105" s="30"/>
      <c r="EN105" s="30"/>
    </row>
    <row r="106" spans="1:144" thickBot="1" x14ac:dyDescent="0.4">
      <c r="A106" s="246"/>
      <c r="B106" s="260" t="s">
        <v>173</v>
      </c>
      <c r="C106" s="256">
        <f>1.00794*2</f>
        <v>2.0158800000000001</v>
      </c>
      <c r="D106" s="257" t="s">
        <v>172</v>
      </c>
      <c r="E106" s="246"/>
      <c r="F106" s="255" t="s">
        <v>194</v>
      </c>
      <c r="G106" s="256">
        <f>G105+(G101+G97)*1000</f>
        <v>2674.4817996393135</v>
      </c>
      <c r="H106" s="257" t="s">
        <v>191</v>
      </c>
      <c r="I106" s="246"/>
      <c r="J106" s="263" t="s">
        <v>300</v>
      </c>
      <c r="K106" s="264">
        <f>+SUM(K101:K105)</f>
        <v>0.99999999999999989</v>
      </c>
      <c r="L106" s="265" t="s">
        <v>303</v>
      </c>
      <c r="M106" s="266"/>
      <c r="N106" s="266"/>
      <c r="O106" s="246"/>
      <c r="P106" s="246"/>
      <c r="Q106" s="246"/>
      <c r="R106" s="246"/>
      <c r="S106" s="246"/>
      <c r="T106" s="246"/>
      <c r="U106" s="246"/>
      <c r="W106" s="30"/>
      <c r="X106" s="30"/>
      <c r="Y106" s="75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  <c r="AT106" s="30"/>
      <c r="AU106" s="30"/>
      <c r="AV106" s="30"/>
      <c r="AW106" s="30"/>
      <c r="AX106" s="30"/>
      <c r="AY106" s="30"/>
      <c r="AZ106" s="30"/>
      <c r="BA106" s="30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  <c r="DB106" s="30"/>
      <c r="DC106" s="30"/>
      <c r="DD106" s="30"/>
      <c r="DE106" s="30"/>
      <c r="DF106" s="30"/>
      <c r="DG106" s="30"/>
      <c r="DH106" s="30"/>
      <c r="DI106" s="30"/>
      <c r="DJ106" s="30"/>
      <c r="DK106" s="30"/>
      <c r="DL106" s="30"/>
      <c r="DM106" s="30"/>
      <c r="DN106" s="30"/>
      <c r="DO106" s="30"/>
      <c r="DP106" s="30"/>
      <c r="DQ106" s="30"/>
      <c r="DR106" s="30"/>
      <c r="DS106" s="30"/>
      <c r="DT106" s="30"/>
      <c r="DU106" s="30"/>
      <c r="DV106" s="30"/>
      <c r="DW106" s="30"/>
      <c r="DX106" s="30"/>
      <c r="DY106" s="30"/>
      <c r="DZ106" s="30"/>
      <c r="EA106" s="30"/>
      <c r="EB106" s="30"/>
      <c r="EC106" s="30"/>
      <c r="ED106" s="30"/>
      <c r="EE106" s="30"/>
      <c r="EF106" s="30"/>
      <c r="EG106" s="30"/>
      <c r="EH106" s="30"/>
      <c r="EI106" s="30"/>
      <c r="EJ106" s="30"/>
      <c r="EK106" s="30"/>
      <c r="EL106" s="30"/>
      <c r="EM106" s="30"/>
      <c r="EN106" s="30"/>
    </row>
    <row r="107" spans="1:144" thickBot="1" x14ac:dyDescent="0.4">
      <c r="A107" s="246"/>
      <c r="B107" s="260" t="s">
        <v>174</v>
      </c>
      <c r="C107" s="256">
        <v>44.009500000000003</v>
      </c>
      <c r="D107" s="257" t="s">
        <v>172</v>
      </c>
      <c r="E107" s="246"/>
      <c r="F107" s="255" t="s">
        <v>195</v>
      </c>
      <c r="G107" s="256">
        <f>(G99-G98)*1000+G104/2</f>
        <v>1615.0472549123542</v>
      </c>
      <c r="H107" s="257" t="s">
        <v>191</v>
      </c>
      <c r="I107" s="246"/>
      <c r="J107" s="276"/>
      <c r="K107" s="277"/>
      <c r="L107" s="276"/>
      <c r="M107" s="266"/>
      <c r="N107" s="266"/>
      <c r="O107" s="590" t="s">
        <v>457</v>
      </c>
      <c r="P107" s="591"/>
      <c r="Q107" s="137">
        <f>2*(Q103*Q104+Q103*Q105+Q104*Q105)</f>
        <v>5.4525817669172927</v>
      </c>
      <c r="R107" s="137" t="s">
        <v>30</v>
      </c>
      <c r="S107" s="578" t="s">
        <v>458</v>
      </c>
      <c r="T107" s="246"/>
      <c r="U107" s="246"/>
      <c r="W107" s="30"/>
      <c r="X107" s="30"/>
      <c r="Y107" s="75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  <c r="AT107" s="30"/>
      <c r="AU107" s="30"/>
      <c r="AV107" s="30"/>
      <c r="AW107" s="30"/>
      <c r="AX107" s="30"/>
      <c r="AY107" s="30"/>
      <c r="AZ107" s="30"/>
      <c r="BA107" s="30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  <c r="DB107" s="30"/>
      <c r="DC107" s="30"/>
      <c r="DD107" s="30"/>
      <c r="DE107" s="30"/>
      <c r="DF107" s="30"/>
      <c r="DG107" s="30"/>
      <c r="DH107" s="30"/>
      <c r="DI107" s="30"/>
      <c r="DJ107" s="30"/>
      <c r="DK107" s="30"/>
      <c r="DL107" s="30"/>
      <c r="DM107" s="30"/>
      <c r="DN107" s="30"/>
      <c r="DO107" s="30"/>
      <c r="DP107" s="30"/>
      <c r="DQ107" s="30"/>
      <c r="DR107" s="30"/>
      <c r="DS107" s="30"/>
      <c r="DT107" s="30"/>
      <c r="DU107" s="30"/>
      <c r="DV107" s="30"/>
      <c r="DW107" s="30"/>
      <c r="DX107" s="3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</row>
    <row r="108" spans="1:144" thickBot="1" x14ac:dyDescent="0.4">
      <c r="A108" s="246"/>
      <c r="B108" s="260" t="s">
        <v>175</v>
      </c>
      <c r="C108" s="256">
        <v>28.010100000000001</v>
      </c>
      <c r="D108" s="257" t="s">
        <v>172</v>
      </c>
      <c r="E108" s="246"/>
      <c r="F108" s="255" t="s">
        <v>196</v>
      </c>
      <c r="G108" s="256">
        <f>G100*1000</f>
        <v>13272.241282882043</v>
      </c>
      <c r="H108" s="257" t="s">
        <v>191</v>
      </c>
      <c r="I108" s="246"/>
      <c r="J108" s="74"/>
      <c r="K108" s="30"/>
      <c r="L108" s="74"/>
      <c r="M108" s="266"/>
      <c r="N108" s="30"/>
      <c r="O108" s="592" t="s">
        <v>459</v>
      </c>
      <c r="P108" s="593"/>
      <c r="Q108" s="5" t="s">
        <v>458</v>
      </c>
      <c r="R108" s="537" t="s">
        <v>461</v>
      </c>
      <c r="S108" s="579" t="s">
        <v>462</v>
      </c>
      <c r="T108" s="246"/>
      <c r="U108" s="246"/>
      <c r="W108" s="30"/>
      <c r="X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  <c r="DB108" s="30"/>
      <c r="DC108" s="30"/>
      <c r="DD108" s="30"/>
      <c r="DE108" s="30"/>
      <c r="DF108" s="30"/>
      <c r="DG108" s="30"/>
      <c r="DH108" s="30"/>
      <c r="DI108" s="30"/>
      <c r="DJ108" s="30"/>
      <c r="DK108" s="30"/>
      <c r="DL108" s="30"/>
      <c r="DM108" s="30"/>
      <c r="DN108" s="30"/>
      <c r="DO108" s="30"/>
      <c r="DP108" s="30"/>
      <c r="DQ108" s="30"/>
      <c r="DR108" s="30"/>
      <c r="DS108" s="30"/>
      <c r="DT108" s="30"/>
      <c r="DU108" s="30"/>
      <c r="DV108" s="30"/>
      <c r="DW108" s="30"/>
      <c r="DX108" s="30"/>
      <c r="DY108" s="30"/>
      <c r="DZ108" s="30"/>
      <c r="EA108" s="30"/>
      <c r="EB108" s="30"/>
      <c r="EC108" s="30"/>
      <c r="ED108" s="30"/>
      <c r="EE108" s="30"/>
      <c r="EF108" s="30"/>
      <c r="EG108" s="30"/>
      <c r="EH108" s="30"/>
      <c r="EI108" s="30"/>
      <c r="EJ108" s="30"/>
      <c r="EK108" s="30"/>
      <c r="EL108" s="30"/>
      <c r="EM108" s="30"/>
      <c r="EN108" s="30"/>
    </row>
    <row r="109" spans="1:144" thickBot="1" x14ac:dyDescent="0.4">
      <c r="A109" s="246"/>
      <c r="B109" s="260" t="s">
        <v>176</v>
      </c>
      <c r="C109" s="256">
        <v>18.015280000000001</v>
      </c>
      <c r="D109" s="257" t="s">
        <v>172</v>
      </c>
      <c r="E109" s="246"/>
      <c r="F109" s="255" t="s">
        <v>198</v>
      </c>
      <c r="G109" s="256">
        <f>SUM(G103:G104,G106:G108)</f>
        <v>19410.746666873296</v>
      </c>
      <c r="H109" s="257" t="s">
        <v>191</v>
      </c>
      <c r="I109" s="246"/>
      <c r="J109" s="250" t="s">
        <v>308</v>
      </c>
      <c r="K109" s="278">
        <f>Tadiabatica(C96,C94,D14,C97)</f>
        <v>1160.3571357603516</v>
      </c>
      <c r="L109" s="279" t="s">
        <v>144</v>
      </c>
      <c r="M109" s="266"/>
      <c r="N109" s="30"/>
      <c r="O109" s="594" t="s">
        <v>218</v>
      </c>
      <c r="P109" s="595"/>
      <c r="Q109" s="144">
        <f>IF(Q108="Refractario",0.29,IF(Q108="Semirefractario",0.45,0.9))</f>
        <v>0.28999999999999998</v>
      </c>
      <c r="R109" s="144" t="s">
        <v>463</v>
      </c>
      <c r="S109" s="579" t="s">
        <v>460</v>
      </c>
      <c r="T109" s="246"/>
      <c r="U109" s="246"/>
      <c r="W109" s="30"/>
      <c r="X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  <c r="DB109" s="30"/>
      <c r="DC109" s="30"/>
      <c r="DD109" s="30"/>
      <c r="DE109" s="30"/>
      <c r="DF109" s="30"/>
      <c r="DG109" s="30"/>
      <c r="DH109" s="30"/>
      <c r="DI109" s="30"/>
      <c r="DJ109" s="30"/>
      <c r="DK109" s="30"/>
      <c r="DL109" s="30"/>
      <c r="DM109" s="30"/>
      <c r="DN109" s="30"/>
      <c r="DO109" s="30"/>
      <c r="DP109" s="30"/>
      <c r="DQ109" s="30"/>
      <c r="DR109" s="30"/>
      <c r="DS109" s="30"/>
      <c r="DT109" s="30"/>
      <c r="DU109" s="30"/>
      <c r="DV109" s="30"/>
      <c r="DW109" s="30"/>
      <c r="DX109" s="30"/>
      <c r="DY109" s="30"/>
      <c r="DZ109" s="30"/>
      <c r="EA109" s="30"/>
      <c r="EB109" s="30"/>
      <c r="EC109" s="30"/>
      <c r="ED109" s="30"/>
      <c r="EE109" s="30"/>
      <c r="EF109" s="30"/>
      <c r="EG109" s="30"/>
      <c r="EH109" s="30"/>
      <c r="EI109" s="30"/>
      <c r="EJ109" s="30"/>
      <c r="EK109" s="30"/>
      <c r="EL109" s="30"/>
      <c r="EM109" s="30"/>
      <c r="EN109" s="30"/>
    </row>
    <row r="110" spans="1:144" thickBot="1" x14ac:dyDescent="0.4">
      <c r="A110" s="246"/>
      <c r="B110" s="260" t="s">
        <v>177</v>
      </c>
      <c r="C110" s="256">
        <v>31.998799999999999</v>
      </c>
      <c r="D110" s="257" t="s">
        <v>172</v>
      </c>
      <c r="E110" s="246"/>
      <c r="F110" s="255" t="s">
        <v>197</v>
      </c>
      <c r="G110" s="256">
        <f>1180+273.15</f>
        <v>1453.15</v>
      </c>
      <c r="H110" s="257" t="s">
        <v>15</v>
      </c>
      <c r="I110" s="550"/>
      <c r="J110" s="280" t="s">
        <v>309</v>
      </c>
      <c r="K110" s="281">
        <f>+DH_KJKmol(25,K109,G104/1000,G103/1000,G108/1000,G107/1000,G106/1000)/3600</f>
        <v>212.70861218453578</v>
      </c>
      <c r="L110" s="275" t="s">
        <v>201</v>
      </c>
      <c r="M110" s="549"/>
      <c r="N110" s="30"/>
      <c r="O110" s="592" t="s">
        <v>464</v>
      </c>
      <c r="P110" s="593"/>
      <c r="Q110" s="5">
        <v>0.12</v>
      </c>
      <c r="R110" s="5" t="s">
        <v>64</v>
      </c>
      <c r="S110" s="580">
        <f>+K109</f>
        <v>1160.3571357603516</v>
      </c>
      <c r="T110" s="246"/>
      <c r="U110" s="246"/>
      <c r="W110" s="30"/>
      <c r="X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  <c r="DB110" s="30"/>
      <c r="DC110" s="30"/>
      <c r="DD110" s="30"/>
      <c r="DE110" s="30"/>
      <c r="DF110" s="30"/>
      <c r="DG110" s="30"/>
      <c r="DH110" s="30"/>
      <c r="DI110" s="30"/>
      <c r="DJ110" s="30"/>
      <c r="DK110" s="30"/>
      <c r="DL110" s="30"/>
      <c r="DM110" s="30"/>
      <c r="DN110" s="30"/>
      <c r="DO110" s="30"/>
      <c r="DP110" s="30"/>
      <c r="DQ110" s="30"/>
      <c r="DR110" s="30"/>
      <c r="DS110" s="30"/>
      <c r="DT110" s="30"/>
      <c r="DU110" s="30"/>
      <c r="DV110" s="30"/>
      <c r="DW110" s="30"/>
      <c r="DX110" s="3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</row>
    <row r="111" spans="1:144" thickBot="1" x14ac:dyDescent="0.4">
      <c r="A111" s="246"/>
      <c r="B111" s="262" t="s">
        <v>178</v>
      </c>
      <c r="C111" s="163">
        <v>28.013400000000001</v>
      </c>
      <c r="D111" s="164" t="s">
        <v>172</v>
      </c>
      <c r="E111" s="246"/>
      <c r="F111" s="255" t="s">
        <v>199</v>
      </c>
      <c r="G111" s="539">
        <f>(G103*C107)+(G104*C108)+(C109*G106)+(G107*C110)+(C111*G108)</f>
        <v>551555.11470599298</v>
      </c>
      <c r="H111" s="257" t="s">
        <v>200</v>
      </c>
      <c r="I111" s="550"/>
      <c r="J111" s="74"/>
      <c r="K111" s="30"/>
      <c r="L111" s="74"/>
      <c r="M111" s="549"/>
      <c r="N111" s="30"/>
      <c r="O111" s="596" t="s">
        <v>465</v>
      </c>
      <c r="P111" s="597"/>
      <c r="Q111" s="160">
        <f>Q109*Q107*(S111-D19)/Q110</f>
        <v>11934.841636157966</v>
      </c>
      <c r="R111" s="160" t="s">
        <v>466</v>
      </c>
      <c r="S111" s="581">
        <f>-264.44+1.03*S110</f>
        <v>930.72784983316205</v>
      </c>
      <c r="T111" s="246"/>
      <c r="U111" s="246"/>
      <c r="W111" s="30"/>
      <c r="X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  <c r="DB111" s="30"/>
      <c r="DC111" s="30"/>
      <c r="DD111" s="30"/>
      <c r="DE111" s="30"/>
      <c r="DF111" s="30"/>
      <c r="DG111" s="30"/>
      <c r="DH111" s="30"/>
      <c r="DI111" s="30"/>
      <c r="DJ111" s="30"/>
      <c r="DK111" s="30"/>
      <c r="DL111" s="30"/>
      <c r="DM111" s="30"/>
      <c r="DN111" s="30"/>
      <c r="DO111" s="30"/>
      <c r="DP111" s="30"/>
      <c r="DQ111" s="30"/>
      <c r="DR111" s="30"/>
      <c r="DS111" s="30"/>
      <c r="DT111" s="30"/>
      <c r="DU111" s="30"/>
      <c r="DV111" s="30"/>
      <c r="DW111" s="30"/>
      <c r="DX111" s="3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</row>
    <row r="112" spans="1:144" thickBot="1" x14ac:dyDescent="0.4">
      <c r="A112" s="246"/>
      <c r="B112" s="282"/>
      <c r="C112" s="283"/>
      <c r="D112" s="283"/>
      <c r="E112" s="246"/>
      <c r="F112" s="284" t="s">
        <v>202</v>
      </c>
      <c r="G112" s="264">
        <f>+R21</f>
        <v>220.21875</v>
      </c>
      <c r="H112" s="164" t="s">
        <v>201</v>
      </c>
      <c r="I112" s="550"/>
      <c r="J112" s="74"/>
      <c r="K112" s="30"/>
      <c r="L112" s="74"/>
      <c r="M112" s="549"/>
      <c r="N112" s="30"/>
      <c r="S112" s="246"/>
      <c r="T112" s="246"/>
      <c r="U112" s="246"/>
      <c r="W112" s="30"/>
      <c r="X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  <c r="BA112" s="30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  <c r="DB112" s="30"/>
      <c r="DC112" s="30"/>
      <c r="DD112" s="30"/>
      <c r="DE112" s="30"/>
      <c r="DF112" s="30"/>
      <c r="DG112" s="30"/>
      <c r="DH112" s="30"/>
      <c r="DI112" s="30"/>
      <c r="DJ112" s="30"/>
      <c r="DK112" s="30"/>
      <c r="DL112" s="30"/>
      <c r="DM112" s="30"/>
      <c r="DN112" s="30"/>
      <c r="DO112" s="30"/>
      <c r="DP112" s="30"/>
      <c r="DQ112" s="30"/>
      <c r="DR112" s="30"/>
      <c r="DS112" s="30"/>
      <c r="DT112" s="30"/>
      <c r="DU112" s="30"/>
      <c r="DV112" s="30"/>
      <c r="DW112" s="30"/>
      <c r="DX112" s="30"/>
      <c r="DY112" s="30"/>
      <c r="DZ112" s="30"/>
      <c r="EA112" s="30"/>
      <c r="EB112" s="30"/>
      <c r="EC112" s="30"/>
      <c r="ED112" s="30"/>
      <c r="EE112" s="30"/>
      <c r="EF112" s="30"/>
      <c r="EG112" s="30"/>
      <c r="EH112" s="30"/>
      <c r="EI112" s="30"/>
      <c r="EJ112" s="30"/>
      <c r="EK112" s="30"/>
      <c r="EL112" s="30"/>
      <c r="EM112" s="30"/>
      <c r="EN112" s="30"/>
    </row>
    <row r="113" spans="1:144" thickBot="1" x14ac:dyDescent="0.4">
      <c r="A113" s="246"/>
      <c r="B113" s="285" t="s">
        <v>283</v>
      </c>
      <c r="C113" s="286" t="s">
        <v>325</v>
      </c>
      <c r="D113" s="287">
        <f>+K110*0.141</f>
        <v>29.991914318019543</v>
      </c>
      <c r="E113" s="277"/>
      <c r="F113" s="276"/>
      <c r="G113" s="277"/>
      <c r="H113" s="277"/>
      <c r="I113" s="246"/>
      <c r="J113" s="267"/>
      <c r="K113" s="246"/>
      <c r="L113" s="267"/>
      <c r="M113" s="246"/>
      <c r="N113" s="246"/>
      <c r="O113" s="246"/>
      <c r="P113" s="246"/>
      <c r="Q113" s="246"/>
      <c r="R113" s="246"/>
      <c r="S113" s="246"/>
      <c r="T113" s="246"/>
      <c r="U113" s="246"/>
      <c r="W113" s="30"/>
      <c r="X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  <c r="DB113" s="30"/>
      <c r="DC113" s="30"/>
      <c r="DD113" s="3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  <c r="DV113" s="30"/>
      <c r="DW113" s="30"/>
      <c r="DX113" s="30"/>
      <c r="DY113" s="30"/>
      <c r="DZ113" s="30"/>
      <c r="EA113" s="30"/>
      <c r="EB113" s="30"/>
      <c r="EC113" s="30"/>
      <c r="ED113" s="30"/>
      <c r="EE113" s="30"/>
      <c r="EF113" s="30"/>
      <c r="EG113" s="30"/>
      <c r="EH113" s="30"/>
      <c r="EI113" s="30"/>
      <c r="EJ113" s="30"/>
      <c r="EK113" s="30"/>
      <c r="EL113" s="30"/>
      <c r="EM113" s="30"/>
      <c r="EN113" s="30"/>
    </row>
    <row r="114" spans="1:144" thickBot="1" x14ac:dyDescent="0.4">
      <c r="A114" s="246"/>
      <c r="B114" s="288" t="s">
        <v>317</v>
      </c>
      <c r="C114" s="289" t="s">
        <v>318</v>
      </c>
      <c r="D114" s="290" t="s">
        <v>201</v>
      </c>
      <c r="E114" s="70">
        <v>35.371218749745829</v>
      </c>
      <c r="F114" s="215">
        <v>14.935881550125281</v>
      </c>
      <c r="G114" s="70">
        <v>55.587057964461948</v>
      </c>
      <c r="H114" s="70">
        <v>27.569413333477179</v>
      </c>
      <c r="I114" s="353">
        <v>11.831390041326902</v>
      </c>
      <c r="J114" s="512">
        <v>11.995757248278483</v>
      </c>
      <c r="K114" s="512">
        <v>11.995757248278483</v>
      </c>
      <c r="L114" s="512">
        <v>11.995757248278483</v>
      </c>
      <c r="M114" s="512">
        <v>11.995757248278483</v>
      </c>
      <c r="N114" s="512">
        <v>11.995757248278483</v>
      </c>
      <c r="O114" s="512">
        <v>11.995757248278483</v>
      </c>
      <c r="P114" s="512">
        <v>11.995757248278483</v>
      </c>
      <c r="R114" s="622" t="s">
        <v>380</v>
      </c>
      <c r="S114" s="623"/>
      <c r="T114" s="420">
        <f>+(S118-S117)*1000000</f>
        <v>70014348.173124179</v>
      </c>
      <c r="U114" s="293"/>
      <c r="V114" s="415"/>
      <c r="W114" s="30"/>
      <c r="X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  <c r="AT114" s="30"/>
      <c r="AU114" s="30"/>
      <c r="AV114" s="30"/>
      <c r="AW114" s="30"/>
      <c r="AX114" s="30"/>
      <c r="AY114" s="30"/>
      <c r="AZ114" s="30"/>
      <c r="BA114" s="30"/>
      <c r="BB114" s="30"/>
      <c r="BC114" s="30"/>
      <c r="BD114" s="30"/>
      <c r="BE114" s="30"/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  <c r="DB114" s="30"/>
      <c r="DC114" s="30"/>
      <c r="DD114" s="30"/>
      <c r="DE114" s="30"/>
      <c r="DF114" s="30"/>
      <c r="DG114" s="30"/>
      <c r="DH114" s="30"/>
      <c r="DI114" s="30"/>
      <c r="DJ114" s="30"/>
      <c r="DK114" s="30"/>
      <c r="DL114" s="30"/>
      <c r="DM114" s="30"/>
      <c r="DN114" s="30"/>
      <c r="DO114" s="30"/>
      <c r="DP114" s="30"/>
      <c r="DQ114" s="30"/>
      <c r="DR114" s="30"/>
      <c r="DS114" s="30"/>
      <c r="DT114" s="30"/>
      <c r="DU114" s="30"/>
      <c r="DV114" s="30"/>
      <c r="DW114" s="30"/>
      <c r="DX114" s="3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</row>
    <row r="115" spans="1:144" thickBot="1" x14ac:dyDescent="0.4">
      <c r="A115" s="246"/>
      <c r="B115" s="292"/>
      <c r="C115" s="292"/>
      <c r="D115" s="416"/>
      <c r="E115" s="417">
        <v>1</v>
      </c>
      <c r="F115" s="417">
        <v>2</v>
      </c>
      <c r="G115" s="417">
        <v>3</v>
      </c>
      <c r="H115" s="414">
        <v>4</v>
      </c>
      <c r="I115" s="414">
        <v>5</v>
      </c>
      <c r="J115" s="513">
        <v>6</v>
      </c>
      <c r="K115" s="514">
        <v>7</v>
      </c>
      <c r="L115" s="515">
        <v>8</v>
      </c>
      <c r="M115" s="514">
        <v>9</v>
      </c>
      <c r="N115" s="514">
        <v>10</v>
      </c>
      <c r="O115" s="516">
        <v>11</v>
      </c>
      <c r="P115" s="517">
        <v>12</v>
      </c>
      <c r="R115" s="421" t="s">
        <v>372</v>
      </c>
      <c r="S115" s="422">
        <f>+I119</f>
        <v>279.39316082323688</v>
      </c>
      <c r="T115" s="423" t="s">
        <v>144</v>
      </c>
      <c r="U115" s="293"/>
      <c r="V115" s="415"/>
      <c r="W115" s="30"/>
      <c r="X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  <c r="AT115" s="30"/>
      <c r="AU115" s="30"/>
      <c r="AV115" s="30"/>
      <c r="AW115" s="30"/>
      <c r="AX115" s="30"/>
      <c r="AY115" s="30"/>
      <c r="AZ115" s="30"/>
      <c r="BA115" s="30"/>
      <c r="BB115" s="30"/>
      <c r="BC115" s="30"/>
      <c r="BD115" s="30"/>
      <c r="BE115" s="30"/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  <c r="DB115" s="30"/>
      <c r="DC115" s="30"/>
      <c r="DD115" s="30"/>
      <c r="DE115" s="30"/>
      <c r="DF115" s="30"/>
      <c r="DG115" s="30"/>
      <c r="DH115" s="30"/>
      <c r="DI115" s="30"/>
      <c r="DJ115" s="30"/>
      <c r="DK115" s="30"/>
      <c r="DL115" s="30"/>
      <c r="DM115" s="30"/>
      <c r="DN115" s="30"/>
      <c r="DO115" s="30"/>
      <c r="DP115" s="30"/>
      <c r="DQ115" s="30"/>
      <c r="DR115" s="30"/>
      <c r="DS115" s="30"/>
      <c r="DT115" s="30"/>
      <c r="DU115" s="30"/>
      <c r="DV115" s="30"/>
      <c r="DW115" s="30"/>
      <c r="DX115" s="30"/>
      <c r="DY115" s="30"/>
      <c r="DZ115" s="30"/>
      <c r="EA115" s="30"/>
      <c r="EB115" s="30"/>
      <c r="EC115" s="30"/>
      <c r="ED115" s="30"/>
      <c r="EE115" s="30"/>
      <c r="EF115" s="30"/>
      <c r="EG115" s="30"/>
      <c r="EH115" s="30"/>
      <c r="EI115" s="30"/>
      <c r="EJ115" s="30"/>
      <c r="EK115" s="30"/>
      <c r="EL115" s="30"/>
      <c r="EM115" s="30"/>
      <c r="EN115" s="30"/>
    </row>
    <row r="116" spans="1:144" thickBot="1" x14ac:dyDescent="0.4">
      <c r="A116" s="246"/>
      <c r="B116" s="247" t="s">
        <v>315</v>
      </c>
      <c r="C116" s="278" t="s">
        <v>319</v>
      </c>
      <c r="D116" s="294" t="s">
        <v>201</v>
      </c>
      <c r="E116" s="295">
        <f>+K110-(Q111/1000)</f>
        <v>200.77377054837783</v>
      </c>
      <c r="F116" s="216">
        <f>E117</f>
        <v>163.70994866500865</v>
      </c>
      <c r="G116" s="138">
        <f t="shared" ref="G116:I116" si="25">F117</f>
        <v>146.55948001113674</v>
      </c>
      <c r="H116" s="138">
        <f t="shared" si="25"/>
        <v>86.670803714029702</v>
      </c>
      <c r="I116" s="139">
        <f t="shared" si="25"/>
        <v>56.488756575152088</v>
      </c>
      <c r="J116" s="518">
        <f t="shared" ref="J116" si="26">I117</f>
        <v>42.967477354985846</v>
      </c>
      <c r="K116" s="518">
        <f t="shared" ref="K116" si="27">J117</f>
        <v>30.971720106707362</v>
      </c>
      <c r="L116" s="518">
        <f t="shared" ref="L116" si="28">K117</f>
        <v>18.975962858428879</v>
      </c>
      <c r="M116" s="518" t="e">
        <f t="shared" ref="M116" si="29">L117</f>
        <v>#REF!</v>
      </c>
      <c r="N116" s="518" t="e">
        <f t="shared" ref="N116" si="30">M117</f>
        <v>#REF!</v>
      </c>
      <c r="O116" s="518" t="e">
        <f t="shared" ref="O116" si="31">N117</f>
        <v>#REF!</v>
      </c>
      <c r="P116" s="518" t="e">
        <f t="shared" ref="P116" si="32">O117</f>
        <v>#REF!</v>
      </c>
      <c r="R116" s="421" t="s">
        <v>373</v>
      </c>
      <c r="S116" s="422">
        <v>279.86809472246074</v>
      </c>
      <c r="T116" s="423" t="s">
        <v>144</v>
      </c>
      <c r="U116" s="293"/>
      <c r="V116" s="415"/>
      <c r="W116" s="30"/>
      <c r="X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30"/>
      <c r="BB116" s="30"/>
      <c r="BC116" s="30"/>
      <c r="BD116" s="30"/>
      <c r="BE116" s="30"/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  <c r="DB116" s="30"/>
      <c r="DC116" s="30"/>
      <c r="DD116" s="30"/>
      <c r="DE116" s="30"/>
      <c r="DF116" s="30"/>
      <c r="DG116" s="30"/>
      <c r="DH116" s="30"/>
      <c r="DI116" s="30"/>
      <c r="DJ116" s="30"/>
      <c r="DK116" s="30"/>
      <c r="DL116" s="30"/>
      <c r="DM116" s="30"/>
      <c r="DN116" s="30"/>
      <c r="DO116" s="30"/>
      <c r="DP116" s="30"/>
      <c r="DQ116" s="30"/>
      <c r="DR116" s="30"/>
      <c r="DS116" s="30"/>
      <c r="DT116" s="30"/>
      <c r="DU116" s="30"/>
      <c r="DV116" s="30"/>
      <c r="DW116" s="30"/>
      <c r="DX116" s="30"/>
      <c r="DY116" s="30"/>
      <c r="DZ116" s="30"/>
      <c r="EA116" s="30"/>
      <c r="EB116" s="30"/>
      <c r="EC116" s="30"/>
      <c r="ED116" s="30"/>
      <c r="EE116" s="30"/>
      <c r="EF116" s="30"/>
      <c r="EG116" s="30"/>
      <c r="EH116" s="30"/>
      <c r="EI116" s="30"/>
      <c r="EJ116" s="30"/>
      <c r="EK116" s="30"/>
      <c r="EL116" s="30"/>
      <c r="EM116" s="30"/>
      <c r="EN116" s="30"/>
    </row>
    <row r="117" spans="1:144" thickBot="1" x14ac:dyDescent="0.4">
      <c r="A117" s="246"/>
      <c r="B117" s="260" t="s">
        <v>316</v>
      </c>
      <c r="C117" s="296" t="s">
        <v>320</v>
      </c>
      <c r="D117" s="297" t="s">
        <v>201</v>
      </c>
      <c r="E117" s="298">
        <f>E116-E122-E114</f>
        <v>163.70994866500865</v>
      </c>
      <c r="F117" s="299">
        <f>+E117-F122-F114</f>
        <v>146.55948001113674</v>
      </c>
      <c r="G117" s="298">
        <f>+F117-G122-G114</f>
        <v>86.670803714029702</v>
      </c>
      <c r="H117" s="298">
        <f>+G117-H122-H114</f>
        <v>56.488756575152088</v>
      </c>
      <c r="I117" s="300">
        <f>+H117-I122-I114</f>
        <v>42.967477354985846</v>
      </c>
      <c r="J117" s="519">
        <f t="shared" ref="J117:P117" si="33">+I117-J122-J114</f>
        <v>30.971720106707362</v>
      </c>
      <c r="K117" s="519">
        <f t="shared" si="33"/>
        <v>18.975962858428879</v>
      </c>
      <c r="L117" s="519" t="e">
        <f t="shared" si="33"/>
        <v>#REF!</v>
      </c>
      <c r="M117" s="519" t="e">
        <f t="shared" si="33"/>
        <v>#REF!</v>
      </c>
      <c r="N117" s="519" t="e">
        <f t="shared" si="33"/>
        <v>#REF!</v>
      </c>
      <c r="O117" s="519" t="e">
        <f t="shared" si="33"/>
        <v>#REF!</v>
      </c>
      <c r="P117" s="519" t="e">
        <f t="shared" si="33"/>
        <v>#REF!</v>
      </c>
      <c r="R117" s="424" t="s">
        <v>375</v>
      </c>
      <c r="S117" s="422">
        <f>+DH_KJKmol(S116,S115,G104/1000,G103/1000,G108/1000,G107/1000,G106/1000)/3600</f>
        <v>-8.2665960764636393E-2</v>
      </c>
      <c r="T117" s="425" t="s">
        <v>374</v>
      </c>
      <c r="U117" s="293"/>
      <c r="V117" s="415"/>
      <c r="W117" s="30"/>
      <c r="X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  <c r="AT117" s="30"/>
      <c r="AU117" s="30"/>
      <c r="AV117" s="30"/>
      <c r="AW117" s="30"/>
      <c r="AX117" s="30"/>
      <c r="AY117" s="30"/>
      <c r="AZ117" s="30"/>
      <c r="BA117" s="30"/>
      <c r="BB117" s="30"/>
      <c r="BC117" s="30"/>
      <c r="BD117" s="30"/>
      <c r="BE117" s="30"/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  <c r="DB117" s="30"/>
      <c r="DC117" s="30"/>
      <c r="DD117" s="30"/>
      <c r="DE117" s="30"/>
      <c r="DF117" s="30"/>
      <c r="DG117" s="30"/>
      <c r="DH117" s="30"/>
      <c r="DI117" s="30"/>
      <c r="DJ117" s="30"/>
      <c r="DK117" s="30"/>
      <c r="DL117" s="30"/>
      <c r="DM117" s="30"/>
      <c r="DN117" s="30"/>
      <c r="DO117" s="30"/>
      <c r="DP117" s="30"/>
      <c r="DQ117" s="30"/>
      <c r="DR117" s="30"/>
      <c r="DS117" s="30"/>
      <c r="DT117" s="30"/>
      <c r="DU117" s="30"/>
      <c r="DV117" s="30"/>
      <c r="DW117" s="30"/>
      <c r="DX117" s="30"/>
      <c r="DY117" s="30"/>
      <c r="DZ117" s="30"/>
      <c r="EA117" s="30"/>
      <c r="EB117" s="30"/>
      <c r="EC117" s="30"/>
      <c r="ED117" s="30"/>
      <c r="EE117" s="30"/>
      <c r="EF117" s="30"/>
      <c r="EG117" s="30"/>
      <c r="EH117" s="30"/>
      <c r="EI117" s="30"/>
      <c r="EJ117" s="30"/>
      <c r="EK117" s="30"/>
      <c r="EL117" s="30"/>
      <c r="EM117" s="30"/>
      <c r="EN117" s="30"/>
    </row>
    <row r="118" spans="1:144" thickBot="1" x14ac:dyDescent="0.4">
      <c r="A118" s="246"/>
      <c r="B118" s="301" t="s">
        <v>312</v>
      </c>
      <c r="C118" s="302" t="s">
        <v>321</v>
      </c>
      <c r="D118" s="303" t="s">
        <v>144</v>
      </c>
      <c r="E118" s="304">
        <f t="shared" ref="E118:I119" si="34">Tcalculada(E116,$K$98,$K$102,$K$101,$K$105,$K$104,$K$103)</f>
        <v>1102.5998861587586</v>
      </c>
      <c r="F118" s="305">
        <f t="shared" si="34"/>
        <v>920.34460853736289</v>
      </c>
      <c r="G118" s="304">
        <f t="shared" si="34"/>
        <v>834.29680168847358</v>
      </c>
      <c r="H118" s="304">
        <f t="shared" si="34"/>
        <v>522.56856952144835</v>
      </c>
      <c r="I118" s="306">
        <f t="shared" si="34"/>
        <v>356.30726624074515</v>
      </c>
      <c r="J118" s="519">
        <f t="shared" ref="J118:P118" si="35">Tcalculada(J116,$K$98,$K$102,$K$101,$K$105,$K$104,$K$103)</f>
        <v>279.39316082323688</v>
      </c>
      <c r="K118" s="519">
        <f t="shared" si="35"/>
        <v>209.86536101621905</v>
      </c>
      <c r="L118" s="519">
        <f t="shared" si="35"/>
        <v>139.14720371898377</v>
      </c>
      <c r="M118" s="519" t="e">
        <f t="shared" si="35"/>
        <v>#VALUE!</v>
      </c>
      <c r="N118" s="519" t="e">
        <f t="shared" si="35"/>
        <v>#VALUE!</v>
      </c>
      <c r="O118" s="519" t="e">
        <f t="shared" si="35"/>
        <v>#VALUE!</v>
      </c>
      <c r="P118" s="519" t="e">
        <f t="shared" si="35"/>
        <v>#VALUE!</v>
      </c>
      <c r="R118" s="426" t="s">
        <v>376</v>
      </c>
      <c r="S118" s="422">
        <f>25/1000*22.09*(S115-S116)/LN((S115-153)/(S116-153))</f>
        <v>69.931682212359533</v>
      </c>
      <c r="T118" s="425" t="s">
        <v>21</v>
      </c>
      <c r="U118" s="293"/>
      <c r="V118" s="415"/>
      <c r="W118" s="30"/>
      <c r="X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  <c r="AT118" s="30"/>
      <c r="AU118" s="30"/>
      <c r="AV118" s="30"/>
      <c r="AW118" s="30"/>
      <c r="AX118" s="30"/>
      <c r="AY118" s="30"/>
      <c r="AZ118" s="30"/>
      <c r="BA118" s="30"/>
      <c r="BB118" s="30"/>
      <c r="BC118" s="30"/>
      <c r="BD118" s="30"/>
      <c r="BE118" s="30"/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  <c r="DB118" s="30"/>
      <c r="DC118" s="30"/>
      <c r="DD118" s="30"/>
      <c r="DE118" s="30"/>
      <c r="DF118" s="30"/>
      <c r="DG118" s="30"/>
      <c r="DH118" s="30"/>
      <c r="DI118" s="30"/>
      <c r="DJ118" s="30"/>
      <c r="DK118" s="30"/>
      <c r="DL118" s="30"/>
      <c r="DM118" s="30"/>
      <c r="DN118" s="30"/>
      <c r="DO118" s="30"/>
      <c r="DP118" s="30"/>
      <c r="DQ118" s="30"/>
      <c r="DR118" s="30"/>
      <c r="DS118" s="30"/>
      <c r="DT118" s="30"/>
      <c r="DU118" s="30"/>
      <c r="DV118" s="30"/>
      <c r="DW118" s="30"/>
      <c r="DX118" s="30"/>
      <c r="DY118" s="30"/>
      <c r="DZ118" s="30"/>
      <c r="EA118" s="30"/>
      <c r="EB118" s="30"/>
      <c r="EC118" s="30"/>
      <c r="ED118" s="30"/>
      <c r="EE118" s="30"/>
      <c r="EF118" s="30"/>
      <c r="EG118" s="30"/>
      <c r="EH118" s="30"/>
      <c r="EI118" s="30"/>
      <c r="EJ118" s="30"/>
      <c r="EK118" s="30"/>
      <c r="EL118" s="30"/>
      <c r="EM118" s="30"/>
      <c r="EN118" s="30"/>
    </row>
    <row r="119" spans="1:144" thickBot="1" x14ac:dyDescent="0.4">
      <c r="A119" s="246"/>
      <c r="B119" s="307" t="s">
        <v>313</v>
      </c>
      <c r="C119" s="302" t="s">
        <v>322</v>
      </c>
      <c r="D119" s="303" t="s">
        <v>144</v>
      </c>
      <c r="E119" s="304">
        <f t="shared" si="34"/>
        <v>920.34460853736289</v>
      </c>
      <c r="F119" s="305">
        <f t="shared" si="34"/>
        <v>834.29680168847358</v>
      </c>
      <c r="G119" s="304">
        <f t="shared" si="34"/>
        <v>522.56856952144835</v>
      </c>
      <c r="H119" s="304">
        <f t="shared" si="34"/>
        <v>356.30726624074515</v>
      </c>
      <c r="I119" s="306">
        <f t="shared" si="34"/>
        <v>279.39316082323688</v>
      </c>
      <c r="J119" s="519">
        <f t="shared" ref="J119:P119" si="36">Tcalculada(J117,$K$98,$K$102,$K$101,$K$105,$K$104,$K$103)</f>
        <v>209.86536101621905</v>
      </c>
      <c r="K119" s="519">
        <f t="shared" si="36"/>
        <v>139.14720371898377</v>
      </c>
      <c r="L119" s="519" t="e">
        <f t="shared" si="36"/>
        <v>#VALUE!</v>
      </c>
      <c r="M119" s="519" t="e">
        <f t="shared" si="36"/>
        <v>#VALUE!</v>
      </c>
      <c r="N119" s="519" t="e">
        <f t="shared" si="36"/>
        <v>#VALUE!</v>
      </c>
      <c r="O119" s="519" t="e">
        <f t="shared" si="36"/>
        <v>#VALUE!</v>
      </c>
      <c r="P119" s="519" t="e">
        <f t="shared" si="36"/>
        <v>#VALUE!</v>
      </c>
      <c r="R119" s="427" t="s">
        <v>377</v>
      </c>
      <c r="S119" s="422">
        <f>+S121/S120</f>
        <v>14.330473077675146</v>
      </c>
      <c r="T119" s="423" t="s">
        <v>40</v>
      </c>
      <c r="U119" s="293"/>
      <c r="V119" s="415"/>
      <c r="W119" s="30"/>
      <c r="X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  <c r="AT119" s="30"/>
      <c r="AU119" s="30"/>
      <c r="AV119" s="30"/>
      <c r="AW119" s="30"/>
      <c r="AX119" s="30"/>
      <c r="AY119" s="30"/>
      <c r="AZ119" s="30"/>
      <c r="BA119" s="30"/>
      <c r="BB119" s="30"/>
      <c r="BC119" s="30"/>
      <c r="BD119" s="30"/>
      <c r="BE119" s="30"/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  <c r="DB119" s="30"/>
      <c r="DC119" s="30"/>
      <c r="DD119" s="30"/>
      <c r="DE119" s="30"/>
      <c r="DF119" s="30"/>
      <c r="DG119" s="30"/>
      <c r="DH119" s="30"/>
      <c r="DI119" s="30"/>
      <c r="DJ119" s="30"/>
      <c r="DK119" s="30"/>
      <c r="DL119" s="30"/>
      <c r="DM119" s="30"/>
      <c r="DN119" s="30"/>
      <c r="DO119" s="30"/>
      <c r="DP119" s="30"/>
      <c r="DQ119" s="30"/>
      <c r="DR119" s="30"/>
      <c r="DS119" s="30"/>
      <c r="DT119" s="30"/>
      <c r="DU119" s="30"/>
      <c r="DV119" s="30"/>
      <c r="DW119" s="30"/>
      <c r="DX119" s="3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</row>
    <row r="120" spans="1:144" thickBot="1" x14ac:dyDescent="0.4">
      <c r="A120" s="246"/>
      <c r="B120" s="260" t="s">
        <v>314</v>
      </c>
      <c r="C120" s="296" t="s">
        <v>206</v>
      </c>
      <c r="D120" s="297" t="s">
        <v>144</v>
      </c>
      <c r="E120" s="298">
        <f>+AVERAGE(E118:E119)</f>
        <v>1011.4722473480608</v>
      </c>
      <c r="F120" s="299">
        <f t="shared" ref="F120:I120" si="37">+AVERAGE(F118:F119)</f>
        <v>877.32070511291818</v>
      </c>
      <c r="G120" s="298">
        <f t="shared" si="37"/>
        <v>678.43268560496097</v>
      </c>
      <c r="H120" s="298">
        <f t="shared" si="37"/>
        <v>439.43791788109672</v>
      </c>
      <c r="I120" s="300">
        <f t="shared" si="37"/>
        <v>317.85021353199102</v>
      </c>
      <c r="J120" s="519">
        <f t="shared" ref="J120:P120" si="38">+AVERAGE(J118:J119)</f>
        <v>244.62926091972798</v>
      </c>
      <c r="K120" s="519">
        <f t="shared" si="38"/>
        <v>174.50628236760141</v>
      </c>
      <c r="L120" s="519" t="e">
        <f t="shared" si="38"/>
        <v>#VALUE!</v>
      </c>
      <c r="M120" s="519" t="e">
        <f t="shared" si="38"/>
        <v>#VALUE!</v>
      </c>
      <c r="N120" s="519" t="e">
        <f t="shared" si="38"/>
        <v>#VALUE!</v>
      </c>
      <c r="O120" s="519" t="e">
        <f t="shared" si="38"/>
        <v>#VALUE!</v>
      </c>
      <c r="P120" s="519" t="e">
        <f t="shared" si="38"/>
        <v>#VALUE!</v>
      </c>
      <c r="R120" s="427" t="s">
        <v>379</v>
      </c>
      <c r="S120" s="422">
        <v>3.6599462819533444</v>
      </c>
      <c r="T120" s="423" t="s">
        <v>46</v>
      </c>
      <c r="U120" s="293"/>
      <c r="V120" s="415"/>
      <c r="W120" s="30"/>
      <c r="X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  <c r="AY120" s="30"/>
      <c r="AZ120" s="30"/>
      <c r="BA120" s="30"/>
      <c r="BB120" s="30"/>
      <c r="BC120" s="30"/>
      <c r="BD120" s="30"/>
      <c r="BE120" s="30"/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  <c r="DB120" s="30"/>
      <c r="DC120" s="30"/>
      <c r="DD120" s="30"/>
      <c r="DE120" s="30"/>
      <c r="DF120" s="30"/>
      <c r="DG120" s="30"/>
      <c r="DH120" s="30"/>
      <c r="DI120" s="30"/>
      <c r="DJ120" s="30"/>
      <c r="DK120" s="30"/>
      <c r="DL120" s="30"/>
      <c r="DM120" s="30"/>
      <c r="DN120" s="30"/>
      <c r="DO120" s="30"/>
      <c r="DP120" s="30"/>
      <c r="DQ120" s="30"/>
      <c r="DR120" s="30"/>
      <c r="DS120" s="30"/>
      <c r="DT120" s="30"/>
      <c r="DU120" s="30"/>
      <c r="DV120" s="30"/>
      <c r="DW120" s="30"/>
      <c r="DX120" s="30"/>
      <c r="DY120" s="30"/>
      <c r="DZ120" s="30"/>
      <c r="EA120" s="30"/>
      <c r="EB120" s="30"/>
      <c r="EC120" s="30"/>
      <c r="ED120" s="30"/>
      <c r="EE120" s="30"/>
      <c r="EF120" s="30"/>
      <c r="EG120" s="30"/>
      <c r="EH120" s="30"/>
      <c r="EI120" s="30"/>
      <c r="EJ120" s="30"/>
      <c r="EK120" s="30"/>
      <c r="EL120" s="30"/>
      <c r="EM120" s="30"/>
      <c r="EN120" s="30"/>
    </row>
    <row r="121" spans="1:144" thickBot="1" x14ac:dyDescent="0.4">
      <c r="A121" s="246"/>
      <c r="B121" s="308" t="s">
        <v>310</v>
      </c>
      <c r="C121" s="296" t="s">
        <v>323</v>
      </c>
      <c r="D121" s="297" t="s">
        <v>201</v>
      </c>
      <c r="E121" s="298">
        <f t="shared" ref="E121:K121" si="39">3.33*Y51*(E120-$D$19)/1000</f>
        <v>6.1461462840447787</v>
      </c>
      <c r="F121" s="299">
        <f t="shared" si="39"/>
        <v>6.9479820167676891</v>
      </c>
      <c r="G121" s="298">
        <f t="shared" si="39"/>
        <v>10.346551158771792</v>
      </c>
      <c r="H121" s="298">
        <f t="shared" si="39"/>
        <v>3.9856660337792222</v>
      </c>
      <c r="I121" s="300">
        <f t="shared" si="39"/>
        <v>1.8216571822629382</v>
      </c>
      <c r="J121" s="519">
        <f t="shared" si="39"/>
        <v>24.2469583946149</v>
      </c>
      <c r="K121" s="519">
        <f t="shared" si="39"/>
        <v>0</v>
      </c>
      <c r="L121" s="519" t="e">
        <f t="shared" ref="L121:P121" si="40">3.33*R52*(L120-$D$19)/1000</f>
        <v>#VALUE!</v>
      </c>
      <c r="M121" s="519" t="e">
        <f t="shared" si="40"/>
        <v>#VALUE!</v>
      </c>
      <c r="N121" s="519" t="e">
        <f t="shared" si="40"/>
        <v>#VALUE!</v>
      </c>
      <c r="O121" s="519" t="e">
        <f t="shared" si="40"/>
        <v>#VALUE!</v>
      </c>
      <c r="P121" s="519" t="e">
        <f t="shared" si="40"/>
        <v>#VALUE!</v>
      </c>
      <c r="R121" s="426" t="s">
        <v>378</v>
      </c>
      <c r="S121" s="422">
        <f>+S118*0.75</f>
        <v>52.44876165926965</v>
      </c>
      <c r="T121" s="423" t="s">
        <v>201</v>
      </c>
      <c r="U121" s="293"/>
      <c r="V121" s="415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  <c r="AY121" s="30"/>
      <c r="AZ121" s="30"/>
      <c r="BA121" s="30"/>
      <c r="BB121" s="30"/>
      <c r="BC121" s="30"/>
      <c r="BD121" s="30"/>
      <c r="BE121" s="30"/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  <c r="DB121" s="30"/>
      <c r="DC121" s="30"/>
      <c r="DD121" s="30"/>
      <c r="DE121" s="30"/>
      <c r="DF121" s="30"/>
      <c r="DG121" s="30"/>
      <c r="DH121" s="30"/>
      <c r="DI121" s="30"/>
      <c r="DJ121" s="30"/>
      <c r="DK121" s="30"/>
      <c r="DL121" s="30"/>
      <c r="DM121" s="30"/>
      <c r="DN121" s="30"/>
      <c r="DO121" s="30"/>
      <c r="DP121" s="30"/>
      <c r="DQ121" s="30"/>
      <c r="DR121" s="30"/>
      <c r="DS121" s="30"/>
      <c r="DT121" s="30"/>
      <c r="DU121" s="30"/>
      <c r="DV121" s="30"/>
      <c r="DW121" s="30"/>
      <c r="DX121" s="30"/>
      <c r="DY121" s="30"/>
      <c r="DZ121" s="30"/>
      <c r="EA121" s="30"/>
      <c r="EB121" s="30"/>
      <c r="EC121" s="30"/>
      <c r="ED121" s="30"/>
      <c r="EE121" s="30"/>
      <c r="EF121" s="30"/>
      <c r="EG121" s="30"/>
      <c r="EH121" s="30"/>
      <c r="EI121" s="30"/>
      <c r="EJ121" s="30"/>
      <c r="EK121" s="30"/>
      <c r="EL121" s="30"/>
      <c r="EM121" s="30"/>
      <c r="EN121" s="30"/>
    </row>
    <row r="122" spans="1:144" thickBot="1" x14ac:dyDescent="0.4">
      <c r="A122" s="246"/>
      <c r="B122" s="309" t="s">
        <v>311</v>
      </c>
      <c r="C122" s="310" t="s">
        <v>324</v>
      </c>
      <c r="D122" s="264" t="s">
        <v>201</v>
      </c>
      <c r="E122" s="310">
        <f t="shared" ref="E122:K122" si="41">$D$113*Y52</f>
        <v>1.6926031336233391</v>
      </c>
      <c r="F122" s="311">
        <f t="shared" si="41"/>
        <v>2.214587103746624</v>
      </c>
      <c r="G122" s="310">
        <f t="shared" si="41"/>
        <v>4.3016183326450985</v>
      </c>
      <c r="H122" s="310">
        <f t="shared" si="41"/>
        <v>2.6126338054004292</v>
      </c>
      <c r="I122" s="312">
        <f t="shared" si="41"/>
        <v>1.689889178839336</v>
      </c>
      <c r="J122" s="520">
        <f t="shared" si="41"/>
        <v>0</v>
      </c>
      <c r="K122" s="520">
        <f t="shared" si="41"/>
        <v>0</v>
      </c>
      <c r="L122" s="520" t="e">
        <f>$D$113*#REF!</f>
        <v>#REF!</v>
      </c>
      <c r="M122" s="520" t="e">
        <f>$D$113*#REF!</f>
        <v>#REF!</v>
      </c>
      <c r="N122" s="520" t="e">
        <f>$D$113*#REF!</f>
        <v>#REF!</v>
      </c>
      <c r="O122" s="520" t="e">
        <f>$D$113*#REF!</f>
        <v>#REF!</v>
      </c>
      <c r="P122" s="520">
        <f t="shared" ref="P122" si="42">$D$113*V53</f>
        <v>0</v>
      </c>
      <c r="R122" s="428" t="s">
        <v>381</v>
      </c>
      <c r="S122" s="429">
        <f>+(S121+J180)/R21</f>
        <v>0.4956303347211824</v>
      </c>
      <c r="T122" s="430" t="s">
        <v>8</v>
      </c>
      <c r="U122" s="293"/>
      <c r="V122" s="415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  <c r="AY122" s="30"/>
      <c r="AZ122" s="30"/>
      <c r="BA122" s="30"/>
      <c r="BB122" s="30"/>
      <c r="BC122" s="30"/>
      <c r="BD122" s="30"/>
      <c r="BE122" s="30"/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  <c r="DB122" s="30"/>
      <c r="DC122" s="30"/>
      <c r="DD122" s="30"/>
      <c r="DE122" s="30"/>
      <c r="DF122" s="30"/>
      <c r="DG122" s="30"/>
      <c r="DH122" s="30"/>
      <c r="DI122" s="30"/>
      <c r="DJ122" s="30"/>
      <c r="DK122" s="30"/>
      <c r="DL122" s="30"/>
      <c r="DM122" s="30"/>
      <c r="DN122" s="30"/>
      <c r="DO122" s="30"/>
      <c r="DP122" s="30"/>
      <c r="DQ122" s="30"/>
      <c r="DR122" s="30"/>
      <c r="DS122" s="30"/>
      <c r="DT122" s="30"/>
      <c r="DU122" s="30"/>
      <c r="DV122" s="30"/>
      <c r="DW122" s="30"/>
      <c r="DX122" s="3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</row>
    <row r="123" spans="1:144" thickBot="1" x14ac:dyDescent="0.4">
      <c r="A123" s="246"/>
      <c r="B123" s="293"/>
      <c r="C123" s="293"/>
      <c r="D123" s="418"/>
      <c r="E123" s="419"/>
      <c r="F123" s="419"/>
      <c r="G123" s="419"/>
      <c r="H123" s="419"/>
      <c r="I123" s="419"/>
      <c r="J123" s="267"/>
      <c r="K123" s="246"/>
      <c r="L123" s="267"/>
      <c r="M123" s="246"/>
      <c r="N123" s="246"/>
      <c r="O123" s="246"/>
      <c r="P123" s="246"/>
      <c r="Q123" s="246"/>
      <c r="R123" s="246"/>
      <c r="S123" s="246"/>
      <c r="T123" s="246"/>
      <c r="U123" s="246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  <c r="AY123" s="30"/>
      <c r="AZ123" s="30"/>
      <c r="BA123" s="30"/>
      <c r="BB123" s="30"/>
      <c r="BC123" s="30"/>
      <c r="BD123" s="30"/>
      <c r="BE123" s="30"/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  <c r="DB123" s="30"/>
      <c r="DC123" s="30"/>
      <c r="DD123" s="30"/>
      <c r="DE123" s="30"/>
      <c r="DF123" s="30"/>
      <c r="DG123" s="30"/>
      <c r="DH123" s="30"/>
      <c r="DI123" s="30"/>
      <c r="DJ123" s="30"/>
      <c r="DK123" s="30"/>
      <c r="DL123" s="30"/>
      <c r="DM123" s="30"/>
      <c r="DN123" s="30"/>
      <c r="DO123" s="30"/>
      <c r="DP123" s="30"/>
      <c r="DQ123" s="30"/>
      <c r="DR123" s="30"/>
      <c r="DS123" s="30"/>
      <c r="DT123" s="30"/>
      <c r="DU123" s="30"/>
      <c r="DV123" s="30"/>
      <c r="DW123" s="30"/>
      <c r="DX123" s="3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</row>
    <row r="124" spans="1:144" thickBot="1" x14ac:dyDescent="0.4">
      <c r="A124" s="633"/>
      <c r="B124" s="634"/>
      <c r="C124" s="634"/>
      <c r="D124" s="634"/>
      <c r="E124" s="634"/>
      <c r="F124" s="634"/>
      <c r="G124" s="634"/>
      <c r="H124" s="634"/>
      <c r="I124" s="634"/>
      <c r="J124" s="634"/>
      <c r="K124" s="634"/>
      <c r="L124" s="634"/>
      <c r="M124" s="634"/>
      <c r="N124" s="634"/>
      <c r="O124" s="634"/>
      <c r="P124" s="635"/>
      <c r="Q124" s="473"/>
      <c r="R124" s="473"/>
      <c r="S124" s="473"/>
      <c r="T124" s="473"/>
      <c r="U124" s="473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  <c r="AY124" s="30"/>
      <c r="AZ124" s="30"/>
      <c r="BA124" s="30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  <c r="DB124" s="30"/>
      <c r="DC124" s="30"/>
      <c r="DD124" s="30"/>
      <c r="DE124" s="30"/>
      <c r="DF124" s="30"/>
      <c r="DG124" s="30"/>
      <c r="DH124" s="30"/>
      <c r="DI124" s="30"/>
      <c r="DJ124" s="30"/>
      <c r="DK124" s="30"/>
      <c r="DL124" s="30"/>
      <c r="DM124" s="30"/>
      <c r="DN124" s="30"/>
      <c r="DO124" s="30"/>
      <c r="DP124" s="30"/>
      <c r="DQ124" s="30"/>
      <c r="DR124" s="30"/>
      <c r="DS124" s="30"/>
      <c r="DT124" s="30"/>
      <c r="DU124" s="30"/>
      <c r="DV124" s="30"/>
      <c r="DW124" s="30"/>
      <c r="DX124" s="30"/>
      <c r="DY124" s="30"/>
      <c r="DZ124" s="30"/>
      <c r="EA124" s="30"/>
      <c r="EB124" s="30"/>
      <c r="EC124" s="30"/>
      <c r="ED124" s="30"/>
      <c r="EE124" s="30"/>
      <c r="EF124" s="30"/>
      <c r="EG124" s="30"/>
      <c r="EH124" s="30"/>
      <c r="EI124" s="30"/>
      <c r="EJ124" s="30"/>
      <c r="EK124" s="30"/>
      <c r="EL124" s="30"/>
      <c r="EM124" s="30"/>
      <c r="EN124" s="30"/>
    </row>
    <row r="125" spans="1:144" thickBot="1" x14ac:dyDescent="0.4">
      <c r="A125" s="30"/>
      <c r="B125" s="30"/>
      <c r="C125" s="30"/>
      <c r="D125" s="67"/>
      <c r="E125" s="30"/>
      <c r="F125" s="74"/>
      <c r="G125" s="30"/>
      <c r="H125" s="30"/>
      <c r="I125" s="30"/>
      <c r="J125" s="242"/>
      <c r="K125" s="30"/>
      <c r="L125" s="242"/>
      <c r="M125" s="30"/>
      <c r="N125" s="30"/>
      <c r="O125" s="30"/>
      <c r="P125" s="30"/>
      <c r="Q125" s="30"/>
      <c r="R125" s="30"/>
      <c r="S125" s="30"/>
      <c r="T125" s="30"/>
      <c r="U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  <c r="AY125" s="30"/>
      <c r="AZ125" s="30"/>
      <c r="BA125" s="30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  <c r="DB125" s="30"/>
      <c r="DC125" s="30"/>
      <c r="DD125" s="30"/>
      <c r="DE125" s="30"/>
      <c r="DF125" s="30"/>
      <c r="DG125" s="30"/>
      <c r="DH125" s="30"/>
      <c r="DI125" s="30"/>
      <c r="DJ125" s="30"/>
      <c r="DK125" s="30"/>
      <c r="DL125" s="30"/>
      <c r="DM125" s="30"/>
      <c r="DN125" s="30"/>
      <c r="DO125" s="30"/>
      <c r="DP125" s="30"/>
      <c r="DQ125" s="30"/>
      <c r="DR125" s="30"/>
      <c r="DS125" s="30"/>
      <c r="DT125" s="30"/>
      <c r="DU125" s="30"/>
      <c r="DV125" s="30"/>
      <c r="DW125" s="30"/>
      <c r="DX125" s="30"/>
      <c r="DY125" s="30"/>
      <c r="DZ125" s="30"/>
      <c r="EA125" s="30"/>
      <c r="EB125" s="30"/>
      <c r="EC125" s="30"/>
      <c r="ED125" s="30"/>
      <c r="EE125" s="30"/>
      <c r="EF125" s="30"/>
      <c r="EG125" s="30"/>
      <c r="EH125" s="30"/>
      <c r="EI125" s="30"/>
      <c r="EJ125" s="30"/>
      <c r="EK125" s="30"/>
      <c r="EL125" s="30"/>
      <c r="EM125" s="30"/>
      <c r="EN125" s="30"/>
    </row>
    <row r="126" spans="1:144" thickBot="1" x14ac:dyDescent="0.4">
      <c r="A126" s="30"/>
      <c r="B126" s="199" t="s">
        <v>203</v>
      </c>
      <c r="C126" s="200"/>
      <c r="D126" s="200"/>
      <c r="E126" s="60">
        <v>1</v>
      </c>
      <c r="F126" s="217">
        <v>2</v>
      </c>
      <c r="G126" s="61">
        <v>3</v>
      </c>
      <c r="H126" s="61">
        <v>4</v>
      </c>
      <c r="I126" s="530">
        <v>5</v>
      </c>
      <c r="J126" s="532">
        <v>6</v>
      </c>
      <c r="K126" s="533">
        <v>7</v>
      </c>
      <c r="L126" s="533">
        <v>8</v>
      </c>
      <c r="M126" s="533">
        <v>9</v>
      </c>
      <c r="N126" s="533">
        <v>10</v>
      </c>
      <c r="O126" s="533">
        <v>11</v>
      </c>
      <c r="P126" s="534">
        <v>12</v>
      </c>
      <c r="Q126" s="30"/>
      <c r="R126" s="30"/>
      <c r="S126" s="30"/>
      <c r="T126" s="30"/>
      <c r="U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  <c r="AY126" s="30"/>
      <c r="AZ126" s="30"/>
      <c r="BA126" s="30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  <c r="DB126" s="30"/>
      <c r="DC126" s="30"/>
      <c r="DD126" s="30"/>
      <c r="DE126" s="30"/>
      <c r="DF126" s="30"/>
      <c r="DG126" s="30"/>
      <c r="DH126" s="30"/>
      <c r="DI126" s="30"/>
      <c r="DJ126" s="30"/>
      <c r="DK126" s="30"/>
      <c r="DL126" s="30"/>
      <c r="DM126" s="30"/>
      <c r="DN126" s="30"/>
      <c r="DO126" s="30"/>
      <c r="DP126" s="30"/>
      <c r="DQ126" s="30"/>
      <c r="DR126" s="30"/>
      <c r="DS126" s="30"/>
      <c r="DT126" s="30"/>
      <c r="DU126" s="30"/>
      <c r="DV126" s="30"/>
      <c r="DW126" s="30"/>
      <c r="DX126" s="3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</row>
    <row r="127" spans="1:144" thickBot="1" x14ac:dyDescent="0.4">
      <c r="A127" s="30"/>
      <c r="B127" s="140" t="s">
        <v>205</v>
      </c>
      <c r="C127" s="141" t="s">
        <v>206</v>
      </c>
      <c r="D127" s="142" t="s">
        <v>15</v>
      </c>
      <c r="E127" s="196">
        <f>+E120</f>
        <v>1011.4722473480608</v>
      </c>
      <c r="F127" s="218">
        <f>+F120</f>
        <v>877.32070511291818</v>
      </c>
      <c r="G127" s="197">
        <f>+G120</f>
        <v>678.43268560496097</v>
      </c>
      <c r="H127" s="197">
        <f>+H120</f>
        <v>439.43791788109672</v>
      </c>
      <c r="I127" s="198">
        <f>+I120</f>
        <v>317.85021353199102</v>
      </c>
      <c r="J127" s="531">
        <f t="shared" ref="J127:P127" si="43">+J120</f>
        <v>244.62926091972798</v>
      </c>
      <c r="K127" s="531">
        <f t="shared" si="43"/>
        <v>174.50628236760141</v>
      </c>
      <c r="L127" s="531" t="e">
        <f t="shared" si="43"/>
        <v>#VALUE!</v>
      </c>
      <c r="M127" s="531" t="e">
        <f t="shared" si="43"/>
        <v>#VALUE!</v>
      </c>
      <c r="N127" s="531" t="e">
        <f t="shared" si="43"/>
        <v>#VALUE!</v>
      </c>
      <c r="O127" s="531" t="e">
        <f t="shared" si="43"/>
        <v>#VALUE!</v>
      </c>
      <c r="P127" s="531" t="e">
        <f t="shared" si="43"/>
        <v>#VALUE!</v>
      </c>
      <c r="Q127" s="30"/>
      <c r="R127" s="30"/>
      <c r="S127" s="30"/>
      <c r="T127" s="30"/>
      <c r="U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  <c r="AY127" s="30"/>
      <c r="AZ127" s="30"/>
      <c r="BA127" s="30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  <c r="DB127" s="30"/>
      <c r="DC127" s="30"/>
      <c r="DD127" s="30"/>
      <c r="DE127" s="30"/>
      <c r="DF127" s="30"/>
      <c r="DG127" s="30"/>
      <c r="DH127" s="30"/>
      <c r="DI127" s="30"/>
      <c r="DJ127" s="30"/>
      <c r="DK127" s="30"/>
      <c r="DL127" s="30"/>
      <c r="DM127" s="30"/>
      <c r="DN127" s="30"/>
      <c r="DO127" s="30"/>
      <c r="DP127" s="30"/>
      <c r="DQ127" s="30"/>
      <c r="DR127" s="30"/>
      <c r="DS127" s="30"/>
      <c r="DT127" s="30"/>
      <c r="DU127" s="30"/>
      <c r="DV127" s="30"/>
      <c r="DW127" s="30"/>
      <c r="DX127" s="30"/>
      <c r="DY127" s="30"/>
      <c r="DZ127" s="30"/>
      <c r="EA127" s="30"/>
      <c r="EB127" s="30"/>
      <c r="EC127" s="30"/>
      <c r="ED127" s="30"/>
      <c r="EE127" s="30"/>
      <c r="EF127" s="30"/>
      <c r="EG127" s="30"/>
      <c r="EH127" s="30"/>
      <c r="EI127" s="30"/>
      <c r="EJ127" s="30"/>
      <c r="EK127" s="30"/>
      <c r="EL127" s="30"/>
      <c r="EM127" s="30"/>
      <c r="EN127" s="30"/>
    </row>
    <row r="128" spans="1:144" thickBot="1" x14ac:dyDescent="0.4">
      <c r="A128" s="37"/>
      <c r="B128" s="143" t="s">
        <v>207</v>
      </c>
      <c r="C128" s="144" t="s">
        <v>120</v>
      </c>
      <c r="D128" s="145" t="s">
        <v>208</v>
      </c>
      <c r="E128" s="57">
        <f>+D21/760</f>
        <v>0.82991001477720805</v>
      </c>
      <c r="F128" s="219">
        <f>E128</f>
        <v>0.82991001477720805</v>
      </c>
      <c r="G128" s="55">
        <f t="shared" ref="G128:I128" si="44">F128</f>
        <v>0.82991001477720805</v>
      </c>
      <c r="H128" s="55">
        <f t="shared" si="44"/>
        <v>0.82991001477720805</v>
      </c>
      <c r="I128" s="56">
        <f t="shared" si="44"/>
        <v>0.82991001477720805</v>
      </c>
      <c r="J128" s="522">
        <f t="shared" ref="J128" si="45">I128</f>
        <v>0.82991001477720805</v>
      </c>
      <c r="K128" s="522">
        <f t="shared" ref="K128" si="46">J128</f>
        <v>0.82991001477720805</v>
      </c>
      <c r="L128" s="522">
        <f t="shared" ref="L128" si="47">K128</f>
        <v>0.82991001477720805</v>
      </c>
      <c r="M128" s="522">
        <f t="shared" ref="M128" si="48">L128</f>
        <v>0.82991001477720805</v>
      </c>
      <c r="N128" s="522">
        <f t="shared" ref="N128" si="49">M128</f>
        <v>0.82991001477720805</v>
      </c>
      <c r="O128" s="522">
        <f t="shared" ref="O128" si="50">N128</f>
        <v>0.82991001477720805</v>
      </c>
      <c r="P128" s="522">
        <f t="shared" ref="P128" si="51">O128</f>
        <v>0.82991001477720805</v>
      </c>
      <c r="Q128" s="30"/>
      <c r="R128" s="30"/>
      <c r="S128" s="30"/>
      <c r="T128" s="30"/>
      <c r="U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  <c r="AY128" s="30"/>
      <c r="AZ128" s="30"/>
      <c r="BA128" s="30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  <c r="DB128" s="30"/>
      <c r="DC128" s="30"/>
      <c r="DD128" s="30"/>
      <c r="DE128" s="30"/>
      <c r="DF128" s="30"/>
      <c r="DG128" s="30"/>
      <c r="DH128" s="30"/>
      <c r="DI128" s="30"/>
      <c r="DJ128" s="30"/>
      <c r="DK128" s="30"/>
      <c r="DL128" s="30"/>
      <c r="DM128" s="30"/>
      <c r="DN128" s="30"/>
      <c r="DO128" s="30"/>
      <c r="DP128" s="30"/>
      <c r="DQ128" s="30"/>
      <c r="DR128" s="30"/>
      <c r="DS128" s="30"/>
      <c r="DT128" s="30"/>
      <c r="DU128" s="30"/>
      <c r="DV128" s="30"/>
      <c r="DW128" s="30"/>
      <c r="DX128" s="30"/>
      <c r="DY128" s="30"/>
      <c r="DZ128" s="30"/>
      <c r="EA128" s="30"/>
      <c r="EB128" s="30"/>
      <c r="EC128" s="30"/>
      <c r="ED128" s="30"/>
      <c r="EE128" s="30"/>
      <c r="EF128" s="30"/>
      <c r="EG128" s="30"/>
      <c r="EH128" s="30"/>
      <c r="EI128" s="30"/>
      <c r="EJ128" s="30"/>
      <c r="EK128" s="30"/>
      <c r="EL128" s="30"/>
      <c r="EM128" s="30"/>
      <c r="EN128" s="30"/>
    </row>
    <row r="129" spans="1:144" thickBot="1" x14ac:dyDescent="0.4">
      <c r="A129" s="37"/>
      <c r="B129" s="143" t="s">
        <v>209</v>
      </c>
      <c r="C129" s="144" t="s">
        <v>210</v>
      </c>
      <c r="D129" s="145" t="s">
        <v>211</v>
      </c>
      <c r="E129" s="57">
        <f>+cp(E127,$K$102,$K$101,$K$105,$K$104,$K$103)</f>
        <v>1.3275655877126071</v>
      </c>
      <c r="F129" s="219">
        <f>+cp(F127,$K$102,$K$101,$K$105,$K$104,$K$103)</f>
        <v>1.3009712065758099</v>
      </c>
      <c r="G129" s="55">
        <f>+cp(G127,$K$102,$K$101,$K$105,$K$104,$K$103)</f>
        <v>1.2555433570562125</v>
      </c>
      <c r="H129" s="55">
        <f>+cp(H127,$K$102,$K$101,$K$105,$K$104,$K$103)</f>
        <v>1.1848597290273828</v>
      </c>
      <c r="I129" s="56">
        <f>+cp(I127,$K$102,$K$101,$K$105,$K$104,$K$103)</f>
        <v>1.1473785433842509</v>
      </c>
      <c r="J129" s="522">
        <f t="shared" ref="J129:P129" si="52">+cp(J127,$K$102,$K$101,$K$105,$K$104,$K$103)</f>
        <v>1.1260565549645694</v>
      </c>
      <c r="K129" s="522">
        <f t="shared" si="52"/>
        <v>1.107084662029161</v>
      </c>
      <c r="L129" s="522" t="e">
        <f t="shared" si="52"/>
        <v>#VALUE!</v>
      </c>
      <c r="M129" s="522" t="e">
        <f t="shared" si="52"/>
        <v>#VALUE!</v>
      </c>
      <c r="N129" s="522" t="e">
        <f t="shared" si="52"/>
        <v>#VALUE!</v>
      </c>
      <c r="O129" s="522" t="e">
        <f t="shared" si="52"/>
        <v>#VALUE!</v>
      </c>
      <c r="P129" s="522" t="e">
        <f t="shared" si="52"/>
        <v>#VALUE!</v>
      </c>
      <c r="Q129" s="30"/>
      <c r="R129" s="30"/>
      <c r="S129" s="30"/>
      <c r="T129" s="30"/>
      <c r="U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  <c r="AY129" s="30"/>
      <c r="AZ129" s="30"/>
      <c r="BA129" s="30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  <c r="DB129" s="30"/>
      <c r="DC129" s="30"/>
      <c r="DD129" s="30"/>
      <c r="DE129" s="30"/>
      <c r="DF129" s="30"/>
      <c r="DG129" s="30"/>
      <c r="DH129" s="30"/>
      <c r="DI129" s="30"/>
      <c r="DJ129" s="30"/>
      <c r="DK129" s="30"/>
      <c r="DL129" s="30"/>
      <c r="DM129" s="30"/>
      <c r="DN129" s="30"/>
      <c r="DO129" s="30"/>
      <c r="DP129" s="30"/>
      <c r="DQ129" s="30"/>
      <c r="DR129" s="30"/>
      <c r="DS129" s="30"/>
      <c r="DT129" s="30"/>
      <c r="DU129" s="30"/>
      <c r="DV129" s="30"/>
      <c r="DW129" s="30"/>
      <c r="DX129" s="30"/>
      <c r="DY129" s="30"/>
      <c r="DZ129" s="30"/>
      <c r="EA129" s="30"/>
      <c r="EB129" s="30"/>
      <c r="EC129" s="30"/>
      <c r="ED129" s="30"/>
      <c r="EE129" s="30"/>
      <c r="EF129" s="30"/>
      <c r="EG129" s="30"/>
      <c r="EH129" s="30"/>
      <c r="EI129" s="30"/>
      <c r="EJ129" s="30"/>
      <c r="EK129" s="30"/>
      <c r="EL129" s="30"/>
      <c r="EM129" s="30"/>
      <c r="EN129" s="30"/>
    </row>
    <row r="130" spans="1:144" thickBot="1" x14ac:dyDescent="0.4">
      <c r="A130" s="37"/>
      <c r="B130" s="143" t="s">
        <v>212</v>
      </c>
      <c r="C130" s="146" t="s">
        <v>213</v>
      </c>
      <c r="D130" s="145" t="s">
        <v>214</v>
      </c>
      <c r="E130" s="57">
        <f>+Densidad_kgm3($K$102,$K$101,$K$105,$K$104,$K$103,E128*101.325,E127)</f>
        <v>0.22370782897906671</v>
      </c>
      <c r="F130" s="219">
        <f>+Densidad_kgm3($K$102,$K$101,$K$105,$K$104,$K$103,F128*101.325,F127)</f>
        <v>0.24979345648287335</v>
      </c>
      <c r="G130" s="55">
        <f>+Densidad_kgm3($K$102,$K$101,$K$105,$K$104,$K$103,G128*101.325,G127)</f>
        <v>0.30200218894246145</v>
      </c>
      <c r="H130" s="55">
        <f>+Densidad_kgm3($K$102,$K$101,$K$105,$K$104,$K$103,H128*101.325,H127)</f>
        <v>0.40329066323069052</v>
      </c>
      <c r="I130" s="56">
        <f>+Densidad_kgm3($K$102,$K$101,$K$105,$K$104,$K$103,I128*101.325,I127)</f>
        <v>0.48626049099877083</v>
      </c>
      <c r="J130" s="522">
        <f t="shared" ref="J130:P130" si="53">+Densidad_kgm3($K$102,$K$101,$K$105,$K$104,$K$103,J128*101.325,J127)</f>
        <v>0.55502426555666406</v>
      </c>
      <c r="K130" s="522">
        <f t="shared" si="53"/>
        <v>0.64196586830531011</v>
      </c>
      <c r="L130" s="522" t="e">
        <f t="shared" si="53"/>
        <v>#VALUE!</v>
      </c>
      <c r="M130" s="522" t="e">
        <f t="shared" si="53"/>
        <v>#VALUE!</v>
      </c>
      <c r="N130" s="522" t="e">
        <f t="shared" si="53"/>
        <v>#VALUE!</v>
      </c>
      <c r="O130" s="522" t="e">
        <f t="shared" si="53"/>
        <v>#VALUE!</v>
      </c>
      <c r="P130" s="522" t="e">
        <f t="shared" si="53"/>
        <v>#VALUE!</v>
      </c>
      <c r="Q130" s="30"/>
      <c r="R130" s="30"/>
      <c r="S130" s="30"/>
      <c r="T130" s="30"/>
      <c r="U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  <c r="AY130" s="30"/>
      <c r="AZ130" s="30"/>
      <c r="BA130" s="30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/>
      <c r="DW130" s="30"/>
      <c r="DX130" s="30"/>
      <c r="DY130" s="30"/>
      <c r="DZ130" s="30"/>
      <c r="EA130" s="30"/>
      <c r="EB130" s="30"/>
      <c r="EC130" s="30"/>
      <c r="ED130" s="30"/>
      <c r="EE130" s="30"/>
      <c r="EF130" s="30"/>
      <c r="EG130" s="30"/>
      <c r="EH130" s="30"/>
      <c r="EI130" s="30"/>
      <c r="EJ130" s="30"/>
      <c r="EK130" s="30"/>
      <c r="EL130" s="30"/>
      <c r="EM130" s="30"/>
      <c r="EN130" s="30"/>
    </row>
    <row r="131" spans="1:144" thickBot="1" x14ac:dyDescent="0.4">
      <c r="A131" s="37"/>
      <c r="B131" s="143" t="s">
        <v>215</v>
      </c>
      <c r="C131" s="146" t="s">
        <v>216</v>
      </c>
      <c r="D131" s="145" t="s">
        <v>217</v>
      </c>
      <c r="E131" s="147">
        <f>0.0000175+0.0000000335*E127</f>
        <v>5.1384320286160035E-5</v>
      </c>
      <c r="F131" s="220">
        <f t="shared" ref="F131:I131" si="54">0.0000175+0.0000000335*F127</f>
        <v>4.6890243621282761E-5</v>
      </c>
      <c r="G131" s="148">
        <f t="shared" si="54"/>
        <v>4.0227494967766189E-5</v>
      </c>
      <c r="H131" s="148">
        <f t="shared" si="54"/>
        <v>3.2221170249016736E-5</v>
      </c>
      <c r="I131" s="149">
        <f t="shared" si="54"/>
        <v>2.8147982153321698E-5</v>
      </c>
      <c r="J131" s="523">
        <f t="shared" ref="J131:P131" si="55">0.0000175+0.0000000335*J127</f>
        <v>2.5695080240810887E-5</v>
      </c>
      <c r="K131" s="523">
        <f t="shared" si="55"/>
        <v>2.3345960459314648E-5</v>
      </c>
      <c r="L131" s="523" t="e">
        <f t="shared" si="55"/>
        <v>#VALUE!</v>
      </c>
      <c r="M131" s="523" t="e">
        <f t="shared" si="55"/>
        <v>#VALUE!</v>
      </c>
      <c r="N131" s="523" t="e">
        <f t="shared" si="55"/>
        <v>#VALUE!</v>
      </c>
      <c r="O131" s="523" t="e">
        <f t="shared" si="55"/>
        <v>#VALUE!</v>
      </c>
      <c r="P131" s="523" t="e">
        <f t="shared" si="55"/>
        <v>#VALUE!</v>
      </c>
      <c r="Q131" s="30"/>
      <c r="R131" s="30"/>
      <c r="S131" s="30"/>
      <c r="T131" s="30"/>
      <c r="U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  <c r="AT131" s="30"/>
      <c r="AU131" s="30"/>
      <c r="AV131" s="30"/>
      <c r="AW131" s="30"/>
      <c r="AX131" s="30"/>
      <c r="AY131" s="30"/>
      <c r="AZ131" s="30"/>
      <c r="BA131" s="30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30"/>
      <c r="DX131" s="3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</row>
    <row r="132" spans="1:144" thickBot="1" x14ac:dyDescent="0.4">
      <c r="A132" s="37"/>
      <c r="B132" s="143" t="s">
        <v>218</v>
      </c>
      <c r="C132" s="146" t="s">
        <v>161</v>
      </c>
      <c r="D132" s="145" t="s">
        <v>219</v>
      </c>
      <c r="E132" s="147">
        <f>(0.0229+0.0000647*E127)/1000</f>
        <v>8.8342254403419543E-5</v>
      </c>
      <c r="F132" s="220">
        <f t="shared" ref="F132:I132" si="56">(0.0229+0.0000647*F127)/1000</f>
        <v>7.9662649620805808E-5</v>
      </c>
      <c r="G132" s="148">
        <f t="shared" si="56"/>
        <v>6.6794594758640962E-5</v>
      </c>
      <c r="H132" s="148">
        <f t="shared" si="56"/>
        <v>5.1331633286906958E-5</v>
      </c>
      <c r="I132" s="149">
        <f t="shared" si="56"/>
        <v>4.3464908815519818E-5</v>
      </c>
      <c r="J132" s="523">
        <f t="shared" ref="J132:P132" si="57">(0.0229+0.0000647*J127)/1000</f>
        <v>3.8727513181506401E-5</v>
      </c>
      <c r="K132" s="523">
        <f t="shared" si="57"/>
        <v>3.4190556469183812E-5</v>
      </c>
      <c r="L132" s="523" t="e">
        <f t="shared" si="57"/>
        <v>#VALUE!</v>
      </c>
      <c r="M132" s="523" t="e">
        <f t="shared" si="57"/>
        <v>#VALUE!</v>
      </c>
      <c r="N132" s="523" t="e">
        <f t="shared" si="57"/>
        <v>#VALUE!</v>
      </c>
      <c r="O132" s="523" t="e">
        <f t="shared" si="57"/>
        <v>#VALUE!</v>
      </c>
      <c r="P132" s="523" t="e">
        <f t="shared" si="57"/>
        <v>#VALUE!</v>
      </c>
      <c r="Q132" s="30"/>
      <c r="R132" s="30"/>
      <c r="S132" s="30"/>
      <c r="T132" s="30"/>
      <c r="U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  <c r="AT132" s="30"/>
      <c r="AU132" s="30"/>
      <c r="AV132" s="30"/>
      <c r="AW132" s="30"/>
      <c r="AX132" s="30"/>
      <c r="AY132" s="30"/>
      <c r="AZ132" s="30"/>
      <c r="BA132" s="30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  <c r="DB132" s="30"/>
      <c r="DC132" s="30"/>
      <c r="DD132" s="30"/>
      <c r="DE132" s="30"/>
      <c r="DF132" s="30"/>
      <c r="DG132" s="30"/>
      <c r="DH132" s="30"/>
      <c r="DI132" s="30"/>
      <c r="DJ132" s="30"/>
      <c r="DK132" s="30"/>
      <c r="DL132" s="30"/>
      <c r="DM132" s="30"/>
      <c r="DN132" s="30"/>
      <c r="DO132" s="30"/>
      <c r="DP132" s="30"/>
      <c r="DQ132" s="30"/>
      <c r="DR132" s="30"/>
      <c r="DS132" s="30"/>
      <c r="DT132" s="30"/>
      <c r="DU132" s="30"/>
      <c r="DV132" s="30"/>
      <c r="DW132" s="30"/>
      <c r="DX132" s="30"/>
      <c r="DY132" s="30"/>
      <c r="DZ132" s="30"/>
      <c r="EA132" s="30"/>
      <c r="EB132" s="30"/>
      <c r="EC132" s="30"/>
      <c r="ED132" s="30"/>
      <c r="EE132" s="30"/>
      <c r="EF132" s="30"/>
      <c r="EG132" s="30"/>
      <c r="EH132" s="30"/>
      <c r="EI132" s="30"/>
      <c r="EJ132" s="30"/>
      <c r="EK132" s="30"/>
      <c r="EL132" s="30"/>
      <c r="EM132" s="30"/>
      <c r="EN132" s="30"/>
    </row>
    <row r="133" spans="1:144" thickBot="1" x14ac:dyDescent="0.4">
      <c r="A133" s="37"/>
      <c r="B133" s="143" t="s">
        <v>117</v>
      </c>
      <c r="C133" s="146" t="s">
        <v>118</v>
      </c>
      <c r="D133" s="145" t="s">
        <v>30</v>
      </c>
      <c r="E133" s="57">
        <v>0.51069200000000003</v>
      </c>
      <c r="F133" s="219">
        <v>0.33572800000000003</v>
      </c>
      <c r="G133" s="55">
        <v>0.31922800000000001</v>
      </c>
      <c r="H133" s="55">
        <v>0.28420400000000001</v>
      </c>
      <c r="I133" s="56">
        <v>0.26729000000000003</v>
      </c>
      <c r="J133" s="522">
        <v>0.26729000000000003</v>
      </c>
      <c r="K133" s="522">
        <v>0.26729000000000003</v>
      </c>
      <c r="L133" s="522">
        <v>0.26729000000000003</v>
      </c>
      <c r="M133" s="522">
        <v>0.26729000000000003</v>
      </c>
      <c r="N133" s="522">
        <v>0.26729000000000003</v>
      </c>
      <c r="O133" s="522">
        <v>0.26729000000000003</v>
      </c>
      <c r="P133" s="522">
        <v>0.26729000000000003</v>
      </c>
      <c r="Q133" s="30"/>
      <c r="R133" s="30"/>
      <c r="S133" s="30"/>
      <c r="T133" s="30"/>
      <c r="U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  <c r="AT133" s="30"/>
      <c r="AU133" s="30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  <c r="DB133" s="30"/>
      <c r="DC133" s="30"/>
      <c r="DD133" s="30"/>
      <c r="DE133" s="30"/>
      <c r="DF133" s="30"/>
      <c r="DG133" s="30"/>
      <c r="DH133" s="30"/>
      <c r="DI133" s="30"/>
      <c r="DJ133" s="30"/>
      <c r="DK133" s="30"/>
      <c r="DL133" s="30"/>
      <c r="DM133" s="30"/>
      <c r="DN133" s="30"/>
      <c r="DO133" s="30"/>
      <c r="DP133" s="30"/>
      <c r="DQ133" s="30"/>
      <c r="DR133" s="30"/>
      <c r="DS133" s="30"/>
      <c r="DT133" s="30"/>
      <c r="DU133" s="30"/>
      <c r="DV133" s="30"/>
      <c r="DW133" s="30"/>
      <c r="DX133" s="30"/>
      <c r="DY133" s="30"/>
      <c r="DZ133" s="30"/>
      <c r="EA133" s="30"/>
      <c r="EB133" s="30"/>
      <c r="EC133" s="30"/>
      <c r="ED133" s="30"/>
      <c r="EE133" s="30"/>
      <c r="EF133" s="30"/>
      <c r="EG133" s="30"/>
      <c r="EH133" s="30"/>
      <c r="EI133" s="30"/>
      <c r="EJ133" s="30"/>
      <c r="EK133" s="30"/>
      <c r="EL133" s="30"/>
      <c r="EM133" s="30"/>
      <c r="EN133" s="30"/>
    </row>
    <row r="134" spans="1:144" thickBot="1" x14ac:dyDescent="0.4">
      <c r="A134" s="37"/>
      <c r="B134" s="143" t="s">
        <v>119</v>
      </c>
      <c r="C134" s="146" t="s">
        <v>120</v>
      </c>
      <c r="D134" s="145" t="s">
        <v>64</v>
      </c>
      <c r="E134" s="57">
        <v>3.4380000000000002</v>
      </c>
      <c r="F134" s="219">
        <v>2.9169999999999998</v>
      </c>
      <c r="G134" s="55">
        <v>5.0119999999999996</v>
      </c>
      <c r="H134" s="55">
        <v>4.7930000000000001</v>
      </c>
      <c r="I134" s="56">
        <v>3.9</v>
      </c>
      <c r="J134" s="522">
        <v>3.9</v>
      </c>
      <c r="K134" s="522">
        <v>3.9</v>
      </c>
      <c r="L134" s="522">
        <v>3.9</v>
      </c>
      <c r="M134" s="522">
        <v>3.9</v>
      </c>
      <c r="N134" s="522">
        <v>3.9</v>
      </c>
      <c r="O134" s="522">
        <v>3.9</v>
      </c>
      <c r="P134" s="522">
        <v>3.9</v>
      </c>
      <c r="Q134" s="30"/>
      <c r="R134" s="30"/>
      <c r="S134" s="30"/>
      <c r="T134" s="30"/>
      <c r="U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  <c r="AT134" s="30"/>
      <c r="AU134" s="30"/>
      <c r="AV134" s="30"/>
      <c r="AW134" s="30"/>
      <c r="AX134" s="30"/>
      <c r="AY134" s="30"/>
      <c r="AZ134" s="30"/>
      <c r="BA134" s="30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30"/>
      <c r="DX134" s="3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</row>
    <row r="135" spans="1:144" thickBot="1" x14ac:dyDescent="0.4">
      <c r="A135" s="30"/>
      <c r="B135" s="143" t="s">
        <v>220</v>
      </c>
      <c r="C135" s="146" t="s">
        <v>221</v>
      </c>
      <c r="D135" s="145" t="s">
        <v>222</v>
      </c>
      <c r="E135" s="57">
        <f>($G$111/(3600*1000))/(E130*E133)</f>
        <v>1.341053727721514</v>
      </c>
      <c r="F135" s="219">
        <f>($G$111/(3600*1000))/(F130*F133)</f>
        <v>1.8269126992414602</v>
      </c>
      <c r="G135" s="55">
        <f>($G$111/(3600*1000))/(G130*G133)</f>
        <v>1.5891882586149131</v>
      </c>
      <c r="H135" s="55">
        <f>($G$111/(3600*1000))/(H130*H133)</f>
        <v>1.3367126617985423</v>
      </c>
      <c r="I135" s="56">
        <f>($G$111/(3600*1000))/(I130*I133)</f>
        <v>1.1787853240635546</v>
      </c>
      <c r="J135" s="522">
        <f t="shared" ref="J135:P135" si="58">($G$111/(3600*1000))/(J130*J133)</f>
        <v>1.0327417484826524</v>
      </c>
      <c r="K135" s="522">
        <f t="shared" si="58"/>
        <v>0.89287726771898235</v>
      </c>
      <c r="L135" s="522" t="e">
        <f t="shared" si="58"/>
        <v>#VALUE!</v>
      </c>
      <c r="M135" s="522" t="e">
        <f t="shared" si="58"/>
        <v>#VALUE!</v>
      </c>
      <c r="N135" s="522" t="e">
        <f t="shared" si="58"/>
        <v>#VALUE!</v>
      </c>
      <c r="O135" s="522" t="e">
        <f t="shared" si="58"/>
        <v>#VALUE!</v>
      </c>
      <c r="P135" s="522" t="e">
        <f t="shared" si="58"/>
        <v>#VALUE!</v>
      </c>
      <c r="Q135" s="30"/>
      <c r="R135" s="30"/>
      <c r="S135" s="30"/>
      <c r="T135" s="30"/>
      <c r="U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  <c r="AT135" s="30"/>
      <c r="AU135" s="30"/>
      <c r="AV135" s="30"/>
      <c r="AW135" s="30"/>
      <c r="AX135" s="30"/>
      <c r="AY135" s="30"/>
      <c r="AZ135" s="30"/>
      <c r="BA135" s="30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30"/>
      <c r="DX135" s="3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</row>
    <row r="136" spans="1:144" thickBot="1" x14ac:dyDescent="0.4">
      <c r="A136" s="30"/>
      <c r="B136" s="143" t="s">
        <v>223</v>
      </c>
      <c r="C136" s="146" t="s">
        <v>224</v>
      </c>
      <c r="D136" s="145" t="s">
        <v>15</v>
      </c>
      <c r="E136" s="57">
        <f>+E89</f>
        <v>611.21667661652873</v>
      </c>
      <c r="F136" s="219">
        <f>+F89</f>
        <v>102.7864094207613</v>
      </c>
      <c r="G136" s="55">
        <f>+G89</f>
        <v>154.07564269088823</v>
      </c>
      <c r="H136" s="55">
        <f>+H89</f>
        <v>109.31625369822589</v>
      </c>
      <c r="I136" s="56">
        <f>+I89</f>
        <v>61.625702765377071</v>
      </c>
      <c r="J136" s="522" t="e">
        <f t="shared" ref="J136:P136" si="59">+J89</f>
        <v>#VALUE!</v>
      </c>
      <c r="K136" s="522" t="e">
        <f t="shared" si="59"/>
        <v>#VALUE!</v>
      </c>
      <c r="L136" s="522" t="e">
        <f t="shared" si="59"/>
        <v>#VALUE!</v>
      </c>
      <c r="M136" s="522" t="e">
        <f t="shared" si="59"/>
        <v>#VALUE!</v>
      </c>
      <c r="N136" s="522" t="e">
        <f t="shared" si="59"/>
        <v>#VALUE!</v>
      </c>
      <c r="O136" s="522" t="e">
        <f t="shared" si="59"/>
        <v>#VALUE!</v>
      </c>
      <c r="P136" s="522" t="e">
        <f t="shared" si="59"/>
        <v>#VALUE!</v>
      </c>
      <c r="Q136" s="30"/>
      <c r="R136" s="30"/>
      <c r="S136" s="30"/>
      <c r="T136" s="30"/>
      <c r="U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0"/>
      <c r="DM136" s="30"/>
      <c r="DN136" s="30"/>
      <c r="DO136" s="30"/>
      <c r="DP136" s="30"/>
      <c r="DQ136" s="30"/>
      <c r="DR136" s="30"/>
      <c r="DS136" s="30"/>
      <c r="DT136" s="30"/>
      <c r="DU136" s="30"/>
      <c r="DV136" s="30"/>
      <c r="DW136" s="30"/>
      <c r="DX136" s="30"/>
      <c r="DY136" s="30"/>
      <c r="DZ136" s="30"/>
      <c r="EA136" s="30"/>
      <c r="EB136" s="30"/>
      <c r="EC136" s="30"/>
      <c r="ED136" s="30"/>
      <c r="EE136" s="30"/>
      <c r="EF136" s="30"/>
      <c r="EG136" s="30"/>
      <c r="EH136" s="30"/>
      <c r="EI136" s="30"/>
      <c r="EJ136" s="30"/>
      <c r="EK136" s="30"/>
      <c r="EL136" s="30"/>
      <c r="EM136" s="30"/>
      <c r="EN136" s="30"/>
    </row>
    <row r="137" spans="1:144" thickBot="1" x14ac:dyDescent="0.4">
      <c r="A137" s="30"/>
      <c r="B137" s="143" t="s">
        <v>225</v>
      </c>
      <c r="C137" s="146" t="s">
        <v>216</v>
      </c>
      <c r="D137" s="145" t="s">
        <v>226</v>
      </c>
      <c r="E137" s="147">
        <f>0.0000175+0.0000000335*E136</f>
        <v>3.7975758666653712E-5</v>
      </c>
      <c r="F137" s="220">
        <f t="shared" ref="F137:I137" si="60">0.0000175+0.0000000335*F136</f>
        <v>2.0943344715595501E-5</v>
      </c>
      <c r="G137" s="148">
        <f t="shared" si="60"/>
        <v>2.2661534030144753E-5</v>
      </c>
      <c r="H137" s="148">
        <f t="shared" si="60"/>
        <v>2.1162094498890567E-5</v>
      </c>
      <c r="I137" s="149">
        <f t="shared" si="60"/>
        <v>1.9564461042640132E-5</v>
      </c>
      <c r="J137" s="523" t="e">
        <f t="shared" ref="J137:P137" si="61">0.0000175+0.0000000335*J136</f>
        <v>#VALUE!</v>
      </c>
      <c r="K137" s="523" t="e">
        <f t="shared" si="61"/>
        <v>#VALUE!</v>
      </c>
      <c r="L137" s="523" t="e">
        <f t="shared" si="61"/>
        <v>#VALUE!</v>
      </c>
      <c r="M137" s="523" t="e">
        <f t="shared" si="61"/>
        <v>#VALUE!</v>
      </c>
      <c r="N137" s="523" t="e">
        <f t="shared" si="61"/>
        <v>#VALUE!</v>
      </c>
      <c r="O137" s="523" t="e">
        <f t="shared" si="61"/>
        <v>#VALUE!</v>
      </c>
      <c r="P137" s="523" t="e">
        <f t="shared" si="61"/>
        <v>#VALUE!</v>
      </c>
      <c r="Q137" s="30"/>
      <c r="R137" s="30"/>
      <c r="S137" s="30"/>
      <c r="T137" s="30"/>
      <c r="U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  <c r="AT137" s="30"/>
      <c r="AU137" s="30"/>
      <c r="AV137" s="30"/>
      <c r="AW137" s="30"/>
      <c r="AX137" s="30"/>
      <c r="AY137" s="30"/>
      <c r="AZ137" s="30"/>
      <c r="BA137" s="30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  <c r="DB137" s="30"/>
      <c r="DC137" s="30"/>
      <c r="DD137" s="30"/>
      <c r="DE137" s="30"/>
      <c r="DF137" s="30"/>
      <c r="DG137" s="30"/>
      <c r="DH137" s="30"/>
      <c r="DI137" s="30"/>
      <c r="DJ137" s="30"/>
      <c r="DK137" s="30"/>
      <c r="DL137" s="30"/>
      <c r="DM137" s="30"/>
      <c r="DN137" s="30"/>
      <c r="DO137" s="30"/>
      <c r="DP137" s="30"/>
      <c r="DQ137" s="30"/>
      <c r="DR137" s="30"/>
      <c r="DS137" s="30"/>
      <c r="DT137" s="30"/>
      <c r="DU137" s="30"/>
      <c r="DV137" s="30"/>
      <c r="DW137" s="30"/>
      <c r="DX137" s="30"/>
      <c r="DY137" s="30"/>
      <c r="DZ137" s="30"/>
      <c r="EA137" s="30"/>
      <c r="EB137" s="30"/>
      <c r="EC137" s="30"/>
      <c r="ED137" s="30"/>
      <c r="EE137" s="30"/>
      <c r="EF137" s="30"/>
      <c r="EG137" s="30"/>
      <c r="EH137" s="30"/>
      <c r="EI137" s="30"/>
      <c r="EJ137" s="30"/>
      <c r="EK137" s="30"/>
      <c r="EL137" s="30"/>
      <c r="EM137" s="30"/>
      <c r="EN137" s="30"/>
    </row>
    <row r="138" spans="1:144" thickBot="1" x14ac:dyDescent="0.4">
      <c r="A138" s="30"/>
      <c r="B138" s="143" t="s">
        <v>227</v>
      </c>
      <c r="C138" s="146" t="s">
        <v>228</v>
      </c>
      <c r="D138" s="145" t="s">
        <v>229</v>
      </c>
      <c r="E138" s="147">
        <f>E131/E130</f>
        <v>2.2969388474539389E-4</v>
      </c>
      <c r="F138" s="220">
        <f t="shared" ref="F138:I138" si="62">F131/F130</f>
        <v>1.8771606062666299E-4</v>
      </c>
      <c r="G138" s="148">
        <f t="shared" si="62"/>
        <v>1.3320266024770594E-4</v>
      </c>
      <c r="H138" s="148">
        <f t="shared" si="62"/>
        <v>7.9895651416520816E-5</v>
      </c>
      <c r="I138" s="149">
        <f t="shared" si="62"/>
        <v>5.7886632112566284E-5</v>
      </c>
      <c r="J138" s="523">
        <f t="shared" ref="J138:P138" si="63">J131/J130</f>
        <v>4.6295417759870178E-5</v>
      </c>
      <c r="K138" s="523">
        <f t="shared" si="63"/>
        <v>3.6366357795538799E-5</v>
      </c>
      <c r="L138" s="523" t="e">
        <f t="shared" si="63"/>
        <v>#VALUE!</v>
      </c>
      <c r="M138" s="523" t="e">
        <f t="shared" si="63"/>
        <v>#VALUE!</v>
      </c>
      <c r="N138" s="523" t="e">
        <f t="shared" si="63"/>
        <v>#VALUE!</v>
      </c>
      <c r="O138" s="523" t="e">
        <f t="shared" si="63"/>
        <v>#VALUE!</v>
      </c>
      <c r="P138" s="523" t="e">
        <f t="shared" si="63"/>
        <v>#VALUE!</v>
      </c>
      <c r="Q138" s="30"/>
      <c r="R138" s="30"/>
      <c r="S138" s="30"/>
      <c r="T138" s="30"/>
      <c r="U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  <c r="AT138" s="30"/>
      <c r="AU138" s="30"/>
      <c r="AV138" s="30"/>
      <c r="AW138" s="30"/>
      <c r="AX138" s="30"/>
      <c r="AY138" s="30"/>
      <c r="AZ138" s="30"/>
      <c r="BA138" s="30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30"/>
      <c r="DX138" s="3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</row>
    <row r="139" spans="1:144" thickBot="1" x14ac:dyDescent="0.4">
      <c r="A139" s="30"/>
      <c r="B139" s="143" t="s">
        <v>230</v>
      </c>
      <c r="C139" s="146" t="s">
        <v>231</v>
      </c>
      <c r="D139" s="150" t="s">
        <v>131</v>
      </c>
      <c r="E139" s="57">
        <f>E131*E129/E132</f>
        <v>0.77217924560082751</v>
      </c>
      <c r="F139" s="219">
        <f t="shared" ref="F139:I139" si="64">F131*F129/F132</f>
        <v>0.7657648485330012</v>
      </c>
      <c r="G139" s="55">
        <f>G131*G129/G132</f>
        <v>0.75615945063065304</v>
      </c>
      <c r="H139" s="55">
        <f t="shared" si="64"/>
        <v>0.74374346977837158</v>
      </c>
      <c r="I139" s="56">
        <f t="shared" si="64"/>
        <v>0.74304517465712971</v>
      </c>
      <c r="J139" s="522">
        <f t="shared" ref="J139:P139" si="65">J131*J129/J132</f>
        <v>0.74712035859102433</v>
      </c>
      <c r="K139" s="522">
        <f t="shared" si="65"/>
        <v>0.7559384056279298</v>
      </c>
      <c r="L139" s="522" t="e">
        <f t="shared" si="65"/>
        <v>#VALUE!</v>
      </c>
      <c r="M139" s="522" t="e">
        <f t="shared" si="65"/>
        <v>#VALUE!</v>
      </c>
      <c r="N139" s="522" t="e">
        <f t="shared" si="65"/>
        <v>#VALUE!</v>
      </c>
      <c r="O139" s="522" t="e">
        <f t="shared" si="65"/>
        <v>#VALUE!</v>
      </c>
      <c r="P139" s="522" t="e">
        <f t="shared" si="65"/>
        <v>#VALUE!</v>
      </c>
      <c r="Q139" s="30"/>
      <c r="R139" s="30"/>
      <c r="S139" s="30"/>
      <c r="T139" s="30"/>
      <c r="U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  <c r="AT139" s="30"/>
      <c r="AU139" s="30"/>
      <c r="AV139" s="30"/>
      <c r="AW139" s="30"/>
      <c r="AX139" s="30"/>
      <c r="AY139" s="30"/>
      <c r="AZ139" s="30"/>
      <c r="BA139" s="30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/>
      <c r="DW139" s="30"/>
      <c r="DX139" s="30"/>
      <c r="DY139" s="30"/>
      <c r="DZ139" s="30"/>
      <c r="EA139" s="30"/>
      <c r="EB139" s="30"/>
      <c r="EC139" s="30"/>
      <c r="ED139" s="30"/>
      <c r="EE139" s="30"/>
      <c r="EF139" s="30"/>
      <c r="EG139" s="30"/>
      <c r="EH139" s="30"/>
      <c r="EI139" s="30"/>
      <c r="EJ139" s="30"/>
      <c r="EK139" s="30"/>
      <c r="EL139" s="30"/>
      <c r="EM139" s="30"/>
      <c r="EN139" s="30"/>
    </row>
    <row r="140" spans="1:144" thickBot="1" x14ac:dyDescent="0.4">
      <c r="A140" s="30"/>
      <c r="B140" s="143" t="s">
        <v>121</v>
      </c>
      <c r="C140" s="146" t="s">
        <v>122</v>
      </c>
      <c r="D140" s="145" t="s">
        <v>64</v>
      </c>
      <c r="E140" s="57">
        <f>4*E133/E134</f>
        <v>0.59417335660267601</v>
      </c>
      <c r="F140" s="219">
        <f>4*F133/F134</f>
        <v>0.4603743572163182</v>
      </c>
      <c r="G140" s="55">
        <f>4*G133/G134</f>
        <v>0.25477094972067044</v>
      </c>
      <c r="H140" s="55">
        <f t="shared" ref="H140:I140" si="66">4*H133/H134</f>
        <v>0.23718255789693304</v>
      </c>
      <c r="I140" s="56">
        <f t="shared" si="66"/>
        <v>0.27414358974358977</v>
      </c>
      <c r="J140" s="522">
        <f t="shared" ref="J140:P140" si="67">4*J133/J134</f>
        <v>0.27414358974358977</v>
      </c>
      <c r="K140" s="522">
        <f t="shared" si="67"/>
        <v>0.27414358974358977</v>
      </c>
      <c r="L140" s="522">
        <f t="shared" si="67"/>
        <v>0.27414358974358977</v>
      </c>
      <c r="M140" s="522">
        <f t="shared" si="67"/>
        <v>0.27414358974358977</v>
      </c>
      <c r="N140" s="522">
        <f t="shared" si="67"/>
        <v>0.27414358974358977</v>
      </c>
      <c r="O140" s="522">
        <f t="shared" si="67"/>
        <v>0.27414358974358977</v>
      </c>
      <c r="P140" s="522">
        <f t="shared" si="67"/>
        <v>0.27414358974358977</v>
      </c>
      <c r="Q140" s="30"/>
      <c r="R140" s="30"/>
      <c r="S140" s="30"/>
      <c r="T140" s="30"/>
      <c r="U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  <c r="AT140" s="30"/>
      <c r="AU140" s="30"/>
      <c r="AV140" s="30"/>
      <c r="AW140" s="30"/>
      <c r="AX140" s="30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30"/>
      <c r="DX140" s="3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</row>
    <row r="141" spans="1:144" thickBot="1" x14ac:dyDescent="0.4">
      <c r="A141" s="30"/>
      <c r="B141" s="143" t="s">
        <v>232</v>
      </c>
      <c r="C141" s="146" t="s">
        <v>233</v>
      </c>
      <c r="D141" s="145" t="s">
        <v>131</v>
      </c>
      <c r="E141" s="147">
        <f>(E130*E135*E140)/E131</f>
        <v>3469.0448797453323</v>
      </c>
      <c r="F141" s="220">
        <f t="shared" ref="F141:I141" si="68">(F130*F135*F140)/F131</f>
        <v>4480.5103878477203</v>
      </c>
      <c r="G141" s="148">
        <f t="shared" si="68"/>
        <v>3039.5714408356403</v>
      </c>
      <c r="H141" s="148">
        <f t="shared" si="68"/>
        <v>3968.2376033927399</v>
      </c>
      <c r="I141" s="149">
        <f t="shared" si="68"/>
        <v>5582.5745682946963</v>
      </c>
      <c r="J141" s="523">
        <f t="shared" ref="J141:P141" si="69">(J130*J135*J140)/J131</f>
        <v>6115.497902527185</v>
      </c>
      <c r="K141" s="523">
        <f t="shared" si="69"/>
        <v>6730.8521999681197</v>
      </c>
      <c r="L141" s="523" t="e">
        <f t="shared" si="69"/>
        <v>#VALUE!</v>
      </c>
      <c r="M141" s="523" t="e">
        <f t="shared" si="69"/>
        <v>#VALUE!</v>
      </c>
      <c r="N141" s="523" t="e">
        <f t="shared" si="69"/>
        <v>#VALUE!</v>
      </c>
      <c r="O141" s="523" t="e">
        <f t="shared" si="69"/>
        <v>#VALUE!</v>
      </c>
      <c r="P141" s="523" t="e">
        <f t="shared" si="69"/>
        <v>#VALUE!</v>
      </c>
      <c r="Q141" s="30"/>
      <c r="R141" s="30"/>
      <c r="S141" s="30"/>
      <c r="T141" s="30"/>
      <c r="U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  <c r="AT141" s="30"/>
      <c r="AU141" s="30"/>
      <c r="AV141" s="30"/>
      <c r="AW141" s="30"/>
      <c r="AX141" s="30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30"/>
      <c r="DX141" s="3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</row>
    <row r="142" spans="1:144" thickBot="1" x14ac:dyDescent="0.4">
      <c r="A142" s="30"/>
      <c r="B142" s="143" t="s">
        <v>277</v>
      </c>
      <c r="C142" s="146" t="s">
        <v>235</v>
      </c>
      <c r="D142" s="145" t="s">
        <v>131</v>
      </c>
      <c r="E142" s="57">
        <f>0.664*E141^(1/2)*E139^(1/3)</f>
        <v>35.879447497845518</v>
      </c>
      <c r="F142" s="219">
        <f t="shared" ref="F142:I142" si="70">0.664*F141^(1/2)*F139^(1/3)</f>
        <v>40.662770550631926</v>
      </c>
      <c r="G142" s="55">
        <f>0.664*G141^(1/2)*G139^(1/3)</f>
        <v>33.351245084002208</v>
      </c>
      <c r="H142" s="55">
        <f t="shared" si="70"/>
        <v>37.897273732198919</v>
      </c>
      <c r="I142" s="56">
        <f t="shared" si="70"/>
        <v>44.935586916144132</v>
      </c>
      <c r="J142" s="522">
        <f t="shared" ref="J142:P142" si="71">0.664*J141^(1/2)*J139^(1/3)</f>
        <v>47.117348964575541</v>
      </c>
      <c r="K142" s="522">
        <f t="shared" si="71"/>
        <v>49.624777958277726</v>
      </c>
      <c r="L142" s="522" t="e">
        <f t="shared" si="71"/>
        <v>#VALUE!</v>
      </c>
      <c r="M142" s="522" t="e">
        <f t="shared" si="71"/>
        <v>#VALUE!</v>
      </c>
      <c r="N142" s="522" t="e">
        <f t="shared" si="71"/>
        <v>#VALUE!</v>
      </c>
      <c r="O142" s="522" t="e">
        <f t="shared" si="71"/>
        <v>#VALUE!</v>
      </c>
      <c r="P142" s="522" t="e">
        <f t="shared" si="71"/>
        <v>#VALUE!</v>
      </c>
      <c r="Q142" s="30"/>
      <c r="R142" s="30"/>
      <c r="S142" s="30"/>
      <c r="T142" s="30"/>
      <c r="U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  <c r="AT142" s="30"/>
      <c r="AU142" s="30"/>
      <c r="AV142" s="30"/>
      <c r="AW142" s="30"/>
      <c r="AX142" s="30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</row>
    <row r="143" spans="1:144" thickBot="1" x14ac:dyDescent="0.4">
      <c r="A143" s="30"/>
      <c r="B143" s="143" t="s">
        <v>278</v>
      </c>
      <c r="C143" s="146" t="s">
        <v>235</v>
      </c>
      <c r="D143" s="145" t="s">
        <v>131</v>
      </c>
      <c r="E143" s="57">
        <f>(0.037*E141^(0.8)*E139)/(1+2.443*E141^(-0.1)*(E139^0.67-1))</f>
        <v>23.444296888476575</v>
      </c>
      <c r="F143" s="219">
        <f t="shared" ref="F143:I143" si="72">(0.037*F141^(0.8)*F139)/(1+2.443*F141^(-0.1)*(F139^0.67-1))</f>
        <v>28.550976622083059</v>
      </c>
      <c r="G143" s="55">
        <f t="shared" si="72"/>
        <v>21.039130337298975</v>
      </c>
      <c r="H143" s="55">
        <f t="shared" si="72"/>
        <v>25.766594892492733</v>
      </c>
      <c r="I143" s="56">
        <f t="shared" si="72"/>
        <v>33.579515683176545</v>
      </c>
      <c r="J143" s="522">
        <f t="shared" ref="J143:P143" si="73">(0.037*J141^(0.8)*J139)/(1+2.443*J141^(-0.1)*(J139^0.67-1))</f>
        <v>36.107227774158311</v>
      </c>
      <c r="K143" s="522">
        <f t="shared" si="73"/>
        <v>39.04997500699038</v>
      </c>
      <c r="L143" s="522" t="e">
        <f t="shared" si="73"/>
        <v>#VALUE!</v>
      </c>
      <c r="M143" s="522" t="e">
        <f t="shared" si="73"/>
        <v>#VALUE!</v>
      </c>
      <c r="N143" s="522" t="e">
        <f t="shared" si="73"/>
        <v>#VALUE!</v>
      </c>
      <c r="O143" s="522" t="e">
        <f t="shared" si="73"/>
        <v>#VALUE!</v>
      </c>
      <c r="P143" s="522" t="e">
        <f t="shared" si="73"/>
        <v>#VALUE!</v>
      </c>
      <c r="Q143" s="30"/>
      <c r="R143" s="30"/>
      <c r="S143" s="30"/>
      <c r="T143" s="30"/>
      <c r="U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  <c r="AT143" s="30"/>
      <c r="AU143" s="30"/>
      <c r="AV143" s="30"/>
      <c r="AW143" s="30"/>
      <c r="AX143" s="30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</row>
    <row r="144" spans="1:144" thickBot="1" x14ac:dyDescent="0.4">
      <c r="A144" s="30"/>
      <c r="B144" s="143" t="s">
        <v>279</v>
      </c>
      <c r="C144" s="146" t="s">
        <v>235</v>
      </c>
      <c r="D144" s="145" t="s">
        <v>131</v>
      </c>
      <c r="E144" s="57">
        <f t="shared" ref="E144" si="74">SQRT(E142^2+E143^2)</f>
        <v>42.859885783161921</v>
      </c>
      <c r="F144" s="219">
        <f t="shared" ref="F144:I144" si="75">SQRT(F142^2+F143^2)</f>
        <v>49.685200763688904</v>
      </c>
      <c r="G144" s="55">
        <f t="shared" si="75"/>
        <v>39.432861346889794</v>
      </c>
      <c r="H144" s="55">
        <f t="shared" si="75"/>
        <v>45.827074625018852</v>
      </c>
      <c r="I144" s="56">
        <f t="shared" si="75"/>
        <v>56.096264091426299</v>
      </c>
      <c r="J144" s="522">
        <f t="shared" ref="J144:P144" si="76">SQRT(J142^2+J143^2)</f>
        <v>59.361405567797476</v>
      </c>
      <c r="K144" s="522">
        <f t="shared" si="76"/>
        <v>63.14680621737682</v>
      </c>
      <c r="L144" s="522" t="e">
        <f t="shared" si="76"/>
        <v>#VALUE!</v>
      </c>
      <c r="M144" s="522" t="e">
        <f t="shared" si="76"/>
        <v>#VALUE!</v>
      </c>
      <c r="N144" s="522" t="e">
        <f t="shared" si="76"/>
        <v>#VALUE!</v>
      </c>
      <c r="O144" s="522" t="e">
        <f t="shared" si="76"/>
        <v>#VALUE!</v>
      </c>
      <c r="P144" s="522" t="e">
        <f t="shared" si="76"/>
        <v>#VALUE!</v>
      </c>
      <c r="Q144" s="30"/>
      <c r="R144" s="30"/>
      <c r="S144" s="30"/>
      <c r="T144" s="30"/>
      <c r="U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  <c r="AT144" s="30"/>
      <c r="AU144" s="30"/>
      <c r="AV144" s="30"/>
      <c r="AW144" s="30"/>
      <c r="AX144" s="30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30"/>
      <c r="DX144" s="3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</row>
    <row r="145" spans="1:144" thickBot="1" x14ac:dyDescent="0.4">
      <c r="A145" s="30"/>
      <c r="B145" s="143" t="s">
        <v>276</v>
      </c>
      <c r="C145" s="146" t="s">
        <v>235</v>
      </c>
      <c r="D145" s="145" t="s">
        <v>131</v>
      </c>
      <c r="E145" s="57">
        <f>2+ (0.4*E141^0.5+0.06*E141^(2/3))*E139^(0.4)*(E131/E137)^(1/4)</f>
        <v>38.285471662057937</v>
      </c>
      <c r="F145" s="219">
        <f t="shared" ref="F145:I145" si="77">2+ (0.4*F141^0.5+0.06*F141^(2/3))*F139^(0.4)*(F131/F137)^(1/4)</f>
        <v>49.362854391262026</v>
      </c>
      <c r="G145" s="55">
        <f t="shared" si="77"/>
        <v>37.75760827193816</v>
      </c>
      <c r="H145" s="55">
        <f t="shared" si="77"/>
        <v>41.704068904672567</v>
      </c>
      <c r="I145" s="56">
        <f t="shared" si="77"/>
        <v>49.4284516274599</v>
      </c>
      <c r="J145" s="522" t="e">
        <f t="shared" ref="J145:P145" si="78">2+ (0.4*J141^0.5+0.06*J141^(2/3))*J139^(0.4)*(J131/J137)^(1/4)</f>
        <v>#VALUE!</v>
      </c>
      <c r="K145" s="522" t="e">
        <f t="shared" si="78"/>
        <v>#VALUE!</v>
      </c>
      <c r="L145" s="522" t="e">
        <f t="shared" si="78"/>
        <v>#VALUE!</v>
      </c>
      <c r="M145" s="522" t="e">
        <f t="shared" si="78"/>
        <v>#VALUE!</v>
      </c>
      <c r="N145" s="522" t="e">
        <f t="shared" si="78"/>
        <v>#VALUE!</v>
      </c>
      <c r="O145" s="522" t="e">
        <f t="shared" si="78"/>
        <v>#VALUE!</v>
      </c>
      <c r="P145" s="522" t="e">
        <f t="shared" si="78"/>
        <v>#VALUE!</v>
      </c>
      <c r="Q145" s="30"/>
      <c r="R145" s="30"/>
      <c r="S145" s="30"/>
      <c r="T145" s="30"/>
      <c r="U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  <c r="AT145" s="30"/>
      <c r="AU145" s="30"/>
      <c r="AV145" s="30"/>
      <c r="AW145" s="30"/>
      <c r="AX145" s="30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/>
      <c r="DW145" s="30"/>
      <c r="DX145" s="30"/>
      <c r="DY145" s="30"/>
      <c r="DZ145" s="30"/>
      <c r="EA145" s="30"/>
      <c r="EB145" s="30"/>
      <c r="EC145" s="30"/>
      <c r="ED145" s="30"/>
      <c r="EE145" s="30"/>
      <c r="EF145" s="30"/>
      <c r="EG145" s="30"/>
      <c r="EH145" s="30"/>
      <c r="EI145" s="30"/>
      <c r="EJ145" s="30"/>
      <c r="EK145" s="30"/>
      <c r="EL145" s="30"/>
      <c r="EM145" s="30"/>
      <c r="EN145" s="30"/>
    </row>
    <row r="146" spans="1:144" thickBot="1" x14ac:dyDescent="0.4">
      <c r="A146" s="30"/>
      <c r="B146" s="151" t="s">
        <v>280</v>
      </c>
      <c r="C146" s="152" t="s">
        <v>235</v>
      </c>
      <c r="D146" s="153" t="s">
        <v>131</v>
      </c>
      <c r="E146" s="154">
        <f>2.36*(0.027*E141^0.8*E139^(1/3)*(E131/E137)^(1/4))-13.6</f>
        <v>29.239801455114701</v>
      </c>
      <c r="F146" s="221">
        <f t="shared" ref="F146:I146" si="79">2.36*(0.027*F141^0.8*F139^(1/3)*(F131/F137)^(1/4))-13.6</f>
        <v>45.85823487499767</v>
      </c>
      <c r="G146" s="58">
        <f t="shared" si="79"/>
        <v>27.361124161692338</v>
      </c>
      <c r="H146" s="58">
        <f t="shared" si="79"/>
        <v>34.92221545810937</v>
      </c>
      <c r="I146" s="59">
        <f t="shared" si="79"/>
        <v>49.241032308964655</v>
      </c>
      <c r="J146" s="524" t="e">
        <f t="shared" ref="J146:P146" si="80">2.36*(0.027*J141^0.8*J139^(1/3)*(J131/J137)^(1/4))-13.6</f>
        <v>#VALUE!</v>
      </c>
      <c r="K146" s="524" t="e">
        <f t="shared" si="80"/>
        <v>#VALUE!</v>
      </c>
      <c r="L146" s="524" t="e">
        <f t="shared" si="80"/>
        <v>#VALUE!</v>
      </c>
      <c r="M146" s="524" t="e">
        <f t="shared" si="80"/>
        <v>#VALUE!</v>
      </c>
      <c r="N146" s="524" t="e">
        <f t="shared" si="80"/>
        <v>#VALUE!</v>
      </c>
      <c r="O146" s="524" t="e">
        <f t="shared" si="80"/>
        <v>#VALUE!</v>
      </c>
      <c r="P146" s="524" t="e">
        <f t="shared" si="80"/>
        <v>#VALUE!</v>
      </c>
      <c r="Q146" s="30"/>
      <c r="R146" s="30"/>
      <c r="S146" s="30"/>
      <c r="T146" s="30"/>
      <c r="U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  <c r="AT146" s="30"/>
      <c r="AU146" s="30"/>
      <c r="AV146" s="30"/>
      <c r="AW146" s="30"/>
      <c r="AX146" s="30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</row>
    <row r="147" spans="1:144" thickBot="1" x14ac:dyDescent="0.4">
      <c r="A147" s="30"/>
      <c r="B147" s="165" t="s">
        <v>234</v>
      </c>
      <c r="C147" s="180" t="s">
        <v>235</v>
      </c>
      <c r="D147" s="181" t="s">
        <v>131</v>
      </c>
      <c r="E147" s="196">
        <f>+E145</f>
        <v>38.285471662057937</v>
      </c>
      <c r="F147" s="218">
        <f>+F145</f>
        <v>49.362854391262026</v>
      </c>
      <c r="G147" s="197">
        <f>+G143</f>
        <v>21.039130337298975</v>
      </c>
      <c r="H147" s="197">
        <f>+H143</f>
        <v>25.766594892492733</v>
      </c>
      <c r="I147" s="198">
        <f>+I143</f>
        <v>33.579515683176545</v>
      </c>
      <c r="J147" s="521">
        <f t="shared" ref="J147:P147" si="81">+J143</f>
        <v>36.107227774158311</v>
      </c>
      <c r="K147" s="521">
        <f t="shared" si="81"/>
        <v>39.04997500699038</v>
      </c>
      <c r="L147" s="521" t="e">
        <f t="shared" si="81"/>
        <v>#VALUE!</v>
      </c>
      <c r="M147" s="521" t="e">
        <f t="shared" si="81"/>
        <v>#VALUE!</v>
      </c>
      <c r="N147" s="521" t="e">
        <f t="shared" si="81"/>
        <v>#VALUE!</v>
      </c>
      <c r="O147" s="521" t="e">
        <f t="shared" si="81"/>
        <v>#VALUE!</v>
      </c>
      <c r="P147" s="521" t="e">
        <f t="shared" si="81"/>
        <v>#VALUE!</v>
      </c>
      <c r="Q147" s="30"/>
      <c r="R147" s="30"/>
      <c r="S147" s="30"/>
      <c r="T147" s="30"/>
      <c r="U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</row>
    <row r="148" spans="1:144" thickBot="1" x14ac:dyDescent="0.4">
      <c r="A148" s="30"/>
      <c r="B148" s="143" t="s">
        <v>121</v>
      </c>
      <c r="C148" s="146" t="s">
        <v>122</v>
      </c>
      <c r="D148" s="145" t="s">
        <v>64</v>
      </c>
      <c r="E148" s="386">
        <f>+E140</f>
        <v>0.59417335660267601</v>
      </c>
      <c r="F148" s="256">
        <f t="shared" ref="F148:I148" si="82">+F140</f>
        <v>0.4603743572163182</v>
      </c>
      <c r="G148" s="256">
        <f t="shared" si="82"/>
        <v>0.25477094972067044</v>
      </c>
      <c r="H148" s="256">
        <f t="shared" si="82"/>
        <v>0.23718255789693304</v>
      </c>
      <c r="I148" s="257">
        <f t="shared" si="82"/>
        <v>0.27414358974358977</v>
      </c>
      <c r="J148" s="525">
        <f t="shared" ref="J148:P148" si="83">+J140</f>
        <v>0.27414358974358977</v>
      </c>
      <c r="K148" s="525">
        <f t="shared" si="83"/>
        <v>0.27414358974358977</v>
      </c>
      <c r="L148" s="525">
        <f t="shared" si="83"/>
        <v>0.27414358974358977</v>
      </c>
      <c r="M148" s="525">
        <f t="shared" si="83"/>
        <v>0.27414358974358977</v>
      </c>
      <c r="N148" s="525">
        <f t="shared" si="83"/>
        <v>0.27414358974358977</v>
      </c>
      <c r="O148" s="525">
        <f t="shared" si="83"/>
        <v>0.27414358974358977</v>
      </c>
      <c r="P148" s="525">
        <f t="shared" si="83"/>
        <v>0.27414358974358977</v>
      </c>
      <c r="Q148" s="30"/>
      <c r="R148" s="30"/>
      <c r="S148" s="30"/>
      <c r="T148" s="30"/>
      <c r="U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0"/>
      <c r="DM148" s="30"/>
      <c r="DN148" s="30"/>
      <c r="DO148" s="30"/>
      <c r="DP148" s="30"/>
      <c r="DQ148" s="30"/>
      <c r="DR148" s="30"/>
      <c r="DS148" s="30"/>
      <c r="DT148" s="30"/>
      <c r="DU148" s="30"/>
      <c r="DV148" s="30"/>
      <c r="DW148" s="30"/>
      <c r="DX148" s="30"/>
      <c r="DY148" s="30"/>
      <c r="DZ148" s="30"/>
      <c r="EA148" s="30"/>
      <c r="EB148" s="30"/>
      <c r="EC148" s="30"/>
      <c r="ED148" s="30"/>
      <c r="EE148" s="30"/>
      <c r="EF148" s="30"/>
      <c r="EG148" s="30"/>
      <c r="EH148" s="30"/>
      <c r="EI148" s="30"/>
      <c r="EJ148" s="30"/>
      <c r="EK148" s="30"/>
      <c r="EL148" s="30"/>
      <c r="EM148" s="30"/>
      <c r="EN148" s="30"/>
    </row>
    <row r="149" spans="1:144" thickBot="1" x14ac:dyDescent="0.4">
      <c r="A149" s="30"/>
      <c r="B149" s="155" t="s">
        <v>236</v>
      </c>
      <c r="C149" s="144" t="s">
        <v>237</v>
      </c>
      <c r="D149" s="145" t="s">
        <v>30</v>
      </c>
      <c r="E149" s="124">
        <f t="shared" ref="E149:P149" si="84">+E50</f>
        <v>0.66100000000000003</v>
      </c>
      <c r="F149" s="125">
        <f t="shared" si="84"/>
        <v>0.31900000000000001</v>
      </c>
      <c r="G149" s="125">
        <f t="shared" si="84"/>
        <v>0.98399999999999999</v>
      </c>
      <c r="H149" s="125">
        <f t="shared" si="84"/>
        <v>0.94523999999999997</v>
      </c>
      <c r="I149" s="126">
        <f t="shared" si="84"/>
        <v>0.36699999999999999</v>
      </c>
      <c r="J149" s="526">
        <f t="shared" si="84"/>
        <v>0</v>
      </c>
      <c r="K149" s="526">
        <f t="shared" si="84"/>
        <v>0</v>
      </c>
      <c r="L149" s="526">
        <f t="shared" si="84"/>
        <v>0</v>
      </c>
      <c r="M149" s="526">
        <f t="shared" si="84"/>
        <v>0</v>
      </c>
      <c r="N149" s="526">
        <f t="shared" si="84"/>
        <v>0</v>
      </c>
      <c r="O149" s="526">
        <f t="shared" si="84"/>
        <v>0</v>
      </c>
      <c r="P149" s="526">
        <f t="shared" si="84"/>
        <v>0</v>
      </c>
      <c r="Q149" s="30"/>
      <c r="R149" s="30"/>
      <c r="S149" s="30"/>
      <c r="T149" s="30"/>
      <c r="U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30"/>
      <c r="DX149" s="3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</row>
    <row r="150" spans="1:144" thickBot="1" x14ac:dyDescent="0.4">
      <c r="A150" s="30"/>
      <c r="B150" s="143" t="s">
        <v>238</v>
      </c>
      <c r="C150" s="144" t="s">
        <v>63</v>
      </c>
      <c r="D150" s="145" t="s">
        <v>239</v>
      </c>
      <c r="E150" s="156">
        <f>E147*E132/E148</f>
        <v>5.6923199937188151E-3</v>
      </c>
      <c r="F150" s="222">
        <f>F147*F132/F148</f>
        <v>8.5416915864543665E-3</v>
      </c>
      <c r="G150" s="157">
        <f>G147*G132/G148</f>
        <v>5.5159357316635913E-3</v>
      </c>
      <c r="H150" s="157">
        <f>H147*H132/H148</f>
        <v>5.5764699217405213E-3</v>
      </c>
      <c r="I150" s="158">
        <f>I147*I132/I148</f>
        <v>5.3239639438722791E-3</v>
      </c>
      <c r="J150" s="527">
        <f t="shared" ref="J150:P150" si="85">J147*J132/J148</f>
        <v>5.1007690563885134E-3</v>
      </c>
      <c r="K150" s="527">
        <f t="shared" si="85"/>
        <v>4.8702228523581238E-3</v>
      </c>
      <c r="L150" s="527" t="e">
        <f t="shared" si="85"/>
        <v>#VALUE!</v>
      </c>
      <c r="M150" s="527" t="e">
        <f t="shared" si="85"/>
        <v>#VALUE!</v>
      </c>
      <c r="N150" s="527" t="e">
        <f t="shared" si="85"/>
        <v>#VALUE!</v>
      </c>
      <c r="O150" s="527" t="e">
        <f t="shared" si="85"/>
        <v>#VALUE!</v>
      </c>
      <c r="P150" s="527" t="e">
        <f t="shared" si="85"/>
        <v>#VALUE!</v>
      </c>
      <c r="Q150" s="30"/>
      <c r="R150" s="30"/>
      <c r="S150" s="30"/>
      <c r="T150" s="30"/>
      <c r="U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</row>
    <row r="151" spans="1:144" thickBot="1" x14ac:dyDescent="0.4">
      <c r="A151" s="30"/>
      <c r="B151" s="143" t="s">
        <v>363</v>
      </c>
      <c r="C151" s="144" t="s">
        <v>63</v>
      </c>
      <c r="D151" s="145" t="s">
        <v>239</v>
      </c>
      <c r="E151" s="182">
        <f>+E150</f>
        <v>5.6923199937188151E-3</v>
      </c>
      <c r="F151" s="223">
        <f>+F150</f>
        <v>8.5416915864543665E-3</v>
      </c>
      <c r="G151" s="179">
        <f>+hcnvi(G150,0.01,G35,G38,G50,G51,G86)</f>
        <v>1.7783180966700032E-2</v>
      </c>
      <c r="H151" s="179">
        <f>+hcnvi(H150,0.01,H35,H38,H50,H51,H86)</f>
        <v>2.749090357987791E-2</v>
      </c>
      <c r="I151" s="183">
        <f>+hcnvi(I150,0.01,I35,I38,I50,I51,I86)</f>
        <v>2.1914049668852117E-2</v>
      </c>
      <c r="J151" s="528" t="e">
        <f t="shared" ref="J151:P151" si="86">+hcnvi(J150,0.01,X40,X43,J50,J51,J86)</f>
        <v>#VALUE!</v>
      </c>
      <c r="K151" s="528" t="e">
        <f t="shared" si="86"/>
        <v>#VALUE!</v>
      </c>
      <c r="L151" s="528" t="e">
        <f t="shared" si="86"/>
        <v>#VALUE!</v>
      </c>
      <c r="M151" s="528" t="e">
        <f t="shared" si="86"/>
        <v>#VALUE!</v>
      </c>
      <c r="N151" s="528" t="e">
        <f t="shared" si="86"/>
        <v>#VALUE!</v>
      </c>
      <c r="O151" s="528" t="e">
        <f t="shared" si="86"/>
        <v>#VALUE!</v>
      </c>
      <c r="P151" s="528" t="e">
        <f t="shared" si="86"/>
        <v>#VALUE!</v>
      </c>
      <c r="Q151" s="30"/>
      <c r="R151" s="30"/>
      <c r="S151" s="30"/>
      <c r="T151" s="30"/>
      <c r="U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</row>
    <row r="152" spans="1:144" thickBot="1" x14ac:dyDescent="0.4">
      <c r="A152" s="30"/>
      <c r="B152" s="159" t="s">
        <v>240</v>
      </c>
      <c r="C152" s="160" t="s">
        <v>241</v>
      </c>
      <c r="D152" s="161" t="s">
        <v>21</v>
      </c>
      <c r="E152" s="162">
        <f>E149*E150*(E127-E136)</f>
        <v>1.5060110227836798</v>
      </c>
      <c r="F152" s="224">
        <f>F149*F150*(F127-F136)</f>
        <v>2.1104507515419635</v>
      </c>
      <c r="G152" s="163">
        <f>G149*G151*(G127-G136)</f>
        <v>9.1755404063397741</v>
      </c>
      <c r="H152" s="224">
        <f>H149*H150*(H127-H136)</f>
        <v>1.7401051058824151</v>
      </c>
      <c r="I152" s="265">
        <f>I149*I150*(I127-I136)</f>
        <v>0.50063573086680058</v>
      </c>
      <c r="J152" s="529" t="e">
        <f t="shared" ref="J152:P152" si="87">J149*J150*(J127-J136)</f>
        <v>#VALUE!</v>
      </c>
      <c r="K152" s="529" t="e">
        <f t="shared" si="87"/>
        <v>#VALUE!</v>
      </c>
      <c r="L152" s="529" t="e">
        <f t="shared" si="87"/>
        <v>#VALUE!</v>
      </c>
      <c r="M152" s="529" t="e">
        <f t="shared" si="87"/>
        <v>#VALUE!</v>
      </c>
      <c r="N152" s="529" t="e">
        <f t="shared" si="87"/>
        <v>#VALUE!</v>
      </c>
      <c r="O152" s="529" t="e">
        <f t="shared" si="87"/>
        <v>#VALUE!</v>
      </c>
      <c r="P152" s="529" t="e">
        <f t="shared" si="87"/>
        <v>#VALUE!</v>
      </c>
      <c r="Q152" s="30"/>
      <c r="R152" s="30"/>
      <c r="S152" s="30"/>
      <c r="T152" s="30"/>
      <c r="U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30"/>
      <c r="DX152" s="3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</row>
    <row r="153" spans="1:144" thickBot="1" x14ac:dyDescent="0.4">
      <c r="A153" s="535"/>
      <c r="B153" s="535"/>
      <c r="C153" s="535"/>
      <c r="D153" s="535"/>
      <c r="E153" s="535"/>
      <c r="F153" s="535"/>
      <c r="G153" s="535"/>
      <c r="H153" s="535"/>
      <c r="I153" s="535"/>
      <c r="J153" s="535"/>
      <c r="K153" s="535"/>
      <c r="L153" s="535"/>
      <c r="M153" s="535"/>
      <c r="N153" s="535"/>
      <c r="O153" s="535"/>
      <c r="P153" s="535"/>
      <c r="Q153" s="535"/>
      <c r="R153" s="535"/>
      <c r="S153" s="535"/>
      <c r="T153" s="535"/>
      <c r="U153" s="536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30"/>
      <c r="DX153" s="3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</row>
    <row r="154" spans="1:144" thickBot="1" x14ac:dyDescent="0.4">
      <c r="A154" s="619" t="s">
        <v>366</v>
      </c>
      <c r="B154" s="620"/>
      <c r="C154" s="620"/>
      <c r="D154" s="620"/>
      <c r="E154" s="620"/>
      <c r="F154" s="620"/>
      <c r="G154" s="620"/>
      <c r="H154" s="620"/>
      <c r="I154" s="620"/>
      <c r="J154" s="620"/>
      <c r="K154" s="620"/>
      <c r="L154" s="620"/>
      <c r="M154" s="620"/>
      <c r="N154" s="620"/>
      <c r="O154" s="620"/>
      <c r="P154" s="621"/>
      <c r="Q154" s="336"/>
      <c r="R154" s="336"/>
      <c r="S154" s="336"/>
      <c r="T154" s="336"/>
      <c r="U154" s="336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</row>
    <row r="155" spans="1:144" thickBot="1" x14ac:dyDescent="0.4">
      <c r="A155" s="30"/>
      <c r="B155" s="30"/>
      <c r="C155" s="30"/>
      <c r="D155" s="67"/>
      <c r="E155" s="30"/>
      <c r="F155" s="74"/>
      <c r="G155" s="30"/>
      <c r="H155" s="30"/>
      <c r="I155" s="30"/>
      <c r="J155" s="74"/>
      <c r="K155" s="30"/>
      <c r="L155" s="74"/>
      <c r="M155" s="30"/>
      <c r="N155" s="30"/>
      <c r="O155" s="30"/>
      <c r="P155" s="30"/>
      <c r="Q155" s="30"/>
      <c r="R155" s="30"/>
      <c r="S155" s="30"/>
      <c r="T155" s="30"/>
      <c r="U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</row>
    <row r="156" spans="1:144" thickBot="1" x14ac:dyDescent="0.4">
      <c r="A156" s="30"/>
      <c r="B156" s="165" t="s">
        <v>242</v>
      </c>
      <c r="C156" s="137" t="s">
        <v>243</v>
      </c>
      <c r="D156" s="137" t="s">
        <v>15</v>
      </c>
      <c r="E156" s="137">
        <f>E127</f>
        <v>1011.4722473480608</v>
      </c>
      <c r="F156" s="225">
        <f>F127</f>
        <v>877.32070511291818</v>
      </c>
      <c r="G156" s="137">
        <f>G127</f>
        <v>678.43268560496097</v>
      </c>
      <c r="H156" s="137">
        <f>H127</f>
        <v>439.43791788109672</v>
      </c>
      <c r="I156" s="166">
        <f>I127</f>
        <v>317.85021353199102</v>
      </c>
      <c r="J156" s="546">
        <f t="shared" ref="J156:P156" si="88">J127</f>
        <v>244.62926091972798</v>
      </c>
      <c r="K156" s="546">
        <f t="shared" si="88"/>
        <v>174.50628236760141</v>
      </c>
      <c r="L156" s="546" t="e">
        <f t="shared" si="88"/>
        <v>#VALUE!</v>
      </c>
      <c r="M156" s="546" t="e">
        <f t="shared" si="88"/>
        <v>#VALUE!</v>
      </c>
      <c r="N156" s="546" t="e">
        <f t="shared" si="88"/>
        <v>#VALUE!</v>
      </c>
      <c r="O156" s="546" t="e">
        <f t="shared" si="88"/>
        <v>#VALUE!</v>
      </c>
      <c r="P156" s="546" t="e">
        <f t="shared" si="88"/>
        <v>#VALUE!</v>
      </c>
      <c r="Q156" s="30"/>
      <c r="R156" s="30"/>
      <c r="S156" s="30"/>
      <c r="T156" s="30"/>
      <c r="U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  <c r="DB156" s="30"/>
      <c r="DC156" s="30"/>
      <c r="DD156" s="3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30"/>
      <c r="DX156" s="3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</row>
    <row r="157" spans="1:144" thickBot="1" x14ac:dyDescent="0.4">
      <c r="A157" s="30"/>
      <c r="B157" s="49" t="s">
        <v>244</v>
      </c>
      <c r="C157" s="50" t="s">
        <v>245</v>
      </c>
      <c r="D157" s="50" t="s">
        <v>15</v>
      </c>
      <c r="E157" s="50">
        <f>-264.44+1.03*E156</f>
        <v>777.37641476850263</v>
      </c>
      <c r="F157" s="226">
        <f>-264.44+1.03*F156</f>
        <v>639.20032626630564</v>
      </c>
      <c r="G157" s="50">
        <f>-264.44+1.03*G156</f>
        <v>434.34566617310981</v>
      </c>
      <c r="H157" s="50">
        <f>-264.44+1.03*H156</f>
        <v>188.18105541752965</v>
      </c>
      <c r="I157" s="51">
        <f t="shared" ref="I157:P157" si="89">-264.44+1.03*I156</f>
        <v>62.945719937950741</v>
      </c>
      <c r="J157" s="547">
        <f t="shared" si="89"/>
        <v>-12.471861252680156</v>
      </c>
      <c r="K157" s="547">
        <f t="shared" si="89"/>
        <v>-84.698529161370544</v>
      </c>
      <c r="L157" s="547" t="e">
        <f t="shared" si="89"/>
        <v>#VALUE!</v>
      </c>
      <c r="M157" s="547" t="e">
        <f t="shared" si="89"/>
        <v>#VALUE!</v>
      </c>
      <c r="N157" s="547" t="e">
        <f t="shared" si="89"/>
        <v>#VALUE!</v>
      </c>
      <c r="O157" s="547" t="e">
        <f t="shared" si="89"/>
        <v>#VALUE!</v>
      </c>
      <c r="P157" s="547" t="e">
        <f t="shared" si="89"/>
        <v>#VALUE!</v>
      </c>
      <c r="Q157" s="30"/>
      <c r="R157" s="30"/>
      <c r="S157" s="30"/>
      <c r="T157" s="30"/>
      <c r="U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0"/>
      <c r="DM157" s="30"/>
      <c r="DN157" s="30"/>
      <c r="DO157" s="30"/>
      <c r="DP157" s="30"/>
      <c r="DQ157" s="30"/>
      <c r="DR157" s="30"/>
      <c r="DS157" s="30"/>
      <c r="DT157" s="30"/>
      <c r="DU157" s="30"/>
      <c r="DV157" s="30"/>
      <c r="DW157" s="30"/>
      <c r="DX157" s="30"/>
      <c r="DY157" s="30"/>
      <c r="DZ157" s="30"/>
      <c r="EA157" s="30"/>
      <c r="EB157" s="30"/>
      <c r="EC157" s="30"/>
      <c r="ED157" s="30"/>
      <c r="EE157" s="30"/>
      <c r="EF157" s="30"/>
      <c r="EG157" s="30"/>
      <c r="EH157" s="30"/>
      <c r="EI157" s="30"/>
      <c r="EJ157" s="30"/>
      <c r="EK157" s="30"/>
      <c r="EL157" s="30"/>
      <c r="EM157" s="30"/>
      <c r="EN157" s="30"/>
    </row>
    <row r="158" spans="1:144" thickBot="1" x14ac:dyDescent="0.4">
      <c r="A158" s="30"/>
      <c r="B158" s="52" t="s">
        <v>246</v>
      </c>
      <c r="C158" s="53" t="s">
        <v>247</v>
      </c>
      <c r="D158" s="53" t="s">
        <v>15</v>
      </c>
      <c r="E158" s="53">
        <f>-87.31+0.79*E156</f>
        <v>711.75307540496806</v>
      </c>
      <c r="F158" s="227">
        <f>-87.31+0.79*F156</f>
        <v>605.77335703920539</v>
      </c>
      <c r="G158" s="53">
        <f>-87.31+0.79*G156</f>
        <v>448.65182162791922</v>
      </c>
      <c r="H158" s="53">
        <f>-87.31+0.79*H156</f>
        <v>259.84595512606643</v>
      </c>
      <c r="I158" s="54">
        <f t="shared" ref="I158:P158" si="90">-87.31+0.79*I156</f>
        <v>163.7916686902729</v>
      </c>
      <c r="J158" s="548">
        <f t="shared" si="90"/>
        <v>105.94711612658512</v>
      </c>
      <c r="K158" s="548">
        <f t="shared" si="90"/>
        <v>50.549963070405113</v>
      </c>
      <c r="L158" s="548" t="e">
        <f t="shared" si="90"/>
        <v>#VALUE!</v>
      </c>
      <c r="M158" s="548" t="e">
        <f t="shared" si="90"/>
        <v>#VALUE!</v>
      </c>
      <c r="N158" s="548" t="e">
        <f t="shared" si="90"/>
        <v>#VALUE!</v>
      </c>
      <c r="O158" s="548" t="e">
        <f t="shared" si="90"/>
        <v>#VALUE!</v>
      </c>
      <c r="P158" s="548" t="e">
        <f t="shared" si="90"/>
        <v>#VALUE!</v>
      </c>
      <c r="Q158" s="30"/>
      <c r="R158" s="30"/>
      <c r="S158" s="30"/>
      <c r="T158" s="30"/>
      <c r="U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</row>
    <row r="159" spans="1:144" thickBot="1" x14ac:dyDescent="0.4">
      <c r="A159" s="30"/>
      <c r="B159" s="76"/>
      <c r="C159" s="76"/>
      <c r="D159" s="76"/>
      <c r="E159" s="76"/>
      <c r="F159" s="228"/>
      <c r="G159" s="76"/>
      <c r="H159" s="76"/>
      <c r="I159" s="76"/>
      <c r="J159" s="74"/>
      <c r="K159" s="30"/>
      <c r="L159" s="74"/>
      <c r="M159" s="30"/>
      <c r="N159" s="30"/>
      <c r="O159" s="30"/>
      <c r="P159" s="30"/>
      <c r="Q159" s="30"/>
      <c r="R159" s="30"/>
      <c r="S159" s="30"/>
      <c r="T159" s="30"/>
      <c r="U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</row>
    <row r="160" spans="1:144" thickBot="1" x14ac:dyDescent="0.4">
      <c r="A160" s="30"/>
      <c r="B160" s="77"/>
      <c r="C160" s="78"/>
      <c r="D160" s="78"/>
      <c r="E160" s="78"/>
      <c r="F160" s="229"/>
      <c r="G160" s="78"/>
      <c r="H160" s="78"/>
      <c r="I160" s="78"/>
      <c r="J160" s="74"/>
      <c r="K160" s="30"/>
      <c r="L160" s="74"/>
      <c r="M160" s="30"/>
      <c r="N160" s="30"/>
      <c r="O160" s="30"/>
      <c r="P160" s="30"/>
      <c r="Q160" s="30"/>
      <c r="R160" s="30"/>
      <c r="S160" s="30"/>
      <c r="T160" s="30"/>
      <c r="U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</row>
    <row r="161" spans="1:144" thickBot="1" x14ac:dyDescent="0.4">
      <c r="A161" s="30"/>
      <c r="B161" s="348" t="s">
        <v>203</v>
      </c>
      <c r="C161" s="349"/>
      <c r="D161" s="350"/>
      <c r="E161" s="167">
        <v>1</v>
      </c>
      <c r="F161" s="230">
        <v>2</v>
      </c>
      <c r="G161" s="168">
        <v>3</v>
      </c>
      <c r="H161" s="168">
        <v>4</v>
      </c>
      <c r="I161" s="169" t="s">
        <v>204</v>
      </c>
      <c r="J161" s="74">
        <v>6</v>
      </c>
      <c r="K161" s="30">
        <v>7</v>
      </c>
      <c r="L161" s="74">
        <v>8</v>
      </c>
      <c r="M161" s="30">
        <v>9</v>
      </c>
      <c r="N161" s="74">
        <v>10</v>
      </c>
      <c r="O161" s="30">
        <v>11</v>
      </c>
      <c r="P161" s="74">
        <v>12</v>
      </c>
      <c r="Q161" s="30"/>
      <c r="R161" s="30"/>
      <c r="S161" s="30"/>
      <c r="T161" s="30"/>
      <c r="U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30"/>
      <c r="BA161" s="30"/>
      <c r="BB161" s="30"/>
      <c r="BC161" s="30"/>
      <c r="BD161" s="30"/>
      <c r="BE161" s="30"/>
      <c r="BF161" s="30"/>
      <c r="BG161" s="30"/>
      <c r="BH161" s="30"/>
      <c r="BI161" s="30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30"/>
      <c r="DX161" s="3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</row>
    <row r="162" spans="1:144" thickBot="1" x14ac:dyDescent="0.4">
      <c r="A162" s="30"/>
      <c r="B162" s="124" t="s">
        <v>248</v>
      </c>
      <c r="C162" s="125" t="s">
        <v>249</v>
      </c>
      <c r="D162" s="126" t="s">
        <v>161</v>
      </c>
      <c r="E162" s="124">
        <f t="shared" ref="E162:I162" si="91">E127+273.15</f>
        <v>1284.6222473480607</v>
      </c>
      <c r="F162" s="209">
        <f t="shared" si="91"/>
        <v>1150.470705112918</v>
      </c>
      <c r="G162" s="125">
        <f t="shared" si="91"/>
        <v>951.58268560496094</v>
      </c>
      <c r="H162" s="125">
        <f t="shared" si="91"/>
        <v>712.5879178810967</v>
      </c>
      <c r="I162" s="126">
        <f t="shared" si="91"/>
        <v>591.00021353199099</v>
      </c>
      <c r="J162" s="526">
        <f t="shared" ref="J162:P162" si="92">J127+273.15</f>
        <v>517.7792609197279</v>
      </c>
      <c r="K162" s="526">
        <f t="shared" si="92"/>
        <v>447.65628236760142</v>
      </c>
      <c r="L162" s="526" t="e">
        <f t="shared" si="92"/>
        <v>#VALUE!</v>
      </c>
      <c r="M162" s="526" t="e">
        <f t="shared" si="92"/>
        <v>#VALUE!</v>
      </c>
      <c r="N162" s="526" t="e">
        <f t="shared" si="92"/>
        <v>#VALUE!</v>
      </c>
      <c r="O162" s="526" t="e">
        <f t="shared" si="92"/>
        <v>#VALUE!</v>
      </c>
      <c r="P162" s="526" t="e">
        <f t="shared" si="92"/>
        <v>#VALUE!</v>
      </c>
      <c r="Q162" s="30"/>
      <c r="R162" s="30"/>
      <c r="S162" s="30"/>
      <c r="T162" s="30"/>
      <c r="U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30"/>
      <c r="BA162" s="30"/>
      <c r="BB162" s="30"/>
      <c r="BC162" s="30"/>
      <c r="BD162" s="30"/>
      <c r="BE162" s="30"/>
      <c r="BF162" s="30"/>
      <c r="BG162" s="30"/>
      <c r="BH162" s="30"/>
      <c r="BI162" s="30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30"/>
      <c r="DX162" s="3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</row>
    <row r="163" spans="1:144" thickBot="1" x14ac:dyDescent="0.4">
      <c r="A163" s="30"/>
      <c r="B163" s="124" t="s">
        <v>250</v>
      </c>
      <c r="C163" s="125" t="s">
        <v>251</v>
      </c>
      <c r="D163" s="126" t="s">
        <v>161</v>
      </c>
      <c r="E163" s="124">
        <f t="shared" ref="E163:I163" si="93">E136+273.15</f>
        <v>884.36667661652871</v>
      </c>
      <c r="F163" s="209">
        <f t="shared" si="93"/>
        <v>375.93640942076127</v>
      </c>
      <c r="G163" s="125">
        <f t="shared" si="93"/>
        <v>427.22564269088821</v>
      </c>
      <c r="H163" s="125">
        <f t="shared" si="93"/>
        <v>382.46625369822584</v>
      </c>
      <c r="I163" s="126">
        <f t="shared" si="93"/>
        <v>334.77570276537705</v>
      </c>
      <c r="J163" s="526" t="e">
        <f t="shared" ref="J163:P163" si="94">J136+273.15</f>
        <v>#VALUE!</v>
      </c>
      <c r="K163" s="526" t="e">
        <f t="shared" si="94"/>
        <v>#VALUE!</v>
      </c>
      <c r="L163" s="526" t="e">
        <f t="shared" si="94"/>
        <v>#VALUE!</v>
      </c>
      <c r="M163" s="526" t="e">
        <f t="shared" si="94"/>
        <v>#VALUE!</v>
      </c>
      <c r="N163" s="526" t="e">
        <f t="shared" si="94"/>
        <v>#VALUE!</v>
      </c>
      <c r="O163" s="526" t="e">
        <f t="shared" si="94"/>
        <v>#VALUE!</v>
      </c>
      <c r="P163" s="526" t="e">
        <f t="shared" si="94"/>
        <v>#VALUE!</v>
      </c>
      <c r="Q163" s="30"/>
      <c r="R163" s="30"/>
      <c r="S163" s="30"/>
      <c r="T163" s="30"/>
      <c r="U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30"/>
      <c r="BA163" s="30"/>
      <c r="BB163" s="30"/>
      <c r="BC163" s="30"/>
      <c r="BD163" s="30"/>
      <c r="BE163" s="30"/>
      <c r="BF163" s="30"/>
      <c r="BG163" s="30"/>
      <c r="BH163" s="30"/>
      <c r="BI163" s="30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  <c r="BX163" s="30"/>
      <c r="BY163" s="30"/>
      <c r="BZ163" s="30"/>
      <c r="CA163" s="30"/>
      <c r="CB163" s="30"/>
      <c r="CC163" s="30"/>
      <c r="CD163" s="30"/>
      <c r="CE163" s="30"/>
      <c r="CF163" s="30"/>
      <c r="CG163" s="30"/>
      <c r="CH163" s="30"/>
      <c r="CI163" s="30"/>
      <c r="CJ163" s="30"/>
      <c r="CK163" s="30"/>
      <c r="CL163" s="30"/>
      <c r="CM163" s="30"/>
      <c r="CN163" s="30"/>
      <c r="CO163" s="30"/>
      <c r="CP163" s="30"/>
      <c r="CQ163" s="30"/>
      <c r="CR163" s="30"/>
      <c r="CS163" s="30"/>
      <c r="CT163" s="30"/>
      <c r="CU163" s="30"/>
      <c r="CV163" s="30"/>
      <c r="CW163" s="30"/>
      <c r="CX163" s="30"/>
      <c r="CY163" s="30"/>
      <c r="CZ163" s="30"/>
      <c r="DA163" s="30"/>
      <c r="DB163" s="30"/>
      <c r="DC163" s="30"/>
      <c r="DD163" s="30"/>
      <c r="DE163" s="30"/>
      <c r="DF163" s="30"/>
      <c r="DG163" s="30"/>
      <c r="DH163" s="30"/>
      <c r="DI163" s="30"/>
      <c r="DJ163" s="30"/>
      <c r="DK163" s="30"/>
      <c r="DL163" s="30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/>
      <c r="DW163" s="30"/>
      <c r="DX163" s="30"/>
      <c r="DY163" s="30"/>
      <c r="DZ163" s="30"/>
      <c r="EA163" s="30"/>
      <c r="EB163" s="30"/>
      <c r="EC163" s="30"/>
      <c r="ED163" s="30"/>
      <c r="EE163" s="30"/>
      <c r="EF163" s="30"/>
      <c r="EG163" s="30"/>
      <c r="EH163" s="30"/>
      <c r="EI163" s="30"/>
      <c r="EJ163" s="30"/>
      <c r="EK163" s="30"/>
      <c r="EL163" s="30"/>
      <c r="EM163" s="30"/>
      <c r="EN163" s="30"/>
    </row>
    <row r="164" spans="1:144" thickBot="1" x14ac:dyDescent="0.4">
      <c r="A164" s="30"/>
      <c r="B164" s="124" t="s">
        <v>252</v>
      </c>
      <c r="C164" s="125" t="s">
        <v>253</v>
      </c>
      <c r="D164" s="126" t="s">
        <v>161</v>
      </c>
      <c r="E164" s="124">
        <f t="shared" ref="E164:I165" si="95">E157+273.15</f>
        <v>1050.5264147685025</v>
      </c>
      <c r="F164" s="209">
        <f t="shared" si="95"/>
        <v>912.35032626630561</v>
      </c>
      <c r="G164" s="125">
        <f t="shared" si="95"/>
        <v>707.49566617310984</v>
      </c>
      <c r="H164" s="125">
        <f t="shared" si="95"/>
        <v>461.33105541752963</v>
      </c>
      <c r="I164" s="126">
        <f t="shared" si="95"/>
        <v>336.09571993795072</v>
      </c>
      <c r="J164" s="526">
        <f t="shared" ref="J164:P164" si="96">J157+273.15</f>
        <v>260.67813874731985</v>
      </c>
      <c r="K164" s="526">
        <f t="shared" si="96"/>
        <v>188.45147083862943</v>
      </c>
      <c r="L164" s="526" t="e">
        <f t="shared" si="96"/>
        <v>#VALUE!</v>
      </c>
      <c r="M164" s="526" t="e">
        <f t="shared" si="96"/>
        <v>#VALUE!</v>
      </c>
      <c r="N164" s="526" t="e">
        <f t="shared" si="96"/>
        <v>#VALUE!</v>
      </c>
      <c r="O164" s="526" t="e">
        <f t="shared" si="96"/>
        <v>#VALUE!</v>
      </c>
      <c r="P164" s="526" t="e">
        <f t="shared" si="96"/>
        <v>#VALUE!</v>
      </c>
      <c r="Q164" s="30"/>
      <c r="R164" s="30"/>
      <c r="S164" s="30"/>
      <c r="T164" s="30"/>
      <c r="U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30"/>
      <c r="BA164" s="30"/>
      <c r="BB164" s="30"/>
      <c r="BC164" s="30"/>
      <c r="BD164" s="30"/>
      <c r="BE164" s="30"/>
      <c r="BF164" s="30"/>
      <c r="BG164" s="30"/>
      <c r="BH164" s="30"/>
      <c r="BI164" s="30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  <c r="DB164" s="30"/>
      <c r="DC164" s="30"/>
      <c r="DD164" s="3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30"/>
      <c r="DX164" s="3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</row>
    <row r="165" spans="1:144" thickBot="1" x14ac:dyDescent="0.4">
      <c r="A165" s="30"/>
      <c r="B165" s="124" t="s">
        <v>246</v>
      </c>
      <c r="C165" s="125" t="s">
        <v>254</v>
      </c>
      <c r="D165" s="126" t="s">
        <v>161</v>
      </c>
      <c r="E165" s="124">
        <f t="shared" si="95"/>
        <v>984.90307540496804</v>
      </c>
      <c r="F165" s="209">
        <f t="shared" si="95"/>
        <v>878.92335703920537</v>
      </c>
      <c r="G165" s="125">
        <f t="shared" si="95"/>
        <v>721.80182162791925</v>
      </c>
      <c r="H165" s="125">
        <f t="shared" si="95"/>
        <v>532.99595512606641</v>
      </c>
      <c r="I165" s="126">
        <f t="shared" si="95"/>
        <v>436.94166869027288</v>
      </c>
      <c r="J165" s="526">
        <f t="shared" ref="J165:P165" si="97">J158+273.15</f>
        <v>379.09711612658509</v>
      </c>
      <c r="K165" s="526">
        <f t="shared" si="97"/>
        <v>323.69996307040509</v>
      </c>
      <c r="L165" s="526" t="e">
        <f t="shared" si="97"/>
        <v>#VALUE!</v>
      </c>
      <c r="M165" s="526" t="e">
        <f t="shared" si="97"/>
        <v>#VALUE!</v>
      </c>
      <c r="N165" s="526" t="e">
        <f t="shared" si="97"/>
        <v>#VALUE!</v>
      </c>
      <c r="O165" s="526" t="e">
        <f t="shared" si="97"/>
        <v>#VALUE!</v>
      </c>
      <c r="P165" s="526" t="e">
        <f t="shared" si="97"/>
        <v>#VALUE!</v>
      </c>
      <c r="Q165" s="30"/>
      <c r="R165" s="30"/>
      <c r="S165" s="30"/>
      <c r="T165" s="30"/>
      <c r="U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30"/>
      <c r="BA165" s="30"/>
      <c r="BB165" s="30"/>
      <c r="BC165" s="30"/>
      <c r="BD165" s="30"/>
      <c r="BE165" s="30"/>
      <c r="BF165" s="30"/>
      <c r="BG165" s="30"/>
      <c r="BH165" s="30"/>
      <c r="BI165" s="30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  <c r="CD165" s="30"/>
      <c r="CE165" s="30"/>
      <c r="CF165" s="30"/>
      <c r="CG165" s="30"/>
      <c r="CH165" s="30"/>
      <c r="CI165" s="30"/>
      <c r="CJ165" s="30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  <c r="DB165" s="30"/>
      <c r="DC165" s="30"/>
      <c r="DD165" s="3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30"/>
      <c r="DX165" s="3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</row>
    <row r="166" spans="1:144" thickBot="1" x14ac:dyDescent="0.4">
      <c r="A166" s="30"/>
      <c r="B166" s="124" t="s">
        <v>255</v>
      </c>
      <c r="C166" s="129" t="s">
        <v>256</v>
      </c>
      <c r="D166" s="126" t="s">
        <v>257</v>
      </c>
      <c r="E166" s="184">
        <v>5.6699999999999998E-8</v>
      </c>
      <c r="F166" s="231">
        <v>5.6699999999999998E-8</v>
      </c>
      <c r="G166" s="185">
        <v>5.6699999999999998E-8</v>
      </c>
      <c r="H166" s="185">
        <v>5.6699999999999998E-8</v>
      </c>
      <c r="I166" s="186">
        <v>5.6699999999999998E-8</v>
      </c>
      <c r="J166" s="570">
        <v>5.6699999999999998E-8</v>
      </c>
      <c r="K166" s="570">
        <v>5.6699999999999998E-8</v>
      </c>
      <c r="L166" s="570">
        <v>5.6699999999999998E-8</v>
      </c>
      <c r="M166" s="570">
        <v>5.6699999999999998E-8</v>
      </c>
      <c r="N166" s="570">
        <v>5.6699999999999998E-8</v>
      </c>
      <c r="O166" s="570">
        <v>5.6699999999999998E-8</v>
      </c>
      <c r="P166" s="570">
        <v>5.6699999999999998E-8</v>
      </c>
      <c r="Q166" s="30"/>
      <c r="R166" s="30"/>
      <c r="S166" s="30"/>
      <c r="T166" s="30"/>
      <c r="U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</row>
    <row r="167" spans="1:144" thickBot="1" x14ac:dyDescent="0.4">
      <c r="A167" s="30"/>
      <c r="B167" s="124" t="s">
        <v>258</v>
      </c>
      <c r="C167" s="125" t="s">
        <v>259</v>
      </c>
      <c r="D167" s="126" t="s">
        <v>131</v>
      </c>
      <c r="E167" s="124">
        <v>0.11940000000000001</v>
      </c>
      <c r="F167" s="209">
        <v>0.12609999999999999</v>
      </c>
      <c r="G167" s="125">
        <v>0.14699999999999999</v>
      </c>
      <c r="H167" s="125">
        <v>0.153</v>
      </c>
      <c r="I167" s="126">
        <v>0.1706</v>
      </c>
      <c r="J167" s="526">
        <v>0.1706</v>
      </c>
      <c r="K167" s="526">
        <v>0.1706</v>
      </c>
      <c r="L167" s="526">
        <v>0.1706</v>
      </c>
      <c r="M167" s="526">
        <v>0.1706</v>
      </c>
      <c r="N167" s="526">
        <v>0.1706</v>
      </c>
      <c r="O167" s="526">
        <v>0.1706</v>
      </c>
      <c r="P167" s="526">
        <v>0.1706</v>
      </c>
      <c r="Q167" s="30"/>
      <c r="R167" s="30"/>
      <c r="S167" s="30"/>
      <c r="T167" s="30"/>
      <c r="U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30"/>
      <c r="CJ167" s="3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</row>
    <row r="168" spans="1:144" thickBot="1" x14ac:dyDescent="0.4">
      <c r="A168" s="30"/>
      <c r="B168" s="124" t="s">
        <v>260</v>
      </c>
      <c r="C168" s="125" t="s">
        <v>261</v>
      </c>
      <c r="D168" s="126" t="s">
        <v>131</v>
      </c>
      <c r="E168" s="124">
        <v>0.35</v>
      </c>
      <c r="F168" s="209">
        <v>0.35</v>
      </c>
      <c r="G168" s="125">
        <v>0.35</v>
      </c>
      <c r="H168" s="125">
        <v>0.35</v>
      </c>
      <c r="I168" s="126">
        <v>0.35</v>
      </c>
      <c r="J168" s="526">
        <v>0.35</v>
      </c>
      <c r="K168" s="526">
        <v>0.35</v>
      </c>
      <c r="L168" s="526">
        <v>0.35</v>
      </c>
      <c r="M168" s="526">
        <v>0.35</v>
      </c>
      <c r="N168" s="526">
        <v>0.35</v>
      </c>
      <c r="O168" s="526">
        <v>0.35</v>
      </c>
      <c r="P168" s="526">
        <v>0.35</v>
      </c>
      <c r="Q168" s="30"/>
      <c r="R168" s="30"/>
      <c r="S168" s="30"/>
      <c r="T168" s="30"/>
      <c r="U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</row>
    <row r="169" spans="1:144" thickBot="1" x14ac:dyDescent="0.4">
      <c r="A169" s="30"/>
      <c r="B169" s="124" t="s">
        <v>262</v>
      </c>
      <c r="C169" s="125" t="s">
        <v>263</v>
      </c>
      <c r="D169" s="126" t="s">
        <v>131</v>
      </c>
      <c r="E169" s="124">
        <v>0.96</v>
      </c>
      <c r="F169" s="209">
        <v>0.96</v>
      </c>
      <c r="G169" s="125">
        <v>0.96</v>
      </c>
      <c r="H169" s="125">
        <v>0.96</v>
      </c>
      <c r="I169" s="126">
        <v>0.96</v>
      </c>
      <c r="J169" s="526">
        <v>0.96</v>
      </c>
      <c r="K169" s="526">
        <v>0.96</v>
      </c>
      <c r="L169" s="526">
        <v>0.96</v>
      </c>
      <c r="M169" s="526">
        <v>0.96</v>
      </c>
      <c r="N169" s="526">
        <v>0.96</v>
      </c>
      <c r="O169" s="526">
        <v>0.96</v>
      </c>
      <c r="P169" s="526">
        <v>0.96</v>
      </c>
      <c r="Q169" s="30"/>
      <c r="R169" s="30"/>
      <c r="S169" s="30"/>
      <c r="T169" s="30"/>
      <c r="U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</row>
    <row r="170" spans="1:144" thickBot="1" x14ac:dyDescent="0.4">
      <c r="A170" s="30"/>
      <c r="B170" s="124" t="s">
        <v>359</v>
      </c>
      <c r="C170" s="125" t="s">
        <v>126</v>
      </c>
      <c r="D170" s="126" t="s">
        <v>30</v>
      </c>
      <c r="E170" s="124">
        <f>+(0.211+0.405)*2</f>
        <v>1.232</v>
      </c>
      <c r="F170" s="209">
        <f>0.311*2</f>
        <v>0.622</v>
      </c>
      <c r="G170" s="125">
        <f>0.652*2</f>
        <v>1.304</v>
      </c>
      <c r="H170" s="125">
        <f>0.508*2</f>
        <v>1.016</v>
      </c>
      <c r="I170" s="126">
        <f>0.456*2</f>
        <v>0.91200000000000003</v>
      </c>
      <c r="J170" s="526">
        <f t="shared" ref="J170:P170" si="98">0.456*2</f>
        <v>0.91200000000000003</v>
      </c>
      <c r="K170" s="526">
        <f t="shared" si="98"/>
        <v>0.91200000000000003</v>
      </c>
      <c r="L170" s="526">
        <f t="shared" si="98"/>
        <v>0.91200000000000003</v>
      </c>
      <c r="M170" s="526">
        <f t="shared" si="98"/>
        <v>0.91200000000000003</v>
      </c>
      <c r="N170" s="526">
        <f t="shared" si="98"/>
        <v>0.91200000000000003</v>
      </c>
      <c r="O170" s="526">
        <f t="shared" si="98"/>
        <v>0.91200000000000003</v>
      </c>
      <c r="P170" s="526">
        <f t="shared" si="98"/>
        <v>0.91200000000000003</v>
      </c>
      <c r="Q170" s="30"/>
      <c r="R170" s="30"/>
      <c r="S170" s="30"/>
      <c r="T170" s="30"/>
      <c r="U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</row>
    <row r="171" spans="1:144" thickBot="1" x14ac:dyDescent="0.4">
      <c r="A171" s="30"/>
      <c r="B171" s="124" t="s">
        <v>360</v>
      </c>
      <c r="C171" s="125" t="s">
        <v>127</v>
      </c>
      <c r="D171" s="126" t="s">
        <v>30</v>
      </c>
      <c r="E171" s="124">
        <v>0.36899999999999999</v>
      </c>
      <c r="F171" s="209">
        <v>0.35299999999999998</v>
      </c>
      <c r="G171" s="125">
        <v>0.93899999999999995</v>
      </c>
      <c r="H171" s="125">
        <v>1.1279999999999999</v>
      </c>
      <c r="I171" s="126">
        <v>0.86599999999999999</v>
      </c>
      <c r="J171" s="526">
        <v>1.8660000000000001</v>
      </c>
      <c r="K171" s="526">
        <v>2.8660000000000001</v>
      </c>
      <c r="L171" s="526">
        <v>3.8660000000000001</v>
      </c>
      <c r="M171" s="526">
        <v>4.8659999999999997</v>
      </c>
      <c r="N171" s="526">
        <v>5.8659999999999997</v>
      </c>
      <c r="O171" s="526">
        <v>6.8659999999999997</v>
      </c>
      <c r="P171" s="526">
        <v>7.8659999999999997</v>
      </c>
      <c r="Q171" s="30"/>
      <c r="R171" s="30"/>
      <c r="S171" s="30"/>
      <c r="T171" s="30"/>
      <c r="U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</row>
    <row r="172" spans="1:144" thickBot="1" x14ac:dyDescent="0.4">
      <c r="A172" s="30"/>
      <c r="B172" s="124" t="s">
        <v>128</v>
      </c>
      <c r="C172" s="129" t="s">
        <v>129</v>
      </c>
      <c r="D172" s="126" t="s">
        <v>30</v>
      </c>
      <c r="E172" s="124">
        <f>+E51</f>
        <v>0.66100000000000003</v>
      </c>
      <c r="F172" s="209">
        <f>+F51</f>
        <v>0.31900000000000001</v>
      </c>
      <c r="G172" s="125">
        <f t="shared" ref="G172:P172" si="99">+(G50+G51)/2</f>
        <v>1.994</v>
      </c>
      <c r="H172" s="125">
        <f t="shared" si="99"/>
        <v>2.1670400000000001</v>
      </c>
      <c r="I172" s="125">
        <f t="shared" si="99"/>
        <v>0.97499999999999998</v>
      </c>
      <c r="J172" s="571">
        <f t="shared" si="99"/>
        <v>0</v>
      </c>
      <c r="K172" s="571">
        <f t="shared" si="99"/>
        <v>0</v>
      </c>
      <c r="L172" s="571">
        <f t="shared" si="99"/>
        <v>0</v>
      </c>
      <c r="M172" s="571">
        <f t="shared" si="99"/>
        <v>0</v>
      </c>
      <c r="N172" s="571">
        <f t="shared" si="99"/>
        <v>0</v>
      </c>
      <c r="O172" s="571">
        <f t="shared" si="99"/>
        <v>0</v>
      </c>
      <c r="P172" s="571">
        <f t="shared" si="99"/>
        <v>0</v>
      </c>
      <c r="Q172" s="30"/>
      <c r="R172" s="30"/>
      <c r="S172" s="30"/>
      <c r="T172" s="30"/>
      <c r="U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</row>
    <row r="173" spans="1:144" thickBot="1" x14ac:dyDescent="0.4">
      <c r="A173" s="30"/>
      <c r="B173" s="124" t="s">
        <v>264</v>
      </c>
      <c r="C173" s="125" t="s">
        <v>265</v>
      </c>
      <c r="D173" s="126" t="s">
        <v>46</v>
      </c>
      <c r="E173" s="386">
        <v>0.48199999999999998</v>
      </c>
      <c r="F173" s="386">
        <v>0.48199999999999998</v>
      </c>
      <c r="G173" s="256">
        <v>0.49452000000000002</v>
      </c>
      <c r="H173" s="256">
        <v>0.5</v>
      </c>
      <c r="I173" s="256">
        <v>0.5</v>
      </c>
      <c r="J173" s="567">
        <v>0.5</v>
      </c>
      <c r="K173" s="567">
        <v>0.5</v>
      </c>
      <c r="L173" s="567">
        <v>0.5</v>
      </c>
      <c r="M173" s="567">
        <v>0.5</v>
      </c>
      <c r="N173" s="567">
        <v>0.5</v>
      </c>
      <c r="O173" s="567">
        <v>0.5</v>
      </c>
      <c r="P173" s="567">
        <v>0.5</v>
      </c>
      <c r="Q173" s="30"/>
      <c r="R173" s="30"/>
      <c r="S173" s="30"/>
      <c r="T173" s="30"/>
      <c r="U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</row>
    <row r="174" spans="1:144" thickBot="1" x14ac:dyDescent="0.4">
      <c r="A174" s="30"/>
      <c r="B174" s="124" t="s">
        <v>266</v>
      </c>
      <c r="C174" s="125" t="s">
        <v>267</v>
      </c>
      <c r="D174" s="126" t="s">
        <v>46</v>
      </c>
      <c r="E174" s="386">
        <v>0.31230000000000002</v>
      </c>
      <c r="F174" s="386">
        <v>0.31230000000000002</v>
      </c>
      <c r="G174" s="256">
        <v>0.35620000000000002</v>
      </c>
      <c r="H174" s="256">
        <v>0.35</v>
      </c>
      <c r="I174" s="256">
        <v>0.35</v>
      </c>
      <c r="J174" s="567">
        <v>0.35</v>
      </c>
      <c r="K174" s="567">
        <v>0.35</v>
      </c>
      <c r="L174" s="567">
        <v>0.35</v>
      </c>
      <c r="M174" s="567">
        <v>0.35</v>
      </c>
      <c r="N174" s="567">
        <v>0.35</v>
      </c>
      <c r="O174" s="567">
        <v>0.35</v>
      </c>
      <c r="P174" s="567">
        <v>0.35</v>
      </c>
      <c r="Q174" s="30"/>
      <c r="R174" s="30"/>
      <c r="S174" s="30"/>
      <c r="T174" s="30"/>
      <c r="U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</row>
    <row r="175" spans="1:144" thickBot="1" x14ac:dyDescent="0.4">
      <c r="A175" s="30"/>
      <c r="B175" s="187" t="s">
        <v>268</v>
      </c>
      <c r="C175" s="144" t="s">
        <v>269</v>
      </c>
      <c r="D175" s="351" t="s">
        <v>21</v>
      </c>
      <c r="E175" s="124">
        <f t="shared" ref="E175:I175" si="100">(E166*E170*E173*E169*E168*(E164^4-E163^4))/1000</f>
        <v>6.8586366842036988</v>
      </c>
      <c r="F175" s="209">
        <f t="shared" si="100"/>
        <v>3.8432845681451679</v>
      </c>
      <c r="G175" s="125">
        <f>(G166*G170*G173*G169*G168*(G164^4-G163^4))/1000</f>
        <v>2.6688001158553445</v>
      </c>
      <c r="H175" s="125">
        <f t="shared" si="100"/>
        <v>0.23127623174971199</v>
      </c>
      <c r="I175" s="125">
        <f t="shared" si="100"/>
        <v>1.7312361949359263E-3</v>
      </c>
      <c r="J175" s="571" t="e">
        <f t="shared" ref="J175:P175" si="101">(J166*J170*J173*J169*J168*(J164^4-J163^4))/1000</f>
        <v>#VALUE!</v>
      </c>
      <c r="K175" s="571" t="e">
        <f t="shared" si="101"/>
        <v>#VALUE!</v>
      </c>
      <c r="L175" s="571" t="e">
        <f t="shared" si="101"/>
        <v>#VALUE!</v>
      </c>
      <c r="M175" s="571" t="e">
        <f t="shared" si="101"/>
        <v>#VALUE!</v>
      </c>
      <c r="N175" s="571" t="e">
        <f t="shared" si="101"/>
        <v>#VALUE!</v>
      </c>
      <c r="O175" s="571" t="e">
        <f t="shared" si="101"/>
        <v>#VALUE!</v>
      </c>
      <c r="P175" s="571" t="e">
        <f t="shared" si="101"/>
        <v>#VALUE!</v>
      </c>
      <c r="Q175" s="30"/>
      <c r="R175" s="30"/>
      <c r="S175" s="30"/>
      <c r="T175" s="30"/>
      <c r="U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0"/>
      <c r="DX175" s="30"/>
      <c r="DY175" s="30"/>
      <c r="DZ175" s="30"/>
      <c r="EA175" s="30"/>
      <c r="EB175" s="30"/>
      <c r="EC175" s="30"/>
      <c r="ED175" s="30"/>
      <c r="EE175" s="30"/>
      <c r="EF175" s="30"/>
      <c r="EG175" s="30"/>
      <c r="EH175" s="30"/>
      <c r="EI175" s="30"/>
      <c r="EJ175" s="30"/>
      <c r="EK175" s="30"/>
      <c r="EL175" s="30"/>
      <c r="EM175" s="30"/>
      <c r="EN175" s="30"/>
    </row>
    <row r="176" spans="1:144" thickBot="1" x14ac:dyDescent="0.4">
      <c r="A176" s="30"/>
      <c r="B176" s="187" t="s">
        <v>270</v>
      </c>
      <c r="C176" s="144" t="s">
        <v>271</v>
      </c>
      <c r="D176" s="351" t="s">
        <v>21</v>
      </c>
      <c r="E176" s="124">
        <f>(E166*E171*E174*E169*E168*(E165^4-E163^4))/1000</f>
        <v>0.72291031075536827</v>
      </c>
      <c r="F176" s="209">
        <f t="shared" ref="F176:I176" si="102">(F166*F171*F174*F169*F168*(F165^4-F163^4))/1000</f>
        <v>1.2114024934957592</v>
      </c>
      <c r="G176" s="125">
        <f t="shared" si="102"/>
        <v>1.5173511247472842</v>
      </c>
      <c r="H176" s="125">
        <f t="shared" si="102"/>
        <v>0.44606605002521982</v>
      </c>
      <c r="I176" s="126">
        <f t="shared" si="102"/>
        <v>0.13794472346296707</v>
      </c>
      <c r="J176" s="526" t="e">
        <f t="shared" ref="J176:P176" si="103">(J166*J171*J174*J169*J168*(J165^4-J163^4))/1000</f>
        <v>#VALUE!</v>
      </c>
      <c r="K176" s="526" t="e">
        <f t="shared" si="103"/>
        <v>#VALUE!</v>
      </c>
      <c r="L176" s="526" t="e">
        <f t="shared" si="103"/>
        <v>#VALUE!</v>
      </c>
      <c r="M176" s="526" t="e">
        <f t="shared" si="103"/>
        <v>#VALUE!</v>
      </c>
      <c r="N176" s="526" t="e">
        <f t="shared" si="103"/>
        <v>#VALUE!</v>
      </c>
      <c r="O176" s="526" t="e">
        <f t="shared" si="103"/>
        <v>#VALUE!</v>
      </c>
      <c r="P176" s="526" t="e">
        <f t="shared" si="103"/>
        <v>#VALUE!</v>
      </c>
      <c r="Q176" s="30"/>
      <c r="R176" s="30"/>
      <c r="S176" s="30"/>
      <c r="T176" s="30"/>
      <c r="U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0"/>
      <c r="DX176" s="3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</row>
    <row r="177" spans="1:144" thickBot="1" x14ac:dyDescent="0.4">
      <c r="A177" s="30"/>
      <c r="B177" s="187" t="s">
        <v>272</v>
      </c>
      <c r="C177" s="144" t="s">
        <v>273</v>
      </c>
      <c r="D177" s="351" t="s">
        <v>21</v>
      </c>
      <c r="E177" s="124">
        <f>((E166*E172*E168*E167*(E162^4-E163^4))/(1-(1-E168)*(1-E167)))/1000</f>
        <v>7.734484675222757</v>
      </c>
      <c r="F177" s="209">
        <f t="shared" ref="F177:I177" si="104">((F166*F172*F168*F167*(F162^4-F163^4))/(1-(1-F168)*(1-F167)))/1000</f>
        <v>3.2005940672688982</v>
      </c>
      <c r="G177" s="125">
        <f>((G166*G172*G168*G167*(G162^4-G163^4))/(1-(1-G168)*(1-G167)))/1000</f>
        <v>10.269979094808747</v>
      </c>
      <c r="H177" s="125">
        <f t="shared" si="104"/>
        <v>3.4614384122849486</v>
      </c>
      <c r="I177" s="126">
        <f t="shared" si="104"/>
        <v>0.78379088189336066</v>
      </c>
      <c r="J177" s="526" t="e">
        <f t="shared" ref="J177:P177" si="105">((J166*J172*J168*J167*(J162^4-J163^4))/(1-(1-J168)*(1-J167)))/1000</f>
        <v>#VALUE!</v>
      </c>
      <c r="K177" s="526" t="e">
        <f t="shared" si="105"/>
        <v>#VALUE!</v>
      </c>
      <c r="L177" s="526" t="e">
        <f t="shared" si="105"/>
        <v>#VALUE!</v>
      </c>
      <c r="M177" s="526" t="e">
        <f t="shared" si="105"/>
        <v>#VALUE!</v>
      </c>
      <c r="N177" s="526" t="e">
        <f t="shared" si="105"/>
        <v>#VALUE!</v>
      </c>
      <c r="O177" s="526" t="e">
        <f t="shared" si="105"/>
        <v>#VALUE!</v>
      </c>
      <c r="P177" s="526" t="e">
        <f t="shared" si="105"/>
        <v>#VALUE!</v>
      </c>
      <c r="Q177" s="30"/>
      <c r="R177" s="30"/>
      <c r="S177" s="30"/>
      <c r="T177" s="30"/>
      <c r="U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0"/>
      <c r="DX177" s="3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</row>
    <row r="178" spans="1:144" thickBot="1" x14ac:dyDescent="0.4">
      <c r="A178" s="30"/>
      <c r="B178" s="188" t="s">
        <v>274</v>
      </c>
      <c r="C178" s="160" t="s">
        <v>275</v>
      </c>
      <c r="D178" s="352" t="s">
        <v>21</v>
      </c>
      <c r="E178" s="130">
        <f>SUM(E175:E177)</f>
        <v>15.316031670181825</v>
      </c>
      <c r="F178" s="232">
        <f t="shared" ref="F178:I178" si="106">SUM(F175:F177)</f>
        <v>8.2552811289098251</v>
      </c>
      <c r="G178" s="131">
        <f t="shared" si="106"/>
        <v>14.456130335411375</v>
      </c>
      <c r="H178" s="131">
        <f t="shared" si="106"/>
        <v>4.1387806940598804</v>
      </c>
      <c r="I178" s="189">
        <f t="shared" si="106"/>
        <v>0.92346684155126368</v>
      </c>
      <c r="J178" s="572" t="e">
        <f t="shared" ref="J178:P178" si="107">SUM(J175:J177)</f>
        <v>#VALUE!</v>
      </c>
      <c r="K178" s="572" t="e">
        <f t="shared" si="107"/>
        <v>#VALUE!</v>
      </c>
      <c r="L178" s="572" t="e">
        <f t="shared" si="107"/>
        <v>#VALUE!</v>
      </c>
      <c r="M178" s="572" t="e">
        <f t="shared" si="107"/>
        <v>#VALUE!</v>
      </c>
      <c r="N178" s="572" t="e">
        <f t="shared" si="107"/>
        <v>#VALUE!</v>
      </c>
      <c r="O178" s="572" t="e">
        <f t="shared" si="107"/>
        <v>#VALUE!</v>
      </c>
      <c r="P178" s="572" t="e">
        <f t="shared" si="107"/>
        <v>#VALUE!</v>
      </c>
      <c r="Q178" s="30"/>
      <c r="R178" s="30"/>
      <c r="S178" s="30"/>
      <c r="T178" s="30"/>
      <c r="U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0"/>
      <c r="DX178" s="30"/>
      <c r="DY178" s="30"/>
      <c r="DZ178" s="30"/>
      <c r="EA178" s="30"/>
      <c r="EB178" s="30"/>
      <c r="EC178" s="30"/>
      <c r="ED178" s="30"/>
      <c r="EE178" s="30"/>
      <c r="EF178" s="30"/>
      <c r="EG178" s="30"/>
      <c r="EH178" s="30"/>
      <c r="EI178" s="30"/>
      <c r="EJ178" s="30"/>
      <c r="EK178" s="30"/>
      <c r="EL178" s="30"/>
      <c r="EM178" s="30"/>
      <c r="EN178" s="30"/>
    </row>
    <row r="179" spans="1:144" thickBot="1" x14ac:dyDescent="0.4">
      <c r="A179" s="30"/>
      <c r="E179">
        <f>52010/1000</f>
        <v>52.01</v>
      </c>
      <c r="F179" s="385">
        <f>18687.7/1000</f>
        <v>18.6877</v>
      </c>
      <c r="G179" s="385">
        <f>51227.9/1000</f>
        <v>51.227899999999998</v>
      </c>
      <c r="H179">
        <f>38455.3/1000</f>
        <v>38.455300000000001</v>
      </c>
      <c r="I179" s="385">
        <f>23504.9/1000</f>
        <v>23.504900000000003</v>
      </c>
      <c r="J179" s="74">
        <f>+SUM(E179:H179)</f>
        <v>160.3809</v>
      </c>
      <c r="K179" s="30"/>
      <c r="L179" s="74"/>
      <c r="M179" s="30"/>
      <c r="N179" s="30"/>
      <c r="O179" s="30"/>
      <c r="P179" s="30"/>
      <c r="Q179" s="30"/>
      <c r="R179" s="30"/>
      <c r="S179" s="30"/>
      <c r="T179" s="30"/>
      <c r="U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0"/>
      <c r="DX179" s="3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</row>
    <row r="180" spans="1:144" thickBot="1" x14ac:dyDescent="0.4">
      <c r="A180" s="30"/>
      <c r="B180" s="170" t="s">
        <v>281</v>
      </c>
      <c r="C180" s="171" t="s">
        <v>72</v>
      </c>
      <c r="D180" s="171" t="s">
        <v>201</v>
      </c>
      <c r="E180" s="116">
        <f>E178+E152</f>
        <v>16.822042692965503</v>
      </c>
      <c r="F180" s="233">
        <f>F178+F152</f>
        <v>10.365731880451788</v>
      </c>
      <c r="G180" s="116">
        <f>G178+G152</f>
        <v>23.631670741751151</v>
      </c>
      <c r="H180" s="116">
        <f>H178+H152</f>
        <v>5.8788857999422959</v>
      </c>
      <c r="I180" s="117">
        <f>I178+I152</f>
        <v>1.4241025724180643</v>
      </c>
      <c r="J180" s="243">
        <f>+E180+F180+G180+H180</f>
        <v>56.69833111511074</v>
      </c>
      <c r="K180" s="243">
        <f t="shared" ref="K180:P180" si="108">+F180+G180+H180+I180</f>
        <v>41.300390994563301</v>
      </c>
      <c r="L180" s="243">
        <f t="shared" si="108"/>
        <v>87.632990229222258</v>
      </c>
      <c r="M180" s="243">
        <f t="shared" si="108"/>
        <v>105.30171048203441</v>
      </c>
      <c r="N180" s="243">
        <f t="shared" si="108"/>
        <v>187.05581491131437</v>
      </c>
      <c r="O180" s="243">
        <f t="shared" si="108"/>
        <v>290.93342282093073</v>
      </c>
      <c r="P180" s="243">
        <f t="shared" si="108"/>
        <v>421.29090661713434</v>
      </c>
      <c r="Q180" s="30"/>
      <c r="R180" s="30"/>
      <c r="S180" s="30"/>
      <c r="T180" s="30"/>
      <c r="U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30"/>
      <c r="BA180" s="30"/>
      <c r="BB180" s="30"/>
      <c r="BC180" s="30"/>
      <c r="BD180" s="30"/>
      <c r="BE180" s="30"/>
      <c r="BF180" s="30"/>
      <c r="BG180" s="30"/>
      <c r="BH180" s="30"/>
      <c r="BI180" s="30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30"/>
      <c r="DX180" s="30"/>
      <c r="DY180" s="30"/>
      <c r="DZ180" s="30"/>
      <c r="EA180" s="30"/>
      <c r="EB180" s="30"/>
      <c r="EC180" s="30"/>
      <c r="ED180" s="30"/>
      <c r="EE180" s="30"/>
      <c r="EF180" s="30"/>
      <c r="EG180" s="30"/>
      <c r="EH180" s="30"/>
      <c r="EI180" s="30"/>
      <c r="EJ180" s="30"/>
      <c r="EK180" s="30"/>
      <c r="EL180" s="30"/>
      <c r="EM180" s="30"/>
      <c r="EN180" s="30"/>
    </row>
    <row r="181" spans="1:144" thickBot="1" x14ac:dyDescent="0.4">
      <c r="A181" s="30"/>
      <c r="B181" s="106" t="s">
        <v>336</v>
      </c>
      <c r="C181" s="107" t="s">
        <v>337</v>
      </c>
      <c r="D181" s="99" t="s">
        <v>201</v>
      </c>
      <c r="E181" s="97">
        <f>+E74</f>
        <v>35.371218749745829</v>
      </c>
      <c r="F181" s="234">
        <f t="shared" ref="F181:I181" si="109">+F74</f>
        <v>14.935881550125281</v>
      </c>
      <c r="G181" s="97">
        <f t="shared" si="109"/>
        <v>55.587057964461948</v>
      </c>
      <c r="H181" s="97">
        <f t="shared" si="109"/>
        <v>27.569413333477179</v>
      </c>
      <c r="I181" s="98">
        <f t="shared" si="109"/>
        <v>11.831390041326902</v>
      </c>
      <c r="J181" s="244">
        <f>+J74</f>
        <v>11.995757248278483</v>
      </c>
      <c r="K181" s="244">
        <f t="shared" ref="K181:P181" si="110">+K74</f>
        <v>11.995757248278483</v>
      </c>
      <c r="L181" s="244">
        <f t="shared" si="110"/>
        <v>11.995757248278483</v>
      </c>
      <c r="M181" s="244">
        <f t="shared" si="110"/>
        <v>11.995757248278483</v>
      </c>
      <c r="N181" s="244">
        <f t="shared" si="110"/>
        <v>11.995757248278483</v>
      </c>
      <c r="O181" s="244">
        <f t="shared" si="110"/>
        <v>11.995757248278483</v>
      </c>
      <c r="P181" s="244">
        <f t="shared" si="110"/>
        <v>11.995757248278483</v>
      </c>
      <c r="Q181" s="30"/>
      <c r="R181" s="30"/>
      <c r="S181" s="30"/>
      <c r="T181" s="30"/>
      <c r="U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30"/>
      <c r="BA181" s="30"/>
      <c r="BB181" s="30"/>
      <c r="BC181" s="30"/>
      <c r="BD181" s="30"/>
      <c r="BE181" s="30"/>
      <c r="BF181" s="30"/>
      <c r="BG181" s="30"/>
      <c r="BH181" s="30"/>
      <c r="BI181" s="30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/>
      <c r="DW181" s="30"/>
      <c r="DX181" s="30"/>
      <c r="DY181" s="30"/>
      <c r="DZ181" s="30"/>
      <c r="EA181" s="30"/>
      <c r="EB181" s="30"/>
      <c r="EC181" s="30"/>
      <c r="ED181" s="30"/>
      <c r="EE181" s="30"/>
      <c r="EF181" s="30"/>
      <c r="EG181" s="30"/>
      <c r="EH181" s="30"/>
      <c r="EI181" s="30"/>
      <c r="EJ181" s="30"/>
      <c r="EK181" s="30"/>
      <c r="EL181" s="30"/>
      <c r="EM181" s="30"/>
      <c r="EN181" s="30"/>
    </row>
    <row r="182" spans="1:144" thickBot="1" x14ac:dyDescent="0.4">
      <c r="A182" s="30"/>
      <c r="B182" s="172" t="s">
        <v>338</v>
      </c>
      <c r="C182" s="173"/>
      <c r="D182" s="100"/>
      <c r="E182" s="93">
        <f>ABS(E180-E181)</f>
        <v>18.549176056780325</v>
      </c>
      <c r="F182" s="235">
        <f t="shared" ref="F182:H182" si="111">ABS(F180-F181)</f>
        <v>4.5701496696734925</v>
      </c>
      <c r="G182" s="93">
        <f t="shared" si="111"/>
        <v>31.955387222710797</v>
      </c>
      <c r="H182" s="93">
        <f t="shared" si="111"/>
        <v>21.690527533534883</v>
      </c>
      <c r="I182" s="94">
        <f>ABS(I180-I181)</f>
        <v>10.407287468908837</v>
      </c>
      <c r="J182" s="245">
        <f>+SUM(E182:I182)</f>
        <v>87.17252795160833</v>
      </c>
      <c r="K182" s="245">
        <f t="shared" ref="K182:P182" si="112">+SUM(F182:J182)</f>
        <v>155.79587984643632</v>
      </c>
      <c r="L182" s="245">
        <f t="shared" si="112"/>
        <v>307.02161002319917</v>
      </c>
      <c r="M182" s="245">
        <f t="shared" si="112"/>
        <v>582.08783282368756</v>
      </c>
      <c r="N182" s="245">
        <f t="shared" si="112"/>
        <v>1142.4851381138401</v>
      </c>
      <c r="O182" s="245">
        <f t="shared" si="112"/>
        <v>2274.5629887587716</v>
      </c>
      <c r="P182" s="245">
        <f t="shared" si="112"/>
        <v>4461.9534495659354</v>
      </c>
      <c r="Q182" s="30"/>
      <c r="R182" s="30"/>
      <c r="S182" s="30"/>
      <c r="T182" s="30"/>
      <c r="U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0"/>
      <c r="DX182" s="3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</row>
    <row r="183" spans="1:144" thickBot="1" x14ac:dyDescent="0.4">
      <c r="A183" s="30"/>
      <c r="B183" s="30"/>
      <c r="C183" s="30"/>
      <c r="D183" s="67"/>
      <c r="E183" s="30"/>
      <c r="F183" s="74"/>
      <c r="G183" s="30"/>
      <c r="H183" s="30"/>
      <c r="I183" s="30"/>
      <c r="J183" s="74"/>
      <c r="K183" s="30"/>
      <c r="L183" s="74"/>
      <c r="M183" s="30"/>
      <c r="N183" s="30"/>
      <c r="O183" s="30"/>
      <c r="P183" s="30"/>
      <c r="Q183" s="30"/>
      <c r="R183" s="30"/>
      <c r="S183" s="30"/>
      <c r="T183" s="30"/>
      <c r="U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0"/>
      <c r="DX183" s="3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</row>
    <row r="184" spans="1:144" s="356" customFormat="1" thickBot="1" x14ac:dyDescent="0.4">
      <c r="A184" s="616" t="s">
        <v>339</v>
      </c>
      <c r="B184" s="617"/>
      <c r="C184" s="617"/>
      <c r="D184" s="617"/>
      <c r="E184" s="617"/>
      <c r="F184" s="617"/>
      <c r="G184" s="617"/>
      <c r="H184" s="617"/>
      <c r="I184" s="617"/>
      <c r="J184" s="617"/>
      <c r="K184" s="617"/>
      <c r="L184" s="617"/>
      <c r="M184" s="617"/>
      <c r="N184" s="617"/>
      <c r="O184" s="617"/>
      <c r="P184" s="618"/>
      <c r="Q184" s="442"/>
      <c r="R184" s="442"/>
      <c r="S184" s="442"/>
      <c r="T184" s="442"/>
      <c r="U184" s="442"/>
      <c r="V184" s="85"/>
    </row>
    <row r="185" spans="1:144" thickBot="1" x14ac:dyDescent="0.4">
      <c r="A185" s="30"/>
      <c r="B185" s="30"/>
      <c r="C185" s="30"/>
      <c r="D185" s="67"/>
      <c r="E185" s="30"/>
      <c r="F185" s="74"/>
      <c r="G185" s="30"/>
      <c r="H185" s="30"/>
      <c r="I185" s="30"/>
      <c r="J185" s="74"/>
      <c r="K185" s="30"/>
      <c r="L185" s="74"/>
      <c r="M185" s="30"/>
      <c r="N185" s="30"/>
      <c r="O185" s="30"/>
      <c r="P185" s="30"/>
      <c r="Q185" s="30"/>
      <c r="R185" s="30"/>
      <c r="S185" s="30"/>
      <c r="T185" s="30"/>
      <c r="U185" s="30"/>
      <c r="V185" s="355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30"/>
      <c r="BA185" s="30"/>
      <c r="BB185" s="30"/>
      <c r="BC185" s="30"/>
      <c r="BD185" s="30"/>
      <c r="BE185" s="30"/>
      <c r="BF185" s="30"/>
      <c r="BG185" s="30"/>
      <c r="BH185" s="30"/>
      <c r="BI185" s="30"/>
    </row>
    <row r="186" spans="1:144" thickBot="1" x14ac:dyDescent="0.4">
      <c r="A186" s="613" t="s">
        <v>340</v>
      </c>
      <c r="B186" s="614"/>
      <c r="C186" s="614"/>
      <c r="D186" s="614"/>
      <c r="E186" s="614"/>
      <c r="F186" s="614"/>
      <c r="G186" s="614"/>
      <c r="H186" s="614"/>
      <c r="I186" s="614"/>
      <c r="J186" s="614"/>
      <c r="K186" s="614"/>
      <c r="L186" s="614"/>
      <c r="M186" s="614"/>
      <c r="N186" s="614"/>
      <c r="O186" s="614"/>
      <c r="P186" s="615"/>
      <c r="Q186" s="474"/>
      <c r="R186" s="474"/>
      <c r="S186" s="474"/>
      <c r="T186" s="474"/>
      <c r="U186" s="474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30"/>
      <c r="BA186" s="30"/>
      <c r="BB186" s="30"/>
      <c r="BC186" s="30"/>
      <c r="BD186" s="30"/>
      <c r="BE186" s="30"/>
      <c r="BF186" s="30"/>
      <c r="BG186" s="30"/>
      <c r="BH186" s="30"/>
      <c r="BI186" s="30"/>
    </row>
    <row r="187" spans="1:144" thickBot="1" x14ac:dyDescent="0.4">
      <c r="A187" s="30"/>
      <c r="B187" s="30"/>
      <c r="C187" s="30"/>
      <c r="D187" s="67"/>
      <c r="E187" s="30"/>
      <c r="F187" s="74"/>
      <c r="G187" s="30"/>
      <c r="H187" s="30"/>
      <c r="I187" s="30"/>
      <c r="J187" s="74"/>
      <c r="K187" s="30"/>
      <c r="L187" s="74"/>
      <c r="M187" s="30"/>
      <c r="N187" s="30"/>
      <c r="O187" s="30"/>
      <c r="P187" s="30"/>
      <c r="Q187" s="30"/>
      <c r="R187" s="30"/>
      <c r="S187" s="30"/>
      <c r="T187" s="30"/>
      <c r="U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</row>
    <row r="188" spans="1:144" thickBot="1" x14ac:dyDescent="0.4">
      <c r="A188" s="30"/>
      <c r="B188" s="86" t="s">
        <v>236</v>
      </c>
      <c r="C188" s="87" t="s">
        <v>237</v>
      </c>
      <c r="D188" s="431" t="s">
        <v>30</v>
      </c>
      <c r="E188" s="437">
        <f>+E149</f>
        <v>0.66100000000000003</v>
      </c>
      <c r="F188" s="236">
        <f t="shared" ref="F188:I188" si="113">+F149</f>
        <v>0.31900000000000001</v>
      </c>
      <c r="G188" s="114">
        <f t="shared" si="113"/>
        <v>0.98399999999999999</v>
      </c>
      <c r="H188" s="114">
        <f t="shared" si="113"/>
        <v>0.94523999999999997</v>
      </c>
      <c r="I188" s="115">
        <f t="shared" si="113"/>
        <v>0.36699999999999999</v>
      </c>
      <c r="J188" s="74"/>
      <c r="K188" s="30"/>
      <c r="L188" s="74"/>
      <c r="M188" s="30"/>
      <c r="N188" s="30"/>
      <c r="O188" s="30"/>
      <c r="P188" s="30"/>
      <c r="Q188" s="30"/>
      <c r="R188" s="30"/>
      <c r="S188" s="30"/>
      <c r="T188" s="30"/>
      <c r="U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</row>
    <row r="189" spans="1:144" thickBot="1" x14ac:dyDescent="0.4">
      <c r="A189" s="30"/>
      <c r="B189" s="88" t="s">
        <v>332</v>
      </c>
      <c r="C189" s="89" t="s">
        <v>333</v>
      </c>
      <c r="D189" s="432" t="s">
        <v>144</v>
      </c>
      <c r="E189" s="438">
        <f>+E79</f>
        <v>591.42558140905976</v>
      </c>
      <c r="F189" s="233">
        <f t="shared" ref="F189:I189" si="114">+F79</f>
        <v>94.680529542679125</v>
      </c>
      <c r="G189" s="116">
        <f t="shared" si="114"/>
        <v>99.660223667176169</v>
      </c>
      <c r="H189" s="116">
        <f t="shared" si="114"/>
        <v>95.303904198255495</v>
      </c>
      <c r="I189" s="117">
        <f t="shared" si="114"/>
        <v>50.399354648379131</v>
      </c>
      <c r="J189" s="74"/>
      <c r="K189" s="30"/>
      <c r="L189" s="74" t="s">
        <v>326</v>
      </c>
      <c r="M189" s="30"/>
      <c r="N189" s="30"/>
      <c r="O189" s="30"/>
      <c r="P189" s="30"/>
      <c r="Q189" s="30"/>
      <c r="R189" s="30"/>
      <c r="S189" s="30"/>
      <c r="T189" s="30"/>
      <c r="U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</row>
    <row r="190" spans="1:144" thickBot="1" x14ac:dyDescent="0.4">
      <c r="A190" s="30"/>
      <c r="B190" s="343" t="s">
        <v>327</v>
      </c>
      <c r="C190" s="344" t="s">
        <v>328</v>
      </c>
      <c r="D190" s="433" t="s">
        <v>201</v>
      </c>
      <c r="E190" s="439">
        <f>+E180</f>
        <v>16.822042692965503</v>
      </c>
      <c r="F190" s="346">
        <f t="shared" ref="F190:I190" si="115">+F180</f>
        <v>10.365731880451788</v>
      </c>
      <c r="G190" s="345">
        <f t="shared" si="115"/>
        <v>23.631670741751151</v>
      </c>
      <c r="H190" s="345">
        <f t="shared" si="115"/>
        <v>5.8788857999422959</v>
      </c>
      <c r="I190" s="347">
        <f t="shared" si="115"/>
        <v>1.4241025724180643</v>
      </c>
      <c r="J190" s="74"/>
      <c r="K190" s="30"/>
      <c r="L190" s="74"/>
      <c r="M190" s="30"/>
      <c r="N190" s="30"/>
      <c r="O190" s="30"/>
      <c r="P190" s="30"/>
      <c r="Q190" s="30"/>
      <c r="R190" s="30"/>
      <c r="S190" s="30"/>
      <c r="T190" s="30"/>
      <c r="U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</row>
    <row r="191" spans="1:144" thickBot="1" x14ac:dyDescent="0.4">
      <c r="A191" s="30"/>
      <c r="B191" s="118" t="s">
        <v>313</v>
      </c>
      <c r="C191" s="90" t="s">
        <v>322</v>
      </c>
      <c r="D191" s="432" t="s">
        <v>144</v>
      </c>
      <c r="E191" s="438">
        <f>+E119</f>
        <v>920.34460853736289</v>
      </c>
      <c r="F191" s="233">
        <f>+F119</f>
        <v>834.29680168847358</v>
      </c>
      <c r="G191" s="116">
        <f>+G119</f>
        <v>522.56856952144835</v>
      </c>
      <c r="H191" s="116">
        <f>+H119</f>
        <v>356.30726624074515</v>
      </c>
      <c r="I191" s="117">
        <f>+I119</f>
        <v>279.39316082323688</v>
      </c>
      <c r="J191" s="74"/>
      <c r="K191" s="30"/>
      <c r="L191" s="74"/>
      <c r="M191" s="30"/>
      <c r="N191" s="30"/>
      <c r="O191" s="30"/>
      <c r="P191" s="30"/>
      <c r="Q191" s="30"/>
      <c r="R191" s="30"/>
      <c r="S191" s="30"/>
      <c r="T191" s="30"/>
      <c r="U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</row>
    <row r="192" spans="1:144" thickBot="1" x14ac:dyDescent="0.4">
      <c r="A192" s="30"/>
      <c r="B192" s="95" t="s">
        <v>240</v>
      </c>
      <c r="C192" s="96" t="s">
        <v>241</v>
      </c>
      <c r="D192" s="434" t="s">
        <v>21</v>
      </c>
      <c r="E192" s="440">
        <f>+E152</f>
        <v>1.5060110227836798</v>
      </c>
      <c r="F192" s="234">
        <f>+F152</f>
        <v>2.1104507515419635</v>
      </c>
      <c r="G192" s="97">
        <f>+G152</f>
        <v>9.1755404063397741</v>
      </c>
      <c r="H192" s="97">
        <f>+H152</f>
        <v>1.7401051058824151</v>
      </c>
      <c r="I192" s="98">
        <f>+I152</f>
        <v>0.50063573086680058</v>
      </c>
      <c r="J192" s="74"/>
      <c r="K192" s="30"/>
      <c r="L192" s="74"/>
      <c r="M192" s="30"/>
      <c r="N192" s="30"/>
      <c r="O192" s="30"/>
      <c r="P192" s="30"/>
      <c r="Q192" s="30"/>
      <c r="R192" s="30"/>
      <c r="S192" s="30"/>
      <c r="T192" s="30"/>
      <c r="U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30"/>
      <c r="BA192" s="30"/>
      <c r="BB192" s="30"/>
      <c r="BC192" s="30"/>
      <c r="BD192" s="30"/>
      <c r="BE192" s="30"/>
      <c r="BF192" s="30"/>
      <c r="BG192" s="30"/>
      <c r="BH192" s="30"/>
      <c r="BI192" s="30"/>
    </row>
    <row r="193" spans="1:61" thickBot="1" x14ac:dyDescent="0.4">
      <c r="A193" s="30"/>
      <c r="B193" s="95" t="s">
        <v>341</v>
      </c>
      <c r="C193" s="96" t="s">
        <v>275</v>
      </c>
      <c r="D193" s="434" t="s">
        <v>21</v>
      </c>
      <c r="E193" s="440">
        <f>+E178</f>
        <v>15.316031670181825</v>
      </c>
      <c r="F193" s="234">
        <f t="shared" ref="F193:I193" si="116">+F178</f>
        <v>8.2552811289098251</v>
      </c>
      <c r="G193" s="97">
        <f t="shared" si="116"/>
        <v>14.456130335411375</v>
      </c>
      <c r="H193" s="97">
        <f t="shared" si="116"/>
        <v>4.1387806940598804</v>
      </c>
      <c r="I193" s="98">
        <f t="shared" si="116"/>
        <v>0.92346684155126368</v>
      </c>
      <c r="J193" s="74"/>
      <c r="K193" s="30"/>
      <c r="L193" s="74"/>
      <c r="M193" s="30"/>
      <c r="N193" s="30"/>
      <c r="O193" s="30"/>
      <c r="P193" s="30"/>
      <c r="Q193" s="30"/>
      <c r="R193" s="30"/>
      <c r="S193" s="30"/>
      <c r="T193" s="30"/>
      <c r="U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30"/>
      <c r="BA193" s="30"/>
      <c r="BB193" s="30"/>
      <c r="BC193" s="30"/>
      <c r="BD193" s="30"/>
      <c r="BE193" s="30"/>
      <c r="BF193" s="30"/>
      <c r="BG193" s="30"/>
      <c r="BH193" s="30"/>
      <c r="BI193" s="30"/>
    </row>
    <row r="194" spans="1:61" thickBot="1" x14ac:dyDescent="0.4">
      <c r="A194" s="30"/>
      <c r="B194" s="119" t="s">
        <v>316</v>
      </c>
      <c r="C194" s="99" t="s">
        <v>320</v>
      </c>
      <c r="D194" s="435" t="s">
        <v>201</v>
      </c>
      <c r="E194" s="440">
        <f>+E117</f>
        <v>163.70994866500865</v>
      </c>
      <c r="F194" s="234">
        <f>+F117</f>
        <v>146.55948001113674</v>
      </c>
      <c r="G194" s="97">
        <f>+G117</f>
        <v>86.670803714029702</v>
      </c>
      <c r="H194" s="97">
        <f>+H117</f>
        <v>56.488756575152088</v>
      </c>
      <c r="I194" s="98">
        <f>+I117</f>
        <v>42.967477354985846</v>
      </c>
      <c r="J194" s="74"/>
      <c r="K194" s="30"/>
      <c r="L194" s="74"/>
      <c r="M194" s="30"/>
      <c r="N194" s="30"/>
      <c r="O194" s="30"/>
      <c r="P194" s="30"/>
      <c r="Q194" s="30"/>
      <c r="R194" s="30"/>
      <c r="S194" s="30"/>
      <c r="T194" s="30"/>
      <c r="U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30"/>
      <c r="BA194" s="30"/>
      <c r="BB194" s="30"/>
      <c r="BC194" s="30"/>
      <c r="BD194" s="30"/>
      <c r="BE194" s="30"/>
      <c r="BF194" s="30"/>
      <c r="BG194" s="30"/>
      <c r="BH194" s="30"/>
      <c r="BI194" s="30"/>
    </row>
    <row r="195" spans="1:61" thickBot="1" x14ac:dyDescent="0.4">
      <c r="A195" s="30"/>
      <c r="B195" s="119" t="s">
        <v>352</v>
      </c>
      <c r="C195" s="99" t="s">
        <v>353</v>
      </c>
      <c r="D195" s="435" t="s">
        <v>40</v>
      </c>
      <c r="E195" s="440">
        <f>+E78-F78</f>
        <v>12.898678399399419</v>
      </c>
      <c r="F195" s="234">
        <f>+F78-D3</f>
        <v>-12.413601882158613</v>
      </c>
      <c r="G195" s="97">
        <f>+G78-F78</f>
        <v>98.374901175519796</v>
      </c>
      <c r="H195" s="97">
        <f>+H78-G78</f>
        <v>26.391641883109401</v>
      </c>
      <c r="I195" s="98">
        <f>+I68</f>
        <v>1.2417954545454553</v>
      </c>
      <c r="J195" s="74"/>
      <c r="K195" s="30"/>
      <c r="L195" s="74"/>
      <c r="M195" s="30"/>
      <c r="N195" s="30"/>
      <c r="O195" s="30"/>
      <c r="P195" s="30"/>
      <c r="Q195" s="30"/>
      <c r="R195" s="30"/>
      <c r="S195" s="30"/>
      <c r="T195" s="30"/>
      <c r="U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30"/>
      <c r="BA195" s="30"/>
      <c r="BB195" s="30"/>
      <c r="BC195" s="30"/>
      <c r="BD195" s="30"/>
      <c r="BE195" s="30"/>
      <c r="BF195" s="30"/>
      <c r="BG195" s="30"/>
      <c r="BH195" s="30"/>
      <c r="BI195" s="30"/>
    </row>
    <row r="196" spans="1:61" thickBot="1" x14ac:dyDescent="0.4">
      <c r="A196" s="30"/>
      <c r="B196" s="91" t="s">
        <v>293</v>
      </c>
      <c r="C196" s="92" t="s">
        <v>294</v>
      </c>
      <c r="D196" s="436" t="s">
        <v>144</v>
      </c>
      <c r="E196" s="441">
        <f>+E88</f>
        <v>597.91533620694247</v>
      </c>
      <c r="F196" s="93">
        <f t="shared" ref="F196:I196" si="117">+F88</f>
        <v>95.196361374916933</v>
      </c>
      <c r="G196" s="93">
        <f t="shared" si="117"/>
        <v>139.19936547623382</v>
      </c>
      <c r="H196" s="93">
        <f t="shared" si="117"/>
        <v>98.87703040260395</v>
      </c>
      <c r="I196" s="94">
        <f t="shared" si="117"/>
        <v>53.305733024244645</v>
      </c>
      <c r="J196" s="74"/>
      <c r="K196" s="30"/>
      <c r="L196" s="74"/>
      <c r="M196" s="30"/>
      <c r="N196" s="30"/>
      <c r="O196" s="30"/>
      <c r="P196" s="30"/>
      <c r="Q196" s="30"/>
      <c r="R196" s="30"/>
      <c r="S196" s="30"/>
      <c r="T196" s="30"/>
      <c r="U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</row>
    <row r="197" spans="1:61" thickBot="1" x14ac:dyDescent="0.4">
      <c r="A197" s="30"/>
      <c r="B197" s="30"/>
      <c r="C197" s="30"/>
      <c r="D197" s="67"/>
      <c r="E197" s="30"/>
      <c r="F197" s="74"/>
      <c r="G197" s="30"/>
      <c r="H197" s="30"/>
      <c r="I197" s="30"/>
      <c r="J197" s="74"/>
      <c r="K197" s="30"/>
      <c r="L197" s="74"/>
      <c r="M197" s="30"/>
      <c r="N197" s="30"/>
      <c r="O197" s="30"/>
      <c r="P197" s="30"/>
      <c r="Q197" s="30"/>
      <c r="R197" s="30"/>
      <c r="S197" s="30"/>
      <c r="T197" s="30"/>
      <c r="U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</row>
    <row r="198" spans="1:61" thickBot="1" x14ac:dyDescent="0.4">
      <c r="A198" s="30"/>
      <c r="B198" s="101" t="s">
        <v>4</v>
      </c>
      <c r="C198" s="102" t="s">
        <v>5</v>
      </c>
      <c r="D198" s="102">
        <v>40</v>
      </c>
      <c r="E198" s="103" t="s">
        <v>6</v>
      </c>
      <c r="F198" s="74"/>
      <c r="G198" s="30"/>
      <c r="H198" s="30"/>
      <c r="I198" s="30"/>
      <c r="J198" s="74"/>
      <c r="K198" s="30"/>
      <c r="L198" s="74"/>
      <c r="M198" s="30"/>
      <c r="N198" s="30"/>
      <c r="O198" s="30"/>
      <c r="P198" s="30"/>
      <c r="Q198" s="30"/>
      <c r="R198" s="30"/>
      <c r="S198" s="30"/>
      <c r="T198" s="30"/>
      <c r="U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</row>
    <row r="199" spans="1:61" thickBot="1" x14ac:dyDescent="0.4">
      <c r="A199" s="30"/>
      <c r="B199" s="104" t="s">
        <v>78</v>
      </c>
      <c r="C199" s="96" t="s">
        <v>79</v>
      </c>
      <c r="D199" s="96">
        <f>3.33635271598995*D198</f>
        <v>133.45410863959802</v>
      </c>
      <c r="E199" s="105" t="s">
        <v>6</v>
      </c>
      <c r="F199" s="74"/>
      <c r="G199" s="30"/>
      <c r="H199" s="30"/>
      <c r="I199" s="30"/>
      <c r="J199" s="74"/>
      <c r="K199" s="30"/>
      <c r="L199" s="74"/>
      <c r="M199" s="30"/>
      <c r="N199" s="30"/>
      <c r="O199" s="30"/>
      <c r="P199" s="30"/>
      <c r="Q199" s="30"/>
      <c r="R199" s="30"/>
      <c r="S199" s="30"/>
      <c r="T199" s="30"/>
      <c r="U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</row>
    <row r="200" spans="1:61" thickBot="1" x14ac:dyDescent="0.4">
      <c r="A200" s="30"/>
      <c r="B200" s="106" t="s">
        <v>157</v>
      </c>
      <c r="C200" s="107"/>
      <c r="D200" s="108">
        <f>+D14</f>
        <v>0.3</v>
      </c>
      <c r="E200" s="109" t="s">
        <v>8</v>
      </c>
      <c r="F200" s="74"/>
      <c r="G200" s="30"/>
      <c r="H200" s="30"/>
      <c r="I200" s="30"/>
      <c r="J200" s="74"/>
      <c r="K200" s="30"/>
      <c r="L200" s="74"/>
      <c r="M200" s="30"/>
      <c r="N200" s="30"/>
      <c r="O200" s="30"/>
      <c r="P200" s="30"/>
      <c r="Q200" s="30"/>
      <c r="R200" s="30"/>
      <c r="S200" s="30"/>
      <c r="T200" s="30"/>
      <c r="U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</row>
    <row r="201" spans="1:61" thickBot="1" x14ac:dyDescent="0.4">
      <c r="A201" s="30"/>
      <c r="B201" s="110" t="s">
        <v>342</v>
      </c>
      <c r="C201" s="111" t="s">
        <v>7</v>
      </c>
      <c r="D201" s="112">
        <f>+J74/K110</f>
        <v>5.6395258871190131E-2</v>
      </c>
      <c r="E201" s="113" t="s">
        <v>8</v>
      </c>
      <c r="F201" s="74"/>
      <c r="G201" s="30"/>
      <c r="H201" s="30"/>
      <c r="I201" s="30"/>
      <c r="J201" s="74"/>
      <c r="K201" s="30"/>
      <c r="L201" s="74"/>
      <c r="M201" s="30"/>
      <c r="N201" s="30"/>
      <c r="O201" s="30"/>
      <c r="P201" s="30"/>
      <c r="Q201" s="30"/>
      <c r="R201" s="30"/>
      <c r="S201" s="30"/>
      <c r="T201" s="30"/>
      <c r="U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</row>
    <row r="202" spans="1:61" thickBot="1" x14ac:dyDescent="0.4">
      <c r="A202" s="30"/>
      <c r="B202" s="30"/>
      <c r="C202" s="30"/>
      <c r="D202" s="67"/>
      <c r="E202" s="30"/>
      <c r="F202" s="74"/>
      <c r="G202" s="30"/>
      <c r="H202" s="30"/>
      <c r="I202" s="30"/>
      <c r="J202" s="74"/>
      <c r="K202" s="30"/>
      <c r="L202" s="74"/>
      <c r="M202" s="30"/>
      <c r="N202" s="30"/>
      <c r="O202" s="30"/>
      <c r="P202" s="30"/>
      <c r="Q202" s="30"/>
      <c r="R202" s="30"/>
      <c r="S202" s="30"/>
      <c r="T202" s="30"/>
      <c r="U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</row>
    <row r="203" spans="1:61" thickBot="1" x14ac:dyDescent="0.4">
      <c r="A203" s="633"/>
      <c r="B203" s="634"/>
      <c r="C203" s="634"/>
      <c r="D203" s="634"/>
      <c r="E203" s="634"/>
      <c r="F203" s="634"/>
      <c r="G203" s="634"/>
      <c r="H203" s="634"/>
      <c r="I203" s="634"/>
      <c r="J203" s="634"/>
      <c r="K203" s="634"/>
      <c r="L203" s="634"/>
      <c r="M203" s="634"/>
      <c r="N203" s="634"/>
      <c r="O203" s="634"/>
      <c r="P203" s="635"/>
      <c r="Q203" s="473"/>
      <c r="R203" s="473"/>
      <c r="S203" s="473"/>
      <c r="T203" s="473"/>
      <c r="U203" s="473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</row>
    <row r="204" spans="1:61" thickBot="1" x14ac:dyDescent="0.4">
      <c r="A204" s="174"/>
      <c r="B204" s="174"/>
      <c r="C204" s="174"/>
      <c r="D204" s="174"/>
      <c r="E204" s="174"/>
      <c r="F204" s="237"/>
      <c r="G204" s="174"/>
      <c r="H204" s="174"/>
      <c r="I204" s="174"/>
      <c r="J204" s="237"/>
      <c r="K204" s="174"/>
      <c r="L204" s="237"/>
      <c r="M204" s="30"/>
      <c r="N204" s="30"/>
      <c r="O204" s="30"/>
      <c r="P204" s="30"/>
      <c r="Q204" s="30"/>
      <c r="R204" s="30"/>
      <c r="S204" s="30"/>
      <c r="T204" s="30"/>
      <c r="U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</row>
    <row r="205" spans="1:61" thickBot="1" x14ac:dyDescent="0.4">
      <c r="A205" s="73"/>
      <c r="B205" s="624" t="s">
        <v>355</v>
      </c>
      <c r="C205" s="625"/>
      <c r="D205" s="625"/>
      <c r="E205" s="625"/>
      <c r="F205" s="625"/>
      <c r="G205" s="625"/>
      <c r="H205" s="625"/>
      <c r="I205" s="625"/>
      <c r="J205" s="625"/>
      <c r="K205" s="625"/>
      <c r="L205" s="625"/>
      <c r="M205" s="626"/>
      <c r="P205" s="30"/>
      <c r="Q205" s="30"/>
      <c r="R205" s="30"/>
      <c r="S205" s="30"/>
      <c r="T205" s="30"/>
      <c r="U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</row>
    <row r="206" spans="1:61" ht="39.65" customHeight="1" thickBot="1" x14ac:dyDescent="0.4">
      <c r="A206" s="73"/>
      <c r="B206" s="396" t="s">
        <v>343</v>
      </c>
      <c r="C206" s="387" t="s">
        <v>344</v>
      </c>
      <c r="D206" s="627" t="s">
        <v>345</v>
      </c>
      <c r="E206" s="628"/>
      <c r="F206" s="629"/>
      <c r="G206" s="630" t="s">
        <v>346</v>
      </c>
      <c r="H206" s="631"/>
      <c r="I206" s="631"/>
      <c r="J206" s="631"/>
      <c r="K206" s="631"/>
      <c r="L206" s="631"/>
      <c r="M206" s="632"/>
      <c r="P206" s="30"/>
      <c r="Q206" s="30"/>
      <c r="R206" s="30"/>
      <c r="S206" s="30"/>
      <c r="T206" s="30"/>
      <c r="U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</row>
    <row r="207" spans="1:61" ht="56.5" thickBot="1" x14ac:dyDescent="0.4">
      <c r="A207" s="73"/>
      <c r="B207" s="397"/>
      <c r="C207" s="400"/>
      <c r="D207" s="402" t="s">
        <v>356</v>
      </c>
      <c r="E207" s="407" t="s">
        <v>371</v>
      </c>
      <c r="F207" s="393" t="s">
        <v>354</v>
      </c>
      <c r="G207" s="405" t="s">
        <v>347</v>
      </c>
      <c r="H207" s="176" t="s">
        <v>348</v>
      </c>
      <c r="I207" s="354" t="s">
        <v>349</v>
      </c>
      <c r="J207" s="176" t="s">
        <v>350</v>
      </c>
      <c r="K207" s="354" t="s">
        <v>351</v>
      </c>
      <c r="L207" s="354" t="s">
        <v>368</v>
      </c>
      <c r="M207" s="393" t="s">
        <v>369</v>
      </c>
      <c r="P207" s="30"/>
      <c r="Q207" s="30"/>
      <c r="R207" s="30"/>
      <c r="S207" s="30"/>
      <c r="T207" s="30"/>
      <c r="U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</row>
    <row r="208" spans="1:61" thickBot="1" x14ac:dyDescent="0.4">
      <c r="A208" s="73"/>
      <c r="B208" s="398">
        <v>1</v>
      </c>
      <c r="C208" s="401">
        <f>+E188</f>
        <v>0.66100000000000003</v>
      </c>
      <c r="D208" s="408">
        <f>+E79</f>
        <v>591.42558140905976</v>
      </c>
      <c r="E208" s="238">
        <f>+E196</f>
        <v>597.91533620694247</v>
      </c>
      <c r="F208" s="403">
        <f>+E195</f>
        <v>12.898678399399419</v>
      </c>
      <c r="G208" s="394">
        <f>+E190</f>
        <v>16.822042692965503</v>
      </c>
      <c r="H208" s="177">
        <f>+E191</f>
        <v>920.34460853736289</v>
      </c>
      <c r="I208" s="238">
        <f>+E192</f>
        <v>1.5060110227836798</v>
      </c>
      <c r="J208" s="177">
        <f>+E193</f>
        <v>15.316031670181825</v>
      </c>
      <c r="K208" s="238">
        <f>+E194</f>
        <v>163.70994866500865</v>
      </c>
      <c r="L208" s="409">
        <f>+I208/C208</f>
        <v>2.2783827878724354</v>
      </c>
      <c r="M208" s="410">
        <f>+J208/C208</f>
        <v>23.171001013890809</v>
      </c>
      <c r="P208" s="30"/>
      <c r="Q208" s="30"/>
      <c r="R208" s="30"/>
      <c r="S208" s="30"/>
      <c r="T208" s="30"/>
      <c r="U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</row>
    <row r="209" spans="1:61" thickBot="1" x14ac:dyDescent="0.4">
      <c r="A209" s="73"/>
      <c r="B209" s="398">
        <v>2</v>
      </c>
      <c r="C209" s="401">
        <f>+F188</f>
        <v>0.31900000000000001</v>
      </c>
      <c r="D209" s="408">
        <f>+F79</f>
        <v>94.680529542679125</v>
      </c>
      <c r="E209" s="238">
        <f>+F196</f>
        <v>95.196361374916933</v>
      </c>
      <c r="F209" s="403">
        <f>+F195</f>
        <v>-12.413601882158613</v>
      </c>
      <c r="G209" s="394">
        <f>+F190</f>
        <v>10.365731880451788</v>
      </c>
      <c r="H209" s="177">
        <f>+F191</f>
        <v>834.29680168847358</v>
      </c>
      <c r="I209" s="238">
        <f>+F192</f>
        <v>2.1104507515419635</v>
      </c>
      <c r="J209" s="177">
        <f>+F193</f>
        <v>8.2552811289098251</v>
      </c>
      <c r="K209" s="238">
        <f>+F194</f>
        <v>146.55948001113674</v>
      </c>
      <c r="L209" s="409">
        <f>+I209/C209</f>
        <v>6.615833076934055</v>
      </c>
      <c r="M209" s="410">
        <f>+J209/C209</f>
        <v>25.878624228557445</v>
      </c>
      <c r="P209" s="30"/>
      <c r="Q209" s="30"/>
      <c r="R209" s="30"/>
      <c r="S209" s="30"/>
      <c r="T209" s="30"/>
      <c r="U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</row>
    <row r="210" spans="1:61" ht="15" customHeight="1" thickBot="1" x14ac:dyDescent="0.4">
      <c r="A210" s="73"/>
      <c r="B210" s="398">
        <v>3</v>
      </c>
      <c r="C210" s="401">
        <f>+G51</f>
        <v>3.004</v>
      </c>
      <c r="D210" s="408">
        <f>+G79</f>
        <v>99.660223667176169</v>
      </c>
      <c r="E210" s="238">
        <f>+G196</f>
        <v>139.19936547623382</v>
      </c>
      <c r="F210" s="403">
        <f>+G195</f>
        <v>98.374901175519796</v>
      </c>
      <c r="G210" s="394">
        <f>+G190</f>
        <v>23.631670741751151</v>
      </c>
      <c r="H210" s="177">
        <f>+G191</f>
        <v>522.56856952144835</v>
      </c>
      <c r="I210" s="238">
        <f>+G192</f>
        <v>9.1755404063397741</v>
      </c>
      <c r="J210" s="177">
        <f>+G193</f>
        <v>14.456130335411375</v>
      </c>
      <c r="K210" s="238">
        <f>+G194</f>
        <v>86.670803714029702</v>
      </c>
      <c r="L210" s="409">
        <f>+I210/C210</f>
        <v>3.0544408809386732</v>
      </c>
      <c r="M210" s="410">
        <f>+J210/C210</f>
        <v>4.8122937201768892</v>
      </c>
      <c r="P210" s="30"/>
      <c r="Q210" s="30"/>
      <c r="R210" s="30"/>
      <c r="S210" s="30"/>
      <c r="T210" s="30"/>
      <c r="U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</row>
    <row r="211" spans="1:61" thickBot="1" x14ac:dyDescent="0.4">
      <c r="A211" s="73"/>
      <c r="B211" s="398">
        <v>4</v>
      </c>
      <c r="C211" s="401">
        <f>+H51</f>
        <v>3.3888400000000001</v>
      </c>
      <c r="D211" s="408">
        <f>+H79</f>
        <v>95.303904198255495</v>
      </c>
      <c r="E211" s="238">
        <f>+H196</f>
        <v>98.87703040260395</v>
      </c>
      <c r="F211" s="403">
        <f>+H195</f>
        <v>26.391641883109401</v>
      </c>
      <c r="G211" s="394">
        <f>+H190</f>
        <v>5.8788857999422959</v>
      </c>
      <c r="H211" s="177">
        <f>+H191</f>
        <v>356.30726624074515</v>
      </c>
      <c r="I211" s="238">
        <f>+H192</f>
        <v>1.7401051058824151</v>
      </c>
      <c r="J211" s="177">
        <f>+H193</f>
        <v>4.1387806940598804</v>
      </c>
      <c r="K211" s="238">
        <f>+H194</f>
        <v>56.488756575152088</v>
      </c>
      <c r="L211" s="409">
        <f>+I211/C211</f>
        <v>0.51348104539677741</v>
      </c>
      <c r="M211" s="410">
        <f>+J211/C211</f>
        <v>1.2212971677800901</v>
      </c>
      <c r="P211" s="30"/>
      <c r="Q211" s="30"/>
      <c r="R211" s="30"/>
      <c r="S211" s="30"/>
      <c r="T211" s="30"/>
      <c r="U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</row>
    <row r="212" spans="1:61" thickBot="1" x14ac:dyDescent="0.4">
      <c r="A212" s="73"/>
      <c r="B212" s="399">
        <v>5</v>
      </c>
      <c r="C212" s="406">
        <f>+I51</f>
        <v>1.583</v>
      </c>
      <c r="D212" s="411">
        <f>+I79</f>
        <v>50.399354648379131</v>
      </c>
      <c r="E212" s="239">
        <f>+I196</f>
        <v>53.305733024244645</v>
      </c>
      <c r="F212" s="404">
        <f>+I195</f>
        <v>1.2417954545454553</v>
      </c>
      <c r="G212" s="395">
        <f>+I190</f>
        <v>1.4241025724180643</v>
      </c>
      <c r="H212" s="178">
        <f>+I191</f>
        <v>279.39316082323688</v>
      </c>
      <c r="I212" s="239">
        <f>+I192</f>
        <v>0.50063573086680058</v>
      </c>
      <c r="J212" s="178">
        <f>+I193</f>
        <v>0.92346684155126368</v>
      </c>
      <c r="K212" s="239">
        <f>+I194</f>
        <v>42.967477354985846</v>
      </c>
      <c r="L212" s="412">
        <f>+I212/C212</f>
        <v>0.31625756845660175</v>
      </c>
      <c r="M212" s="413">
        <f>+J212/C212</f>
        <v>0.58336502940698909</v>
      </c>
      <c r="P212" s="30"/>
      <c r="Q212" s="30"/>
      <c r="R212" s="30"/>
      <c r="S212" s="30"/>
      <c r="T212" s="30"/>
      <c r="U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</row>
    <row r="213" spans="1:61" thickBot="1" x14ac:dyDescent="0.4">
      <c r="A213" s="73"/>
      <c r="B213" s="73"/>
      <c r="C213" s="73"/>
      <c r="D213" s="67"/>
      <c r="E213" s="30"/>
      <c r="F213" s="74"/>
      <c r="G213" s="30"/>
      <c r="H213" s="30"/>
      <c r="I213" s="30"/>
      <c r="J213" s="74"/>
      <c r="K213" s="30"/>
      <c r="L213" s="74"/>
      <c r="M213" s="30"/>
      <c r="N213" s="30"/>
      <c r="O213" s="30"/>
      <c r="P213" s="30"/>
      <c r="Q213" s="30"/>
      <c r="R213" s="30"/>
      <c r="S213" s="30"/>
      <c r="T213" s="30"/>
      <c r="U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</row>
    <row r="214" spans="1:61" thickBot="1" x14ac:dyDescent="0.4">
      <c r="A214" s="601"/>
      <c r="B214" s="602"/>
      <c r="C214" s="602"/>
      <c r="D214" s="602"/>
      <c r="E214" s="602"/>
      <c r="F214" s="602"/>
      <c r="G214" s="602"/>
      <c r="H214" s="602"/>
      <c r="I214" s="602"/>
      <c r="J214" s="602"/>
      <c r="K214" s="602"/>
      <c r="L214" s="602"/>
      <c r="M214" s="602"/>
      <c r="N214" s="602"/>
      <c r="O214" s="602"/>
      <c r="P214" s="603"/>
      <c r="Q214" s="469"/>
      <c r="R214" s="469"/>
      <c r="S214" s="469"/>
      <c r="T214" s="469"/>
      <c r="U214" s="469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</row>
    <row r="215" spans="1:61" thickBot="1" x14ac:dyDescent="0.4">
      <c r="A215" s="73"/>
      <c r="B215" s="73"/>
      <c r="C215" s="73"/>
      <c r="D215" s="67"/>
      <c r="E215" s="30"/>
      <c r="F215" s="74"/>
      <c r="G215" s="30"/>
      <c r="H215" s="30"/>
      <c r="I215" s="30"/>
      <c r="J215" s="74"/>
      <c r="K215" s="30"/>
      <c r="L215" s="74"/>
      <c r="M215" s="30"/>
      <c r="N215" s="30"/>
      <c r="O215" s="30"/>
      <c r="P215" s="30"/>
      <c r="Q215" s="30"/>
      <c r="R215" s="30"/>
      <c r="S215" s="30"/>
      <c r="T215" s="30"/>
      <c r="U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</row>
    <row r="216" spans="1:61" thickBot="1" x14ac:dyDescent="0.4">
      <c r="A216" s="73"/>
      <c r="B216" s="73"/>
      <c r="C216" s="73"/>
      <c r="D216" s="67"/>
      <c r="E216" s="30"/>
      <c r="F216" s="74"/>
      <c r="G216" s="30"/>
      <c r="H216" s="30"/>
      <c r="I216" s="30"/>
      <c r="J216" s="74"/>
      <c r="K216" s="30"/>
      <c r="L216" s="74"/>
      <c r="M216" s="30"/>
      <c r="N216" s="30"/>
      <c r="O216" s="30"/>
      <c r="P216" s="30"/>
      <c r="Q216" s="30"/>
      <c r="R216" s="30"/>
      <c r="S216" s="30"/>
      <c r="T216" s="30"/>
      <c r="U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</row>
    <row r="217" spans="1:61" thickBot="1" x14ac:dyDescent="0.4">
      <c r="A217" s="73"/>
      <c r="B217" s="73"/>
      <c r="C217" s="73"/>
      <c r="D217" s="67"/>
      <c r="E217" s="30"/>
      <c r="F217" s="74"/>
      <c r="G217" s="30"/>
      <c r="H217" s="30"/>
      <c r="I217" s="30"/>
      <c r="J217" s="74"/>
      <c r="K217" s="30"/>
      <c r="L217" s="201"/>
      <c r="M217" s="30"/>
      <c r="N217" s="30"/>
      <c r="O217" s="30"/>
      <c r="P217" s="30"/>
      <c r="Q217" s="30"/>
      <c r="R217" s="30"/>
      <c r="S217" s="30"/>
      <c r="T217" s="30"/>
      <c r="U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</row>
    <row r="218" spans="1:61" thickBot="1" x14ac:dyDescent="0.4">
      <c r="A218" s="73"/>
      <c r="B218" s="73"/>
      <c r="C218" s="73"/>
      <c r="D218" s="67"/>
      <c r="E218" s="30"/>
      <c r="F218" s="74"/>
      <c r="G218" s="30"/>
      <c r="H218" s="30"/>
      <c r="I218" s="30"/>
      <c r="J218" s="74"/>
      <c r="K218" s="30"/>
      <c r="L218" s="201"/>
      <c r="M218" s="30"/>
      <c r="N218" s="30"/>
      <c r="O218" s="30"/>
      <c r="P218" s="30"/>
      <c r="Q218" s="30"/>
      <c r="R218" s="30"/>
      <c r="S218" s="30"/>
      <c r="T218" s="30"/>
      <c r="U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</row>
    <row r="219" spans="1:61" thickBot="1" x14ac:dyDescent="0.4">
      <c r="A219" s="73"/>
      <c r="B219" s="73"/>
      <c r="C219" s="73"/>
      <c r="D219" s="73"/>
      <c r="E219" s="73"/>
      <c r="F219" s="201"/>
      <c r="G219" s="73"/>
      <c r="H219" s="73"/>
      <c r="I219" s="73"/>
      <c r="J219" s="201"/>
      <c r="K219" s="73"/>
      <c r="L219" s="201"/>
      <c r="M219" s="30"/>
      <c r="N219" s="30"/>
      <c r="O219" s="30"/>
      <c r="P219" s="30"/>
      <c r="Q219" s="30"/>
      <c r="R219" s="30"/>
      <c r="S219" s="30"/>
      <c r="T219" s="30"/>
      <c r="U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</row>
    <row r="220" spans="1:61" thickBot="1" x14ac:dyDescent="0.4">
      <c r="A220" s="73"/>
      <c r="B220" s="73"/>
      <c r="C220" s="73"/>
      <c r="D220" s="73"/>
      <c r="E220" s="73"/>
      <c r="F220" s="201"/>
      <c r="G220" s="73"/>
      <c r="H220" s="73"/>
      <c r="I220" s="73"/>
      <c r="J220" s="201"/>
      <c r="K220" s="73"/>
      <c r="L220" s="201"/>
      <c r="M220" s="30"/>
      <c r="N220" s="30"/>
      <c r="O220" s="30"/>
      <c r="P220" s="30"/>
      <c r="Q220" s="30"/>
      <c r="R220" s="30"/>
      <c r="S220" s="30"/>
      <c r="T220" s="30"/>
      <c r="U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30"/>
      <c r="BA220" s="30"/>
      <c r="BB220" s="30"/>
      <c r="BC220" s="30"/>
      <c r="BD220" s="30"/>
      <c r="BE220" s="30"/>
      <c r="BF220" s="30"/>
      <c r="BG220" s="30"/>
      <c r="BH220" s="30"/>
      <c r="BI220" s="30"/>
    </row>
    <row r="221" spans="1:61" thickBot="1" x14ac:dyDescent="0.4">
      <c r="A221" s="73"/>
      <c r="B221" s="73"/>
      <c r="C221" s="73"/>
      <c r="D221" s="67"/>
      <c r="E221" s="73"/>
      <c r="F221" s="201"/>
      <c r="G221" s="73"/>
      <c r="H221" s="73"/>
      <c r="I221" s="73"/>
      <c r="J221" s="201"/>
      <c r="K221" s="73"/>
      <c r="L221" s="201"/>
      <c r="M221" s="30"/>
      <c r="N221" s="30"/>
      <c r="O221" s="30"/>
      <c r="P221" s="30"/>
      <c r="Q221" s="30"/>
      <c r="R221" s="30"/>
      <c r="S221" s="30"/>
      <c r="T221" s="30"/>
      <c r="U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30"/>
      <c r="BA221" s="30"/>
      <c r="BB221" s="30"/>
      <c r="BC221" s="30"/>
      <c r="BD221" s="30"/>
      <c r="BE221" s="30"/>
      <c r="BF221" s="30"/>
      <c r="BG221" s="30"/>
      <c r="BH221" s="30"/>
      <c r="BI221" s="30"/>
    </row>
    <row r="222" spans="1:61" thickBot="1" x14ac:dyDescent="0.4">
      <c r="A222" s="73"/>
      <c r="B222" s="73"/>
      <c r="C222" s="73"/>
      <c r="D222" s="67"/>
      <c r="E222" s="73"/>
      <c r="F222" s="201"/>
      <c r="G222" s="73"/>
      <c r="H222" s="73"/>
      <c r="I222" s="73"/>
      <c r="J222" s="201"/>
      <c r="K222" s="73"/>
      <c r="L222" s="201"/>
      <c r="M222" s="30"/>
      <c r="N222" s="30"/>
      <c r="O222" s="30"/>
      <c r="P222" s="30"/>
      <c r="Q222" s="30"/>
      <c r="R222" s="30"/>
      <c r="S222" s="30"/>
      <c r="T222" s="30"/>
      <c r="U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30"/>
      <c r="BA222" s="30"/>
      <c r="BB222" s="30"/>
      <c r="BC222" s="30"/>
      <c r="BD222" s="30"/>
      <c r="BE222" s="30"/>
      <c r="BF222" s="30"/>
      <c r="BG222" s="30"/>
      <c r="BH222" s="30"/>
      <c r="BI222" s="30"/>
    </row>
    <row r="223" spans="1:61" thickBot="1" x14ac:dyDescent="0.4">
      <c r="A223" s="73"/>
      <c r="B223" s="73"/>
      <c r="C223" s="73"/>
      <c r="D223" s="67"/>
      <c r="E223" s="73"/>
      <c r="F223" s="201"/>
      <c r="G223" s="73"/>
      <c r="H223" s="73"/>
      <c r="I223" s="73"/>
      <c r="J223" s="201"/>
      <c r="K223" s="73"/>
      <c r="L223" s="201"/>
      <c r="M223" s="30"/>
      <c r="N223" s="30"/>
      <c r="O223" s="30"/>
      <c r="P223" s="30"/>
      <c r="Q223" s="30"/>
      <c r="R223" s="30"/>
      <c r="S223" s="30"/>
      <c r="T223" s="30"/>
      <c r="U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30"/>
      <c r="BA223" s="30"/>
      <c r="BB223" s="30"/>
      <c r="BC223" s="30"/>
      <c r="BD223" s="30"/>
      <c r="BE223" s="30"/>
      <c r="BF223" s="30"/>
      <c r="BG223" s="30"/>
      <c r="BH223" s="30"/>
      <c r="BI223" s="30"/>
    </row>
    <row r="224" spans="1:61" thickBot="1" x14ac:dyDescent="0.4">
      <c r="A224" s="30"/>
      <c r="B224" s="30"/>
      <c r="C224" s="30"/>
      <c r="D224" s="67"/>
      <c r="E224" s="30"/>
      <c r="F224" s="74"/>
      <c r="G224" s="30"/>
      <c r="H224" s="30"/>
      <c r="I224" s="30"/>
      <c r="J224" s="74"/>
      <c r="K224" s="30"/>
      <c r="L224" s="74"/>
      <c r="M224" s="30"/>
      <c r="N224" s="30"/>
      <c r="O224" s="30"/>
      <c r="P224" s="30"/>
      <c r="Q224" s="30"/>
      <c r="R224" s="30"/>
      <c r="S224" s="30"/>
      <c r="T224" s="30"/>
      <c r="U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30"/>
      <c r="BA224" s="30"/>
      <c r="BB224" s="30"/>
      <c r="BC224" s="30"/>
      <c r="BD224" s="30"/>
      <c r="BE224" s="30"/>
      <c r="BF224" s="30"/>
      <c r="BG224" s="30"/>
      <c r="BH224" s="30"/>
      <c r="BI224" s="30"/>
    </row>
    <row r="225" spans="1:21" thickBot="1" x14ac:dyDescent="0.4">
      <c r="A225" s="30"/>
      <c r="B225" s="30"/>
      <c r="C225" s="30"/>
      <c r="D225" s="67"/>
      <c r="E225" s="30"/>
      <c r="F225" s="74"/>
      <c r="G225" s="30"/>
      <c r="H225" s="30"/>
      <c r="I225" s="30"/>
      <c r="J225" s="74"/>
      <c r="K225" s="30"/>
      <c r="L225" s="74"/>
      <c r="M225" s="30"/>
      <c r="N225" s="30"/>
      <c r="O225" s="30"/>
      <c r="P225" s="30"/>
      <c r="Q225" s="30"/>
      <c r="R225" s="30"/>
      <c r="S225" s="30"/>
      <c r="T225" s="30"/>
      <c r="U225" s="30"/>
    </row>
    <row r="226" spans="1:21" thickBot="1" x14ac:dyDescent="0.4">
      <c r="A226" s="30"/>
      <c r="B226" s="30"/>
      <c r="C226" s="30"/>
      <c r="D226" s="67"/>
      <c r="E226" s="30"/>
      <c r="F226" s="74"/>
      <c r="G226" s="30"/>
      <c r="H226" s="30"/>
      <c r="I226" s="30"/>
      <c r="J226" s="74"/>
      <c r="K226" s="30"/>
      <c r="L226" s="74"/>
      <c r="M226" s="30"/>
      <c r="N226" s="30"/>
      <c r="O226" s="30"/>
      <c r="P226" s="30"/>
      <c r="Q226" s="30"/>
      <c r="R226" s="30"/>
      <c r="S226" s="30"/>
      <c r="T226" s="30"/>
      <c r="U226" s="30"/>
    </row>
    <row r="227" spans="1:21" thickBot="1" x14ac:dyDescent="0.4">
      <c r="A227" s="30"/>
      <c r="B227" s="30"/>
      <c r="C227" s="30"/>
      <c r="D227" s="67"/>
      <c r="E227" s="30"/>
      <c r="F227" s="74"/>
      <c r="G227" s="30"/>
      <c r="H227" s="30"/>
      <c r="I227" s="30"/>
      <c r="J227" s="74"/>
      <c r="K227" s="30"/>
      <c r="L227" s="74"/>
      <c r="M227" s="30"/>
      <c r="N227" s="30"/>
      <c r="O227" s="30"/>
      <c r="P227" s="30"/>
      <c r="Q227" s="30"/>
      <c r="R227" s="30"/>
      <c r="S227" s="30"/>
      <c r="T227" s="30"/>
      <c r="U227" s="30"/>
    </row>
    <row r="228" spans="1:21" thickBot="1" x14ac:dyDescent="0.4">
      <c r="A228" s="30"/>
      <c r="B228" s="30"/>
      <c r="C228" s="30"/>
      <c r="D228" s="67"/>
      <c r="E228" s="30"/>
      <c r="F228" s="74"/>
      <c r="G228" s="30"/>
      <c r="H228" s="30"/>
      <c r="I228" s="30"/>
      <c r="J228" s="74"/>
      <c r="K228" s="30"/>
      <c r="L228" s="74"/>
      <c r="M228" s="30"/>
      <c r="N228" s="30"/>
      <c r="O228" s="30"/>
      <c r="P228" s="30"/>
      <c r="Q228" s="30"/>
      <c r="R228" s="30"/>
      <c r="S228" s="30"/>
      <c r="T228" s="30"/>
      <c r="U228" s="30"/>
    </row>
    <row r="229" spans="1:21" thickBot="1" x14ac:dyDescent="0.4">
      <c r="A229" s="30"/>
      <c r="B229" s="30"/>
      <c r="C229" s="30"/>
      <c r="D229" s="67"/>
      <c r="E229" s="30"/>
      <c r="F229" s="74"/>
      <c r="G229" s="30"/>
      <c r="H229" s="30"/>
      <c r="I229" s="30"/>
      <c r="J229" s="74"/>
      <c r="K229" s="30"/>
      <c r="L229" s="74"/>
      <c r="M229" s="30"/>
      <c r="N229" s="30"/>
      <c r="O229" s="30"/>
      <c r="P229" s="30"/>
      <c r="Q229" s="30"/>
      <c r="R229" s="30"/>
      <c r="S229" s="30"/>
      <c r="T229" s="30"/>
      <c r="U229" s="30"/>
    </row>
    <row r="230" spans="1:21" thickBot="1" x14ac:dyDescent="0.4">
      <c r="A230" s="30"/>
      <c r="B230" s="30"/>
      <c r="C230" s="30"/>
      <c r="D230" s="67"/>
      <c r="E230" s="30"/>
      <c r="F230" s="74"/>
      <c r="G230" s="30"/>
      <c r="H230" s="30"/>
      <c r="I230" s="30"/>
      <c r="J230" s="74"/>
      <c r="K230" s="30"/>
      <c r="L230" s="74"/>
      <c r="M230" s="30"/>
      <c r="N230" s="30"/>
      <c r="O230" s="30"/>
      <c r="P230" s="30"/>
      <c r="Q230" s="30"/>
      <c r="R230" s="30"/>
      <c r="S230" s="30"/>
      <c r="T230" s="30"/>
      <c r="U230" s="30"/>
    </row>
    <row r="231" spans="1:21" thickBot="1" x14ac:dyDescent="0.4">
      <c r="A231" s="30"/>
      <c r="B231" s="30"/>
      <c r="C231" s="30"/>
      <c r="D231" s="67"/>
      <c r="E231" s="30"/>
      <c r="F231" s="74"/>
      <c r="G231" s="30"/>
      <c r="H231" s="30"/>
      <c r="I231" s="30"/>
      <c r="J231" s="74"/>
      <c r="K231" s="30"/>
      <c r="L231" s="74"/>
      <c r="M231" s="30"/>
      <c r="N231" s="30"/>
      <c r="O231" s="30"/>
      <c r="P231" s="30"/>
      <c r="Q231" s="30"/>
      <c r="R231" s="30"/>
      <c r="S231" s="30"/>
      <c r="T231" s="30"/>
      <c r="U231" s="30"/>
    </row>
    <row r="232" spans="1:21" thickBot="1" x14ac:dyDescent="0.4">
      <c r="A232" s="30"/>
      <c r="B232" s="30"/>
      <c r="C232" s="30"/>
      <c r="D232" s="67"/>
      <c r="E232" s="30"/>
      <c r="F232" s="74"/>
      <c r="G232" s="30"/>
      <c r="H232" s="30"/>
      <c r="I232" s="30"/>
      <c r="J232" s="74"/>
      <c r="K232" s="30"/>
      <c r="L232" s="74"/>
      <c r="M232" s="30"/>
      <c r="N232" s="30"/>
      <c r="O232" s="30"/>
      <c r="P232" s="30"/>
      <c r="Q232" s="30"/>
      <c r="R232" s="30"/>
      <c r="S232" s="30"/>
      <c r="T232" s="30"/>
      <c r="U232" s="30"/>
    </row>
    <row r="233" spans="1:21" thickBot="1" x14ac:dyDescent="0.4">
      <c r="A233" s="30"/>
      <c r="B233" s="30"/>
      <c r="C233" s="30"/>
      <c r="D233" s="67"/>
      <c r="E233" s="30"/>
      <c r="F233" s="74"/>
      <c r="G233" s="30"/>
      <c r="H233" s="30"/>
      <c r="I233" s="30"/>
      <c r="J233" s="74"/>
      <c r="K233" s="30"/>
      <c r="L233" s="74"/>
      <c r="M233" s="30"/>
      <c r="N233" s="30"/>
      <c r="O233" s="30"/>
      <c r="P233" s="30"/>
      <c r="Q233" s="30"/>
      <c r="R233" s="30"/>
      <c r="S233" s="30"/>
      <c r="T233" s="30"/>
      <c r="U233" s="30"/>
    </row>
    <row r="234" spans="1:21" thickBot="1" x14ac:dyDescent="0.4">
      <c r="A234" s="30"/>
      <c r="B234" s="30"/>
      <c r="C234" s="30"/>
      <c r="D234" s="67"/>
      <c r="E234" s="30"/>
      <c r="F234" s="74"/>
      <c r="G234" s="30"/>
      <c r="H234" s="30"/>
      <c r="I234" s="30"/>
      <c r="J234" s="74"/>
      <c r="K234" s="30"/>
      <c r="L234" s="74"/>
      <c r="M234" s="30"/>
      <c r="N234" s="30"/>
      <c r="O234" s="30"/>
      <c r="P234" s="30"/>
      <c r="Q234" s="30"/>
      <c r="R234" s="30"/>
      <c r="S234" s="30"/>
      <c r="T234" s="30"/>
      <c r="U234" s="30"/>
    </row>
    <row r="235" spans="1:21" thickBot="1" x14ac:dyDescent="0.4">
      <c r="A235" s="30"/>
      <c r="B235" s="30"/>
      <c r="C235" s="30"/>
      <c r="D235" s="67"/>
      <c r="E235" s="30"/>
      <c r="F235" s="74"/>
      <c r="G235" s="30"/>
      <c r="H235" s="30"/>
      <c r="I235" s="30"/>
      <c r="J235" s="74"/>
      <c r="K235" s="30"/>
      <c r="L235" s="74"/>
      <c r="M235" s="30"/>
      <c r="N235" s="30"/>
      <c r="O235" s="30"/>
      <c r="P235" s="30"/>
      <c r="Q235" s="30"/>
      <c r="R235" s="30"/>
      <c r="S235" s="30"/>
      <c r="T235" s="30"/>
      <c r="U235" s="30"/>
    </row>
    <row r="236" spans="1:21" thickBot="1" x14ac:dyDescent="0.4">
      <c r="A236" s="30"/>
      <c r="B236" s="30"/>
      <c r="C236" s="30"/>
      <c r="D236" s="67"/>
      <c r="E236" s="30"/>
      <c r="F236" s="74"/>
      <c r="G236" s="30"/>
      <c r="H236" s="30"/>
      <c r="I236" s="30"/>
      <c r="J236" s="74"/>
      <c r="K236" s="30"/>
      <c r="L236" s="74"/>
      <c r="M236" s="30"/>
      <c r="N236" s="30"/>
      <c r="O236" s="30"/>
      <c r="P236" s="30"/>
      <c r="Q236" s="30"/>
      <c r="R236" s="30"/>
      <c r="S236" s="30"/>
      <c r="T236" s="30"/>
      <c r="U236" s="30"/>
    </row>
    <row r="237" spans="1:21" thickBot="1" x14ac:dyDescent="0.4">
      <c r="A237" s="30"/>
      <c r="B237" s="30"/>
      <c r="C237" s="30"/>
      <c r="D237" s="67"/>
      <c r="E237" s="30"/>
      <c r="F237" s="74"/>
      <c r="G237" s="30"/>
      <c r="H237" s="30"/>
      <c r="I237" s="30"/>
      <c r="J237" s="74"/>
      <c r="K237" s="30"/>
      <c r="L237" s="74"/>
      <c r="M237" s="30"/>
      <c r="N237" s="30"/>
      <c r="O237" s="30"/>
      <c r="P237" s="30"/>
      <c r="Q237" s="30"/>
      <c r="R237" s="30"/>
      <c r="S237" s="30"/>
      <c r="T237" s="30"/>
      <c r="U237" s="30"/>
    </row>
    <row r="238" spans="1:21" thickBot="1" x14ac:dyDescent="0.4">
      <c r="A238" s="30"/>
      <c r="B238" s="30"/>
      <c r="C238" s="30"/>
      <c r="D238" s="67"/>
      <c r="E238" s="30"/>
      <c r="F238" s="74"/>
      <c r="G238" s="30"/>
      <c r="H238" s="30"/>
      <c r="I238" s="30"/>
      <c r="J238" s="74"/>
      <c r="K238" s="30"/>
      <c r="L238" s="74"/>
      <c r="M238" s="30"/>
      <c r="N238" s="30"/>
      <c r="O238" s="30"/>
      <c r="P238" s="30"/>
      <c r="Q238" s="30"/>
      <c r="R238" s="30"/>
      <c r="S238" s="30"/>
      <c r="T238" s="30"/>
      <c r="U238" s="30"/>
    </row>
    <row r="239" spans="1:21" thickBot="1" x14ac:dyDescent="0.4">
      <c r="A239" s="30"/>
      <c r="B239" s="30"/>
      <c r="C239" s="30"/>
      <c r="D239" s="67"/>
      <c r="E239" s="30"/>
      <c r="F239" s="74"/>
      <c r="G239" s="30"/>
      <c r="H239" s="30"/>
      <c r="I239" s="30"/>
      <c r="J239" s="74"/>
      <c r="K239" s="30"/>
      <c r="L239" s="74"/>
      <c r="M239" s="30"/>
      <c r="N239" s="30"/>
      <c r="O239" s="30"/>
      <c r="P239" s="30"/>
      <c r="Q239" s="30"/>
      <c r="R239" s="30"/>
      <c r="S239" s="30"/>
      <c r="T239" s="30"/>
      <c r="U239" s="30"/>
    </row>
    <row r="240" spans="1:21" thickBot="1" x14ac:dyDescent="0.4">
      <c r="A240" s="30"/>
      <c r="B240" s="30"/>
      <c r="C240" s="30"/>
      <c r="D240" s="67"/>
      <c r="E240" s="30"/>
      <c r="F240" s="74"/>
      <c r="G240" s="30"/>
      <c r="H240" s="30"/>
      <c r="I240" s="30"/>
      <c r="J240" s="74"/>
      <c r="K240" s="30"/>
      <c r="L240" s="74"/>
      <c r="M240" s="30"/>
      <c r="N240" s="30"/>
      <c r="O240" s="30"/>
      <c r="P240" s="30"/>
      <c r="Q240" s="30"/>
      <c r="R240" s="30"/>
      <c r="S240" s="30"/>
      <c r="T240" s="30"/>
      <c r="U240" s="30"/>
    </row>
    <row r="241" spans="1:21" thickBot="1" x14ac:dyDescent="0.4">
      <c r="A241" s="30"/>
      <c r="B241" s="30"/>
      <c r="C241" s="30"/>
      <c r="D241" s="67"/>
      <c r="E241" s="30"/>
      <c r="F241" s="74"/>
      <c r="G241" s="30"/>
      <c r="H241" s="30"/>
      <c r="I241" s="30"/>
      <c r="J241" s="74"/>
      <c r="K241" s="30"/>
      <c r="L241" s="74"/>
      <c r="M241" s="30"/>
      <c r="N241" s="30"/>
      <c r="O241" s="30"/>
      <c r="P241" s="30"/>
      <c r="Q241" s="30"/>
      <c r="R241" s="30"/>
      <c r="S241" s="30"/>
      <c r="T241" s="30"/>
      <c r="U241" s="30"/>
    </row>
    <row r="242" spans="1:21" thickBot="1" x14ac:dyDescent="0.4">
      <c r="A242" s="30"/>
      <c r="B242" s="30"/>
      <c r="C242" s="30"/>
      <c r="D242" s="67"/>
      <c r="E242" s="30"/>
      <c r="F242" s="74"/>
      <c r="G242" s="30"/>
      <c r="H242" s="30"/>
      <c r="I242" s="30"/>
      <c r="J242" s="74"/>
      <c r="K242" s="30"/>
      <c r="L242" s="74"/>
      <c r="M242" s="30"/>
      <c r="N242" s="30"/>
      <c r="O242" s="30"/>
      <c r="P242" s="30"/>
      <c r="Q242" s="30"/>
      <c r="R242" s="30"/>
      <c r="S242" s="30"/>
      <c r="T242" s="30"/>
      <c r="U242" s="30"/>
    </row>
    <row r="243" spans="1:21" thickBot="1" x14ac:dyDescent="0.4">
      <c r="A243" s="30"/>
      <c r="B243" s="30"/>
      <c r="C243" s="30"/>
      <c r="D243" s="67"/>
      <c r="E243" s="30"/>
      <c r="F243" s="74"/>
      <c r="G243" s="30"/>
      <c r="H243" s="30"/>
      <c r="I243" s="30"/>
      <c r="J243" s="74"/>
      <c r="K243" s="30"/>
      <c r="L243" s="74"/>
      <c r="M243" s="30"/>
      <c r="N243" s="30"/>
      <c r="O243" s="30"/>
      <c r="P243" s="30"/>
      <c r="Q243" s="30"/>
      <c r="R243" s="30"/>
      <c r="S243" s="30"/>
      <c r="T243" s="30"/>
      <c r="U243" s="30"/>
    </row>
    <row r="244" spans="1:21" thickBot="1" x14ac:dyDescent="0.4">
      <c r="A244" s="30"/>
      <c r="B244" s="30"/>
      <c r="C244" s="30"/>
      <c r="D244" s="67"/>
      <c r="E244" s="30"/>
      <c r="F244" s="74"/>
      <c r="G244" s="30"/>
      <c r="H244" s="30"/>
      <c r="I244" s="30"/>
      <c r="J244" s="74"/>
      <c r="K244" s="30"/>
      <c r="L244" s="74"/>
      <c r="M244" s="30"/>
      <c r="N244" s="30"/>
      <c r="O244" s="30"/>
      <c r="P244" s="30"/>
      <c r="Q244" s="30"/>
      <c r="R244" s="30"/>
      <c r="S244" s="30"/>
      <c r="T244" s="30"/>
      <c r="U244" s="30"/>
    </row>
    <row r="245" spans="1:21" thickBot="1" x14ac:dyDescent="0.4">
      <c r="A245" s="30"/>
      <c r="B245" s="30"/>
      <c r="C245" s="30"/>
      <c r="D245" s="67"/>
      <c r="E245" s="30"/>
      <c r="F245" s="74"/>
      <c r="G245" s="30"/>
      <c r="H245" s="30"/>
      <c r="I245" s="30"/>
      <c r="J245" s="74"/>
      <c r="K245" s="30"/>
      <c r="L245" s="74"/>
      <c r="M245" s="30"/>
      <c r="N245" s="30"/>
      <c r="O245" s="30"/>
      <c r="P245" s="30"/>
      <c r="Q245" s="30"/>
      <c r="R245" s="30"/>
      <c r="S245" s="30"/>
      <c r="T245" s="30"/>
      <c r="U245" s="30"/>
    </row>
    <row r="246" spans="1:21" thickBot="1" x14ac:dyDescent="0.4">
      <c r="A246" s="30"/>
      <c r="B246" s="30"/>
      <c r="C246" s="30"/>
      <c r="D246" s="67"/>
      <c r="E246" s="30"/>
      <c r="F246" s="74"/>
      <c r="G246" s="30"/>
      <c r="H246" s="30"/>
      <c r="I246" s="30"/>
      <c r="J246" s="74"/>
      <c r="K246" s="30"/>
      <c r="L246" s="74"/>
      <c r="M246" s="30"/>
      <c r="N246" s="30"/>
      <c r="O246" s="30"/>
      <c r="P246" s="30"/>
      <c r="Q246" s="30"/>
      <c r="R246" s="30"/>
      <c r="S246" s="30"/>
      <c r="T246" s="30"/>
      <c r="U246" s="30"/>
    </row>
    <row r="247" spans="1:21" thickBot="1" x14ac:dyDescent="0.4">
      <c r="A247" s="30"/>
      <c r="B247" s="30"/>
      <c r="C247" s="30"/>
      <c r="D247" s="67"/>
      <c r="E247" s="30"/>
      <c r="F247" s="74"/>
      <c r="G247" s="30"/>
      <c r="H247" s="30"/>
      <c r="I247" s="30"/>
      <c r="J247" s="74"/>
      <c r="K247" s="30"/>
      <c r="L247" s="74"/>
      <c r="M247" s="30"/>
      <c r="N247" s="30"/>
      <c r="O247" s="30"/>
      <c r="P247" s="30"/>
      <c r="Q247" s="30"/>
      <c r="R247" s="30"/>
      <c r="S247" s="30"/>
      <c r="T247" s="30"/>
      <c r="U247" s="30"/>
    </row>
    <row r="248" spans="1:21" thickBot="1" x14ac:dyDescent="0.4">
      <c r="A248" s="30"/>
      <c r="B248" s="30"/>
      <c r="C248" s="30"/>
      <c r="D248" s="67"/>
      <c r="E248" s="30"/>
      <c r="F248" s="74"/>
      <c r="G248" s="30"/>
      <c r="H248" s="30"/>
      <c r="I248" s="30"/>
      <c r="J248" s="74"/>
      <c r="K248" s="30"/>
      <c r="L248" s="74"/>
      <c r="M248" s="30"/>
      <c r="N248" s="30"/>
      <c r="O248" s="30"/>
      <c r="P248" s="30"/>
      <c r="Q248" s="30"/>
      <c r="R248" s="30"/>
      <c r="S248" s="30"/>
      <c r="T248" s="30"/>
      <c r="U248" s="30"/>
    </row>
    <row r="249" spans="1:21" thickBot="1" x14ac:dyDescent="0.4">
      <c r="A249" s="30"/>
      <c r="B249" s="30"/>
      <c r="C249" s="30"/>
      <c r="D249" s="67"/>
      <c r="E249" s="30"/>
      <c r="F249" s="74"/>
      <c r="G249" s="30"/>
      <c r="H249" s="30"/>
      <c r="I249" s="30"/>
      <c r="J249" s="74"/>
      <c r="K249" s="30"/>
      <c r="L249" s="74"/>
      <c r="M249" s="30"/>
      <c r="N249" s="30"/>
      <c r="O249" s="30"/>
      <c r="P249" s="30"/>
      <c r="Q249" s="30"/>
      <c r="R249" s="30"/>
      <c r="S249" s="30"/>
      <c r="T249" s="30"/>
      <c r="U249" s="30"/>
    </row>
    <row r="250" spans="1:21" thickBot="1" x14ac:dyDescent="0.4">
      <c r="A250" s="30"/>
      <c r="B250" s="30"/>
      <c r="C250" s="30"/>
      <c r="D250" s="67"/>
      <c r="E250" s="30"/>
      <c r="F250" s="74"/>
      <c r="G250" s="30"/>
      <c r="H250" s="30"/>
      <c r="I250" s="30"/>
      <c r="J250" s="74"/>
      <c r="K250" s="30"/>
      <c r="L250" s="74"/>
      <c r="M250" s="30"/>
      <c r="N250" s="30"/>
      <c r="O250" s="30"/>
      <c r="P250" s="30"/>
      <c r="Q250" s="30"/>
      <c r="R250" s="30"/>
      <c r="S250" s="30"/>
      <c r="T250" s="30"/>
      <c r="U250" s="30"/>
    </row>
    <row r="251" spans="1:21" thickBot="1" x14ac:dyDescent="0.4">
      <c r="A251" s="30"/>
      <c r="B251" s="30"/>
      <c r="C251" s="30"/>
      <c r="D251" s="67"/>
      <c r="E251" s="30"/>
      <c r="F251" s="74"/>
      <c r="G251" s="30"/>
      <c r="H251" s="30"/>
      <c r="I251" s="30"/>
      <c r="J251" s="74"/>
      <c r="K251" s="30"/>
      <c r="L251" s="74"/>
      <c r="M251" s="30"/>
      <c r="N251" s="30"/>
      <c r="O251" s="30"/>
      <c r="P251" s="30"/>
      <c r="Q251" s="30"/>
      <c r="R251" s="30"/>
      <c r="S251" s="30"/>
      <c r="T251" s="30"/>
      <c r="U251" s="30"/>
    </row>
    <row r="252" spans="1:21" thickBot="1" x14ac:dyDescent="0.4">
      <c r="A252" s="30"/>
      <c r="B252" s="30"/>
      <c r="C252" s="30"/>
      <c r="D252" s="67"/>
      <c r="E252" s="30"/>
      <c r="F252" s="74"/>
      <c r="G252" s="30"/>
      <c r="H252" s="30"/>
      <c r="I252" s="30"/>
      <c r="J252" s="74"/>
      <c r="K252" s="30"/>
      <c r="L252" s="74"/>
      <c r="M252" s="30"/>
      <c r="N252" s="30"/>
      <c r="O252" s="30"/>
      <c r="P252" s="30"/>
      <c r="Q252" s="30"/>
      <c r="R252" s="30"/>
      <c r="S252" s="30"/>
      <c r="T252" s="30"/>
      <c r="U252" s="30"/>
    </row>
    <row r="253" spans="1:21" thickBot="1" x14ac:dyDescent="0.4">
      <c r="A253" s="30"/>
      <c r="B253" s="30"/>
      <c r="C253" s="30"/>
      <c r="D253" s="67"/>
      <c r="E253" s="30"/>
      <c r="F253" s="74"/>
      <c r="G253" s="30"/>
      <c r="H253" s="30"/>
      <c r="I253" s="30"/>
      <c r="J253" s="74"/>
      <c r="K253" s="30"/>
      <c r="L253" s="74"/>
      <c r="M253" s="30"/>
      <c r="N253" s="30"/>
      <c r="O253" s="30"/>
      <c r="P253" s="30"/>
      <c r="Q253" s="30"/>
      <c r="R253" s="30"/>
      <c r="S253" s="30"/>
      <c r="T253" s="30"/>
      <c r="U253" s="30"/>
    </row>
    <row r="254" spans="1:21" thickBot="1" x14ac:dyDescent="0.4">
      <c r="A254" s="30"/>
      <c r="B254" s="30"/>
      <c r="C254" s="30"/>
      <c r="D254" s="67"/>
      <c r="E254" s="30"/>
      <c r="F254" s="74"/>
      <c r="G254" s="30"/>
      <c r="H254" s="30"/>
      <c r="I254" s="30"/>
      <c r="J254" s="74"/>
      <c r="K254" s="30"/>
      <c r="L254" s="74"/>
      <c r="M254" s="30"/>
      <c r="N254" s="30"/>
      <c r="O254" s="30"/>
      <c r="P254" s="30"/>
      <c r="Q254" s="30"/>
      <c r="R254" s="30"/>
      <c r="S254" s="30"/>
      <c r="T254" s="30"/>
      <c r="U254" s="30"/>
    </row>
    <row r="255" spans="1:21" thickBot="1" x14ac:dyDescent="0.4">
      <c r="A255" s="30"/>
      <c r="B255" s="30"/>
      <c r="C255" s="30"/>
      <c r="D255" s="67"/>
      <c r="E255" s="30"/>
      <c r="F255" s="74"/>
      <c r="G255" s="30"/>
      <c r="H255" s="30"/>
      <c r="I255" s="30"/>
      <c r="J255" s="74"/>
      <c r="K255" s="30"/>
      <c r="L255" s="74"/>
      <c r="M255" s="30"/>
      <c r="N255" s="30"/>
      <c r="O255" s="30"/>
      <c r="P255" s="30"/>
      <c r="Q255" s="30"/>
      <c r="R255" s="30"/>
      <c r="S255" s="30"/>
      <c r="T255" s="30"/>
      <c r="U255" s="30"/>
    </row>
    <row r="256" spans="1:21" thickBot="1" x14ac:dyDescent="0.4">
      <c r="A256" s="30"/>
      <c r="B256" s="30"/>
      <c r="C256" s="30"/>
      <c r="D256" s="67"/>
      <c r="E256" s="30"/>
      <c r="F256" s="74"/>
      <c r="G256" s="30"/>
      <c r="H256" s="30"/>
      <c r="I256" s="30"/>
      <c r="J256" s="74"/>
      <c r="K256" s="30"/>
      <c r="L256" s="74"/>
      <c r="M256" s="30"/>
      <c r="N256" s="30"/>
      <c r="O256" s="30"/>
      <c r="P256" s="30"/>
      <c r="Q256" s="30"/>
      <c r="R256" s="30"/>
      <c r="S256" s="30"/>
      <c r="T256" s="30"/>
      <c r="U256" s="30"/>
    </row>
    <row r="257" spans="1:21" thickBot="1" x14ac:dyDescent="0.4">
      <c r="A257" s="30"/>
      <c r="B257" s="30"/>
      <c r="C257" s="30"/>
      <c r="D257" s="67"/>
      <c r="E257" s="30"/>
      <c r="F257" s="74"/>
      <c r="G257" s="30"/>
      <c r="H257" s="30"/>
      <c r="I257" s="30"/>
      <c r="J257" s="74"/>
      <c r="K257" s="30"/>
      <c r="L257" s="74"/>
      <c r="M257" s="30"/>
      <c r="N257" s="30"/>
      <c r="O257" s="30"/>
      <c r="P257" s="30"/>
      <c r="Q257" s="30"/>
      <c r="R257" s="30"/>
      <c r="S257" s="30"/>
      <c r="T257" s="30"/>
      <c r="U257" s="30"/>
    </row>
    <row r="258" spans="1:21" thickBot="1" x14ac:dyDescent="0.4">
      <c r="A258" s="30"/>
      <c r="B258" s="30"/>
      <c r="C258" s="30"/>
      <c r="D258" s="67"/>
      <c r="E258" s="30"/>
      <c r="F258" s="74"/>
      <c r="G258" s="30"/>
      <c r="H258" s="30"/>
      <c r="I258" s="30"/>
      <c r="J258" s="74"/>
      <c r="K258" s="30"/>
      <c r="L258" s="74"/>
      <c r="M258" s="30"/>
      <c r="N258" s="30"/>
      <c r="O258" s="30"/>
      <c r="P258" s="30"/>
      <c r="Q258" s="30"/>
      <c r="R258" s="30"/>
      <c r="S258" s="30"/>
      <c r="T258" s="30"/>
      <c r="U258" s="30"/>
    </row>
    <row r="259" spans="1:21" thickBot="1" x14ac:dyDescent="0.4">
      <c r="A259" s="30"/>
      <c r="B259" s="30"/>
      <c r="C259" s="30"/>
      <c r="D259" s="67"/>
      <c r="E259" s="30"/>
      <c r="F259" s="74"/>
      <c r="G259" s="30"/>
      <c r="H259" s="30"/>
      <c r="I259" s="30"/>
      <c r="J259" s="74"/>
      <c r="K259" s="30"/>
      <c r="L259" s="74"/>
      <c r="M259" s="30"/>
      <c r="N259" s="30"/>
      <c r="O259" s="30"/>
      <c r="P259" s="30"/>
      <c r="Q259" s="30"/>
      <c r="R259" s="30"/>
      <c r="S259" s="30"/>
      <c r="T259" s="30"/>
      <c r="U259" s="30"/>
    </row>
    <row r="260" spans="1:21" thickBot="1" x14ac:dyDescent="0.4">
      <c r="A260" s="30"/>
      <c r="B260" s="30"/>
      <c r="C260" s="30"/>
      <c r="D260" s="67"/>
      <c r="E260" s="30"/>
      <c r="F260" s="74"/>
      <c r="G260" s="30"/>
      <c r="H260" s="30"/>
      <c r="I260" s="30"/>
      <c r="J260" s="74"/>
      <c r="K260" s="30"/>
      <c r="L260" s="74"/>
      <c r="M260" s="30"/>
      <c r="N260" s="30"/>
      <c r="O260" s="30"/>
      <c r="P260" s="30"/>
      <c r="Q260" s="30"/>
      <c r="R260" s="30"/>
      <c r="S260" s="30"/>
      <c r="T260" s="30"/>
      <c r="U260" s="30"/>
    </row>
    <row r="261" spans="1:21" thickBot="1" x14ac:dyDescent="0.4">
      <c r="A261" s="30"/>
      <c r="B261" s="30"/>
      <c r="C261" s="30"/>
      <c r="D261" s="67"/>
      <c r="E261" s="30"/>
      <c r="F261" s="74"/>
      <c r="G261" s="30"/>
      <c r="H261" s="30"/>
      <c r="I261" s="30"/>
      <c r="J261" s="74"/>
      <c r="K261" s="30"/>
      <c r="L261" s="74"/>
      <c r="M261" s="30"/>
      <c r="N261" s="30"/>
      <c r="O261" s="30"/>
      <c r="P261" s="30"/>
      <c r="Q261" s="30"/>
      <c r="R261" s="30"/>
      <c r="S261" s="30"/>
      <c r="T261" s="30"/>
      <c r="U261" s="30"/>
    </row>
    <row r="262" spans="1:21" thickBot="1" x14ac:dyDescent="0.4">
      <c r="A262" s="30"/>
      <c r="B262" s="30"/>
      <c r="C262" s="30"/>
      <c r="D262" s="67"/>
      <c r="E262" s="30"/>
      <c r="F262" s="74"/>
      <c r="G262" s="30"/>
      <c r="H262" s="30"/>
      <c r="I262" s="30"/>
      <c r="J262" s="74"/>
      <c r="K262" s="30"/>
      <c r="L262" s="74"/>
      <c r="M262" s="30"/>
      <c r="N262" s="30"/>
      <c r="O262" s="30"/>
      <c r="P262" s="30"/>
      <c r="Q262" s="30"/>
      <c r="R262" s="30"/>
      <c r="S262" s="30"/>
      <c r="T262" s="30"/>
      <c r="U262" s="30"/>
    </row>
    <row r="263" spans="1:21" thickBot="1" x14ac:dyDescent="0.4">
      <c r="A263" s="30"/>
      <c r="B263" s="30"/>
      <c r="C263" s="30"/>
      <c r="D263" s="67"/>
      <c r="E263" s="30"/>
      <c r="F263" s="74"/>
      <c r="G263" s="30"/>
      <c r="H263" s="30"/>
      <c r="I263" s="30"/>
      <c r="J263" s="74"/>
      <c r="K263" s="30"/>
      <c r="L263" s="74"/>
      <c r="M263" s="30"/>
      <c r="N263" s="30"/>
      <c r="O263" s="30"/>
      <c r="P263" s="30"/>
      <c r="Q263" s="30"/>
      <c r="R263" s="30"/>
      <c r="S263" s="30"/>
      <c r="T263" s="30"/>
      <c r="U263" s="30"/>
    </row>
    <row r="264" spans="1:21" thickBot="1" x14ac:dyDescent="0.4">
      <c r="A264" s="30"/>
      <c r="B264" s="30"/>
      <c r="C264" s="30"/>
      <c r="D264" s="67"/>
      <c r="E264" s="30"/>
      <c r="F264" s="74"/>
      <c r="G264" s="30"/>
      <c r="H264" s="30"/>
      <c r="I264" s="30"/>
      <c r="J264" s="74"/>
      <c r="K264" s="30"/>
      <c r="L264" s="74"/>
      <c r="M264" s="30"/>
      <c r="N264" s="30"/>
      <c r="O264" s="30"/>
      <c r="P264" s="30"/>
      <c r="Q264" s="30"/>
      <c r="R264" s="30"/>
      <c r="S264" s="30"/>
      <c r="T264" s="30"/>
      <c r="U264" s="30"/>
    </row>
    <row r="265" spans="1:21" thickBot="1" x14ac:dyDescent="0.4">
      <c r="A265" s="30"/>
      <c r="B265" s="30"/>
      <c r="C265" s="30"/>
      <c r="D265" s="67"/>
      <c r="E265" s="30"/>
      <c r="F265" s="74"/>
      <c r="G265" s="30"/>
      <c r="H265" s="30"/>
      <c r="I265" s="30"/>
      <c r="J265" s="74"/>
      <c r="K265" s="30"/>
      <c r="L265" s="74"/>
      <c r="M265" s="30"/>
      <c r="N265" s="30"/>
      <c r="O265" s="30"/>
      <c r="P265" s="30"/>
      <c r="Q265" s="30"/>
      <c r="R265" s="30"/>
      <c r="S265" s="30"/>
      <c r="T265" s="30"/>
      <c r="U265" s="30"/>
    </row>
    <row r="266" spans="1:21" thickBot="1" x14ac:dyDescent="0.4">
      <c r="A266" s="30"/>
      <c r="B266" s="30"/>
      <c r="C266" s="30"/>
      <c r="D266" s="67"/>
      <c r="E266" s="30"/>
      <c r="F266" s="74"/>
      <c r="G266" s="30"/>
      <c r="H266" s="30"/>
      <c r="I266" s="30"/>
      <c r="J266" s="74"/>
      <c r="K266" s="30"/>
      <c r="L266" s="74"/>
      <c r="M266" s="30"/>
      <c r="N266" s="30"/>
      <c r="O266" s="30"/>
      <c r="P266" s="30"/>
      <c r="Q266" s="30"/>
      <c r="R266" s="30"/>
      <c r="S266" s="30"/>
      <c r="T266" s="30"/>
      <c r="U266" s="30"/>
    </row>
    <row r="267" spans="1:21" thickBot="1" x14ac:dyDescent="0.4">
      <c r="A267" s="30"/>
      <c r="B267" s="30"/>
      <c r="C267" s="30"/>
      <c r="D267" s="67"/>
      <c r="E267" s="30"/>
      <c r="F267" s="74"/>
      <c r="G267" s="30"/>
      <c r="H267" s="30"/>
      <c r="I267" s="30"/>
      <c r="J267" s="74"/>
      <c r="K267" s="30"/>
      <c r="L267" s="74"/>
      <c r="M267" s="30"/>
      <c r="N267" s="30"/>
      <c r="O267" s="30"/>
      <c r="P267" s="30"/>
      <c r="Q267" s="30"/>
      <c r="R267" s="30"/>
      <c r="S267" s="30"/>
      <c r="T267" s="30"/>
      <c r="U267" s="30"/>
    </row>
    <row r="268" spans="1:21" thickBot="1" x14ac:dyDescent="0.4">
      <c r="A268" s="30"/>
      <c r="B268" s="30"/>
      <c r="C268" s="30"/>
      <c r="D268" s="67"/>
      <c r="E268" s="30"/>
      <c r="F268" s="74"/>
      <c r="G268" s="30"/>
      <c r="H268" s="30"/>
      <c r="I268" s="30"/>
      <c r="J268" s="74"/>
      <c r="K268" s="30"/>
      <c r="L268" s="74"/>
      <c r="M268" s="30"/>
      <c r="N268" s="30"/>
      <c r="O268" s="30"/>
      <c r="P268" s="30"/>
      <c r="Q268" s="30"/>
      <c r="R268" s="30"/>
      <c r="S268" s="30"/>
      <c r="T268" s="30"/>
      <c r="U268" s="30"/>
    </row>
    <row r="269" spans="1:21" thickBot="1" x14ac:dyDescent="0.4">
      <c r="A269" s="30"/>
      <c r="B269" s="30"/>
      <c r="C269" s="30"/>
      <c r="D269" s="67"/>
      <c r="E269" s="30"/>
      <c r="F269" s="74"/>
      <c r="G269" s="30"/>
      <c r="H269" s="30"/>
      <c r="I269" s="30"/>
      <c r="J269" s="74"/>
      <c r="K269" s="30"/>
      <c r="L269" s="74"/>
      <c r="M269" s="30"/>
      <c r="N269" s="30"/>
      <c r="O269" s="30"/>
      <c r="P269" s="30"/>
      <c r="Q269" s="30"/>
      <c r="R269" s="30"/>
      <c r="S269" s="30"/>
      <c r="T269" s="30"/>
      <c r="U269" s="30"/>
    </row>
    <row r="270" spans="1:21" thickBot="1" x14ac:dyDescent="0.4">
      <c r="A270" s="30"/>
      <c r="B270" s="30"/>
      <c r="C270" s="30"/>
      <c r="D270" s="67"/>
      <c r="E270" s="30"/>
      <c r="F270" s="74"/>
      <c r="G270" s="30"/>
      <c r="H270" s="30"/>
      <c r="I270" s="30"/>
      <c r="J270" s="74"/>
      <c r="K270" s="30"/>
      <c r="L270" s="74"/>
      <c r="M270" s="30"/>
      <c r="N270" s="30"/>
      <c r="O270" s="30"/>
      <c r="P270" s="30"/>
      <c r="Q270" s="30"/>
      <c r="R270" s="30"/>
      <c r="S270" s="30"/>
      <c r="T270" s="30"/>
      <c r="U270" s="30"/>
    </row>
    <row r="271" spans="1:21" thickBot="1" x14ac:dyDescent="0.4">
      <c r="A271" s="30"/>
      <c r="B271" s="30"/>
      <c r="C271" s="30"/>
      <c r="D271" s="67"/>
      <c r="E271" s="30"/>
      <c r="F271" s="74"/>
      <c r="G271" s="30"/>
      <c r="H271" s="30"/>
      <c r="I271" s="30"/>
      <c r="J271" s="74"/>
      <c r="K271" s="30"/>
      <c r="L271" s="74"/>
      <c r="M271" s="30"/>
      <c r="N271" s="30"/>
      <c r="O271" s="30"/>
      <c r="P271" s="30"/>
      <c r="Q271" s="30"/>
      <c r="R271" s="30"/>
      <c r="S271" s="30"/>
      <c r="T271" s="30"/>
      <c r="U271" s="30"/>
    </row>
    <row r="272" spans="1:21" thickBot="1" x14ac:dyDescent="0.4">
      <c r="A272" s="30"/>
      <c r="B272" s="30"/>
      <c r="C272" s="30"/>
      <c r="D272" s="67"/>
      <c r="E272" s="30"/>
      <c r="F272" s="74"/>
      <c r="G272" s="30"/>
      <c r="H272" s="30"/>
      <c r="I272" s="30"/>
      <c r="J272" s="74"/>
      <c r="K272" s="30"/>
      <c r="L272" s="74"/>
      <c r="M272" s="30"/>
      <c r="N272" s="30"/>
      <c r="O272" s="30"/>
      <c r="P272" s="30"/>
      <c r="Q272" s="30"/>
      <c r="R272" s="30"/>
      <c r="S272" s="30"/>
      <c r="T272" s="30"/>
      <c r="U272" s="30"/>
    </row>
    <row r="273" spans="1:21" thickBot="1" x14ac:dyDescent="0.4">
      <c r="A273" s="30"/>
      <c r="B273" s="30"/>
      <c r="C273" s="30"/>
      <c r="D273" s="67"/>
      <c r="E273" s="30"/>
      <c r="F273" s="74"/>
      <c r="G273" s="30"/>
      <c r="H273" s="30"/>
      <c r="I273" s="30"/>
      <c r="J273" s="74"/>
      <c r="K273" s="30"/>
      <c r="L273" s="74"/>
      <c r="M273" s="30"/>
      <c r="N273" s="30"/>
      <c r="O273" s="30"/>
      <c r="P273" s="30"/>
      <c r="Q273" s="30"/>
      <c r="R273" s="30"/>
      <c r="S273" s="30"/>
      <c r="T273" s="30"/>
      <c r="U273" s="30"/>
    </row>
    <row r="274" spans="1:21" thickBot="1" x14ac:dyDescent="0.4">
      <c r="A274" s="30"/>
      <c r="B274" s="30"/>
      <c r="C274" s="30"/>
      <c r="D274" s="67"/>
      <c r="E274" s="30"/>
      <c r="F274" s="74"/>
      <c r="G274" s="30"/>
      <c r="H274" s="30"/>
      <c r="I274" s="30"/>
      <c r="J274" s="74"/>
      <c r="K274" s="30"/>
      <c r="L274" s="74"/>
      <c r="M274" s="30"/>
      <c r="N274" s="30"/>
      <c r="O274" s="30"/>
      <c r="P274" s="30"/>
      <c r="Q274" s="30"/>
      <c r="R274" s="30"/>
      <c r="S274" s="30"/>
      <c r="T274" s="30"/>
      <c r="U274" s="30"/>
    </row>
    <row r="275" spans="1:21" thickBot="1" x14ac:dyDescent="0.4">
      <c r="A275" s="30"/>
      <c r="B275" s="30"/>
      <c r="C275" s="30"/>
      <c r="D275" s="67"/>
      <c r="E275" s="30"/>
      <c r="F275" s="74"/>
      <c r="G275" s="30"/>
      <c r="H275" s="30"/>
      <c r="I275" s="30"/>
      <c r="J275" s="74"/>
      <c r="K275" s="30"/>
      <c r="L275" s="74"/>
      <c r="M275" s="30"/>
      <c r="N275" s="30"/>
      <c r="O275" s="30"/>
      <c r="P275" s="30"/>
      <c r="Q275" s="30"/>
      <c r="R275" s="30"/>
      <c r="S275" s="30"/>
      <c r="T275" s="30"/>
      <c r="U275" s="30"/>
    </row>
    <row r="276" spans="1:21" thickBot="1" x14ac:dyDescent="0.4">
      <c r="A276" s="30"/>
      <c r="B276" s="30"/>
      <c r="C276" s="30"/>
      <c r="D276" s="67"/>
      <c r="E276" s="30"/>
      <c r="F276" s="74"/>
      <c r="G276" s="30"/>
      <c r="H276" s="30"/>
      <c r="I276" s="30"/>
      <c r="J276" s="74"/>
      <c r="K276" s="30"/>
      <c r="L276" s="74"/>
      <c r="M276" s="30"/>
      <c r="N276" s="30"/>
      <c r="O276" s="30"/>
      <c r="P276" s="30"/>
      <c r="Q276" s="30"/>
      <c r="R276" s="30"/>
      <c r="S276" s="30"/>
      <c r="T276" s="30"/>
      <c r="U276" s="30"/>
    </row>
    <row r="277" spans="1:21" thickBot="1" x14ac:dyDescent="0.4">
      <c r="A277" s="30"/>
      <c r="B277" s="30"/>
      <c r="C277" s="30"/>
      <c r="D277" s="67"/>
      <c r="E277" s="30"/>
      <c r="F277" s="74"/>
      <c r="G277" s="30"/>
      <c r="H277" s="30"/>
      <c r="I277" s="30"/>
      <c r="J277" s="74"/>
      <c r="K277" s="30"/>
      <c r="L277" s="74"/>
      <c r="M277" s="30"/>
      <c r="N277" s="30"/>
      <c r="O277" s="30"/>
      <c r="P277" s="30"/>
      <c r="Q277" s="30"/>
      <c r="R277" s="30"/>
      <c r="S277" s="30"/>
      <c r="T277" s="30"/>
      <c r="U277" s="30"/>
    </row>
    <row r="278" spans="1:21" thickBot="1" x14ac:dyDescent="0.4">
      <c r="A278" s="30"/>
      <c r="B278" s="30"/>
      <c r="C278" s="30"/>
      <c r="D278" s="67"/>
      <c r="E278" s="30"/>
      <c r="F278" s="74"/>
      <c r="G278" s="30"/>
      <c r="H278" s="30"/>
      <c r="I278" s="30"/>
      <c r="J278" s="74"/>
      <c r="K278" s="30"/>
      <c r="L278" s="74"/>
      <c r="M278" s="30"/>
      <c r="N278" s="30"/>
      <c r="O278" s="30"/>
      <c r="P278" s="30"/>
      <c r="Q278" s="30"/>
      <c r="R278" s="30"/>
      <c r="S278" s="30"/>
      <c r="T278" s="30"/>
      <c r="U278" s="30"/>
    </row>
    <row r="279" spans="1:21" thickBot="1" x14ac:dyDescent="0.4">
      <c r="A279" s="30"/>
      <c r="B279" s="30"/>
      <c r="C279" s="30"/>
      <c r="D279" s="67"/>
      <c r="E279" s="30"/>
      <c r="F279" s="74"/>
      <c r="G279" s="30"/>
      <c r="H279" s="30"/>
      <c r="I279" s="30"/>
      <c r="J279" s="74"/>
      <c r="K279" s="30"/>
      <c r="L279" s="74"/>
      <c r="M279" s="30"/>
      <c r="N279" s="30"/>
      <c r="O279" s="30"/>
      <c r="P279" s="30"/>
      <c r="Q279" s="30"/>
      <c r="R279" s="30"/>
      <c r="S279" s="30"/>
      <c r="T279" s="30"/>
      <c r="U279" s="30"/>
    </row>
    <row r="280" spans="1:21" thickBot="1" x14ac:dyDescent="0.4">
      <c r="A280" s="30"/>
      <c r="B280" s="30"/>
      <c r="C280" s="30"/>
      <c r="D280" s="67"/>
      <c r="E280" s="30"/>
      <c r="F280" s="74"/>
      <c r="G280" s="30"/>
      <c r="H280" s="30"/>
      <c r="I280" s="30"/>
      <c r="J280" s="74"/>
      <c r="K280" s="30"/>
      <c r="L280" s="74"/>
      <c r="M280" s="30"/>
      <c r="N280" s="30"/>
      <c r="O280" s="30"/>
      <c r="P280" s="30"/>
      <c r="Q280" s="30"/>
      <c r="R280" s="30"/>
      <c r="S280" s="30"/>
      <c r="T280" s="30"/>
      <c r="U280" s="30"/>
    </row>
    <row r="281" spans="1:21" thickBot="1" x14ac:dyDescent="0.4">
      <c r="A281" s="30"/>
      <c r="B281" s="30"/>
      <c r="C281" s="30"/>
      <c r="D281" s="67"/>
      <c r="E281" s="30"/>
      <c r="F281" s="74"/>
      <c r="G281" s="30"/>
      <c r="H281" s="30"/>
      <c r="I281" s="30"/>
      <c r="J281" s="74"/>
      <c r="K281" s="30"/>
      <c r="L281" s="74"/>
      <c r="M281" s="30"/>
      <c r="N281" s="30"/>
      <c r="O281" s="30"/>
      <c r="P281" s="30"/>
      <c r="Q281" s="30"/>
      <c r="R281" s="30"/>
      <c r="S281" s="30"/>
      <c r="T281" s="30"/>
      <c r="U281" s="30"/>
    </row>
    <row r="282" spans="1:21" thickBot="1" x14ac:dyDescent="0.4">
      <c r="A282" s="30"/>
      <c r="B282" s="30"/>
      <c r="C282" s="30"/>
      <c r="D282" s="67"/>
      <c r="E282" s="30"/>
      <c r="F282" s="74"/>
      <c r="G282" s="30"/>
      <c r="H282" s="30"/>
      <c r="I282" s="30"/>
      <c r="J282" s="74"/>
      <c r="K282" s="30"/>
      <c r="L282" s="74"/>
      <c r="M282" s="30"/>
      <c r="N282" s="30"/>
      <c r="O282" s="30"/>
      <c r="P282" s="30"/>
      <c r="Q282" s="30"/>
      <c r="R282" s="30"/>
      <c r="S282" s="30"/>
      <c r="T282" s="30"/>
      <c r="U282" s="30"/>
    </row>
    <row r="283" spans="1:21" thickBot="1" x14ac:dyDescent="0.4">
      <c r="A283" s="30"/>
      <c r="B283" s="30"/>
      <c r="C283" s="30"/>
      <c r="D283" s="67"/>
      <c r="E283" s="30"/>
      <c r="F283" s="74"/>
      <c r="G283" s="30"/>
      <c r="H283" s="30"/>
      <c r="I283" s="30"/>
      <c r="J283" s="74"/>
      <c r="K283" s="30"/>
      <c r="L283" s="74"/>
      <c r="M283" s="30"/>
      <c r="N283" s="30"/>
      <c r="O283" s="30"/>
      <c r="P283" s="30"/>
      <c r="Q283" s="30"/>
      <c r="R283" s="30"/>
      <c r="S283" s="30"/>
      <c r="T283" s="30"/>
      <c r="U283" s="30"/>
    </row>
    <row r="284" spans="1:21" thickBot="1" x14ac:dyDescent="0.4">
      <c r="A284" s="30"/>
      <c r="B284" s="30"/>
      <c r="C284" s="30"/>
      <c r="D284" s="67"/>
      <c r="E284" s="30"/>
      <c r="F284" s="74"/>
      <c r="G284" s="30"/>
      <c r="H284" s="30"/>
      <c r="I284" s="30"/>
      <c r="J284" s="74"/>
      <c r="K284" s="30"/>
      <c r="L284" s="74"/>
      <c r="M284" s="30"/>
      <c r="N284" s="30"/>
      <c r="O284" s="30"/>
      <c r="P284" s="30"/>
      <c r="Q284" s="30"/>
      <c r="R284" s="30"/>
      <c r="S284" s="30"/>
      <c r="T284" s="30"/>
      <c r="U284" s="30"/>
    </row>
    <row r="285" spans="1:21" thickBot="1" x14ac:dyDescent="0.4">
      <c r="A285" s="30"/>
      <c r="B285" s="30"/>
      <c r="C285" s="30"/>
      <c r="D285" s="67"/>
      <c r="E285" s="30"/>
      <c r="F285" s="74"/>
      <c r="G285" s="30"/>
      <c r="H285" s="30"/>
      <c r="I285" s="30"/>
      <c r="J285" s="74"/>
      <c r="K285" s="30"/>
      <c r="L285" s="74"/>
      <c r="M285" s="30"/>
      <c r="N285" s="30"/>
      <c r="O285" s="30"/>
      <c r="P285" s="30"/>
      <c r="Q285" s="30"/>
      <c r="R285" s="30"/>
      <c r="S285" s="30"/>
      <c r="T285" s="30"/>
      <c r="U285" s="30"/>
    </row>
    <row r="286" spans="1:21" thickBot="1" x14ac:dyDescent="0.4">
      <c r="A286" s="30"/>
      <c r="B286" s="30"/>
      <c r="C286" s="30"/>
      <c r="D286" s="67"/>
      <c r="E286" s="30"/>
      <c r="F286" s="74"/>
      <c r="G286" s="30"/>
      <c r="H286" s="30"/>
      <c r="I286" s="30"/>
      <c r="J286" s="74"/>
      <c r="K286" s="30"/>
      <c r="L286" s="74"/>
      <c r="M286" s="30"/>
      <c r="N286" s="30"/>
      <c r="O286" s="30"/>
      <c r="P286" s="30"/>
      <c r="Q286" s="30"/>
      <c r="R286" s="30"/>
      <c r="S286" s="30"/>
      <c r="T286" s="30"/>
      <c r="U286" s="30"/>
    </row>
    <row r="287" spans="1:21" thickBot="1" x14ac:dyDescent="0.4">
      <c r="A287" s="30"/>
      <c r="B287" s="30"/>
      <c r="C287" s="30"/>
      <c r="D287" s="67"/>
      <c r="E287" s="30"/>
      <c r="F287" s="74"/>
      <c r="G287" s="30"/>
      <c r="H287" s="30"/>
      <c r="I287" s="30"/>
      <c r="J287" s="74"/>
      <c r="K287" s="30"/>
      <c r="L287" s="74"/>
      <c r="M287" s="30"/>
      <c r="N287" s="30"/>
      <c r="O287" s="30"/>
      <c r="P287" s="30"/>
      <c r="Q287" s="30"/>
      <c r="R287" s="30"/>
      <c r="S287" s="30"/>
      <c r="T287" s="30"/>
      <c r="U287" s="30"/>
    </row>
    <row r="288" spans="1:21" thickBot="1" x14ac:dyDescent="0.4">
      <c r="A288" s="30"/>
      <c r="B288" s="30"/>
      <c r="C288" s="30"/>
      <c r="D288" s="67"/>
      <c r="E288" s="30"/>
      <c r="F288" s="74"/>
      <c r="G288" s="30"/>
      <c r="H288" s="30"/>
      <c r="I288" s="30"/>
      <c r="J288" s="74"/>
      <c r="K288" s="30"/>
      <c r="L288" s="74"/>
      <c r="M288" s="30"/>
      <c r="N288" s="30"/>
      <c r="O288" s="30"/>
      <c r="P288" s="30"/>
      <c r="Q288" s="30"/>
      <c r="R288" s="30"/>
      <c r="S288" s="30"/>
      <c r="T288" s="30"/>
      <c r="U288" s="30"/>
    </row>
    <row r="289" spans="1:21" thickBot="1" x14ac:dyDescent="0.4">
      <c r="A289" s="30"/>
      <c r="B289" s="30"/>
      <c r="C289" s="30"/>
      <c r="D289" s="67"/>
      <c r="E289" s="30"/>
      <c r="F289" s="74"/>
      <c r="G289" s="30"/>
      <c r="H289" s="30"/>
      <c r="I289" s="30"/>
      <c r="J289" s="74"/>
      <c r="K289" s="30"/>
      <c r="L289" s="74"/>
      <c r="M289" s="30"/>
      <c r="N289" s="30"/>
      <c r="O289" s="30"/>
      <c r="P289" s="30"/>
      <c r="Q289" s="30"/>
      <c r="R289" s="30"/>
      <c r="S289" s="30"/>
      <c r="T289" s="30"/>
      <c r="U289" s="30"/>
    </row>
    <row r="290" spans="1:21" thickBot="1" x14ac:dyDescent="0.4">
      <c r="A290" s="30"/>
      <c r="B290" s="30"/>
      <c r="C290" s="30"/>
      <c r="D290" s="67"/>
      <c r="E290" s="30"/>
      <c r="F290" s="74"/>
      <c r="G290" s="30"/>
      <c r="H290" s="30"/>
      <c r="I290" s="30"/>
      <c r="J290" s="74"/>
      <c r="K290" s="30"/>
      <c r="L290" s="74"/>
      <c r="M290" s="30"/>
      <c r="N290" s="30"/>
      <c r="O290" s="30"/>
      <c r="P290" s="30"/>
      <c r="Q290" s="30"/>
      <c r="R290" s="30"/>
      <c r="S290" s="30"/>
      <c r="T290" s="30"/>
      <c r="U290" s="30"/>
    </row>
    <row r="291" spans="1:21" thickBot="1" x14ac:dyDescent="0.4">
      <c r="A291" s="30"/>
      <c r="B291" s="30"/>
      <c r="C291" s="30"/>
      <c r="D291" s="67"/>
      <c r="E291" s="30"/>
      <c r="F291" s="74"/>
      <c r="G291" s="30"/>
      <c r="H291" s="30"/>
      <c r="I291" s="30"/>
      <c r="J291" s="74"/>
      <c r="K291" s="30"/>
      <c r="L291" s="74"/>
      <c r="M291" s="30"/>
      <c r="N291" s="30"/>
      <c r="O291" s="30"/>
      <c r="P291" s="30"/>
      <c r="Q291" s="30"/>
      <c r="R291" s="30"/>
      <c r="S291" s="30"/>
      <c r="T291" s="30"/>
      <c r="U291" s="30"/>
    </row>
    <row r="292" spans="1:21" thickBot="1" x14ac:dyDescent="0.4">
      <c r="A292" s="30"/>
      <c r="B292" s="30"/>
      <c r="C292" s="30"/>
      <c r="D292" s="67"/>
      <c r="E292" s="30"/>
      <c r="F292" s="74"/>
      <c r="G292" s="30"/>
      <c r="H292" s="30"/>
      <c r="I292" s="30"/>
      <c r="J292" s="74"/>
      <c r="K292" s="30"/>
      <c r="L292" s="74"/>
      <c r="M292" s="30"/>
      <c r="N292" s="30"/>
      <c r="O292" s="30"/>
      <c r="P292" s="30"/>
      <c r="Q292" s="30"/>
      <c r="R292" s="30"/>
      <c r="S292" s="30"/>
      <c r="T292" s="30"/>
      <c r="U292" s="30"/>
    </row>
    <row r="293" spans="1:21" thickBot="1" x14ac:dyDescent="0.4">
      <c r="A293" s="30"/>
      <c r="B293" s="30"/>
      <c r="C293" s="30"/>
      <c r="D293" s="67"/>
      <c r="E293" s="30"/>
      <c r="F293" s="74"/>
      <c r="G293" s="30"/>
      <c r="H293" s="30"/>
      <c r="I293" s="30"/>
      <c r="J293" s="74"/>
      <c r="K293" s="30"/>
      <c r="L293" s="74"/>
      <c r="M293" s="30"/>
      <c r="N293" s="30"/>
      <c r="O293" s="30"/>
      <c r="P293" s="30"/>
      <c r="Q293" s="30"/>
      <c r="R293" s="30"/>
      <c r="S293" s="30"/>
      <c r="T293" s="30"/>
      <c r="U293" s="30"/>
    </row>
  </sheetData>
  <mergeCells count="93">
    <mergeCell ref="H2:L2"/>
    <mergeCell ref="O2:S2"/>
    <mergeCell ref="O7:S7"/>
    <mergeCell ref="O11:S11"/>
    <mergeCell ref="O15:S15"/>
    <mergeCell ref="O3:S3"/>
    <mergeCell ref="O14:P14"/>
    <mergeCell ref="O4:P4"/>
    <mergeCell ref="O5:P5"/>
    <mergeCell ref="O6:P6"/>
    <mergeCell ref="O8:P8"/>
    <mergeCell ref="O9:P9"/>
    <mergeCell ref="H3:I3"/>
    <mergeCell ref="H4:I4"/>
    <mergeCell ref="H5:I5"/>
    <mergeCell ref="H6:I6"/>
    <mergeCell ref="H20:I20"/>
    <mergeCell ref="H21:I21"/>
    <mergeCell ref="N101:P101"/>
    <mergeCell ref="N93:P93"/>
    <mergeCell ref="A91:V91"/>
    <mergeCell ref="A71:U71"/>
    <mergeCell ref="S93:T93"/>
    <mergeCell ref="S101:T101"/>
    <mergeCell ref="Q101:R101"/>
    <mergeCell ref="A45:A51"/>
    <mergeCell ref="N94:O94"/>
    <mergeCell ref="O20:P20"/>
    <mergeCell ref="O21:P21"/>
    <mergeCell ref="O22:P22"/>
    <mergeCell ref="O16:P16"/>
    <mergeCell ref="O17:P17"/>
    <mergeCell ref="H18:I18"/>
    <mergeCell ref="H19:I19"/>
    <mergeCell ref="H17:L17"/>
    <mergeCell ref="O18:P18"/>
    <mergeCell ref="H7:I7"/>
    <mergeCell ref="H8:I8"/>
    <mergeCell ref="H9:I9"/>
    <mergeCell ref="H10:I10"/>
    <mergeCell ref="Q93:R93"/>
    <mergeCell ref="A53:P53"/>
    <mergeCell ref="H22:I22"/>
    <mergeCell ref="H11:I11"/>
    <mergeCell ref="H12:I12"/>
    <mergeCell ref="H13:I13"/>
    <mergeCell ref="H14:I14"/>
    <mergeCell ref="H15:I15"/>
    <mergeCell ref="A24:U24"/>
    <mergeCell ref="O10:P10"/>
    <mergeCell ref="O12:P12"/>
    <mergeCell ref="O13:P13"/>
    <mergeCell ref="AI20:AL20"/>
    <mergeCell ref="AN20:AQ20"/>
    <mergeCell ref="AN21:AQ22"/>
    <mergeCell ref="AI30:AL30"/>
    <mergeCell ref="AI26:AL26"/>
    <mergeCell ref="AI38:AL38"/>
    <mergeCell ref="AI40:AL40"/>
    <mergeCell ref="AN30:AQ30"/>
    <mergeCell ref="AN26:AQ26"/>
    <mergeCell ref="AI21:AK21"/>
    <mergeCell ref="AI42:AL42"/>
    <mergeCell ref="A214:P214"/>
    <mergeCell ref="AN34:AQ34"/>
    <mergeCell ref="F102:H102"/>
    <mergeCell ref="F93:H93"/>
    <mergeCell ref="B99:D99"/>
    <mergeCell ref="A186:P186"/>
    <mergeCell ref="A184:P184"/>
    <mergeCell ref="A154:P154"/>
    <mergeCell ref="R114:S114"/>
    <mergeCell ref="B205:M205"/>
    <mergeCell ref="D206:F206"/>
    <mergeCell ref="G206:M206"/>
    <mergeCell ref="A203:P203"/>
    <mergeCell ref="A124:P124"/>
    <mergeCell ref="AI35:AL35"/>
    <mergeCell ref="O107:P107"/>
    <mergeCell ref="O108:P108"/>
    <mergeCell ref="O109:P109"/>
    <mergeCell ref="O110:P110"/>
    <mergeCell ref="O111:P111"/>
    <mergeCell ref="N102:O102"/>
    <mergeCell ref="N103:O103"/>
    <mergeCell ref="N104:O104"/>
    <mergeCell ref="N105:O105"/>
    <mergeCell ref="N95:O95"/>
    <mergeCell ref="N97:O97"/>
    <mergeCell ref="N98:O98"/>
    <mergeCell ref="N99:O99"/>
    <mergeCell ref="N100:O100"/>
    <mergeCell ref="N96:O96"/>
  </mergeCells>
  <dataValidations disablePrompts="1" count="2">
    <dataValidation type="list" allowBlank="1" showInputMessage="1" showErrorMessage="1" sqref="S96" xr:uid="{1085C8B2-9488-406F-9642-7DC2D5C8F4EA}">
      <formula1>$AL$5:$AP$5</formula1>
    </dataValidation>
    <dataValidation type="list" allowBlank="1" showInputMessage="1" showErrorMessage="1" sqref="Q108" xr:uid="{00000000-0002-0000-0000-000014000000}">
      <formula1>$S$107:$S$109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YE_2">
                <anchor moveWithCells="1" sizeWithCells="1">
                  <from>
                    <xdr:col>17</xdr:col>
                    <xdr:colOff>215900</xdr:colOff>
                    <xdr:row>178</xdr:row>
                    <xdr:rowOff>190500</xdr:rowOff>
                  </from>
                  <to>
                    <xdr:col>19</xdr:col>
                    <xdr:colOff>177800</xdr:colOff>
                    <xdr:row>181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0FF48BB-A37E-487B-B213-9692C9009663}">
          <x14:formula1>
            <xm:f>'D:\Desktop\[Calculo Hornillas CIMPA.xlsm]Mod Program'!#REF!</xm:f>
          </x14:formula1>
          <xm:sqref>D13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Cimpa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2018-09-27T13:12:23Z</dcterms:modified>
</cp:coreProperties>
</file>