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0F81FC08-230B-4DD8-B42C-E420B4F1EAB9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Cimpa" sheetId="1" r:id="rId1"/>
  </sheets>
  <functionGroups builtInGroupCount="19"/>
  <externalReferences>
    <externalReference r:id="rId2"/>
  </externalReferenc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119" i="1" l="1"/>
  <c r="U119" i="1"/>
  <c r="V119" i="1"/>
  <c r="W119" i="1"/>
  <c r="S119" i="1"/>
  <c r="N112" i="1"/>
  <c r="J122" i="1"/>
  <c r="K52" i="1"/>
  <c r="M141" i="1"/>
  <c r="M140" i="1"/>
  <c r="L27" i="1"/>
  <c r="L28" i="1" s="1"/>
  <c r="M27" i="1" l="1"/>
  <c r="N24" i="1"/>
  <c r="J128" i="1" l="1"/>
  <c r="K128" i="1" s="1"/>
  <c r="J131" i="1"/>
  <c r="K131" i="1"/>
  <c r="L131" i="1"/>
  <c r="J132" i="1"/>
  <c r="K132" i="1"/>
  <c r="L132" i="1"/>
  <c r="L128" i="1" l="1"/>
  <c r="I179" i="1" l="1"/>
  <c r="E179" i="1"/>
  <c r="J179" i="1" s="1"/>
  <c r="G179" i="1"/>
  <c r="F179" i="1"/>
  <c r="H179" i="1"/>
  <c r="E74" i="1" l="1"/>
  <c r="I56" i="1" l="1"/>
  <c r="I172" i="1" s="1"/>
  <c r="H56" i="1"/>
  <c r="H172" i="1" s="1"/>
  <c r="G56" i="1"/>
  <c r="C210" i="1" s="1"/>
  <c r="F56" i="1"/>
  <c r="E56" i="1"/>
  <c r="C212" i="1" l="1"/>
  <c r="G172" i="1"/>
  <c r="C211" i="1"/>
  <c r="F149" i="1"/>
  <c r="G149" i="1"/>
  <c r="H149" i="1"/>
  <c r="I149" i="1"/>
  <c r="E149" i="1"/>
  <c r="F74" i="1" l="1"/>
  <c r="I74" i="1" l="1"/>
  <c r="I76" i="1"/>
  <c r="I170" i="1"/>
  <c r="G140" i="1" l="1"/>
  <c r="F140" i="1"/>
  <c r="E140" i="1"/>
  <c r="F172" i="1"/>
  <c r="E172" i="1"/>
  <c r="M49" i="1"/>
  <c r="N49" i="1" s="1"/>
  <c r="I54" i="1"/>
  <c r="I53" i="1"/>
  <c r="G53" i="1"/>
  <c r="H53" i="1"/>
  <c r="F53" i="1"/>
  <c r="H54" i="1"/>
  <c r="N52" i="1" s="1"/>
  <c r="G54" i="1"/>
  <c r="M52" i="1" s="1"/>
  <c r="F54" i="1"/>
  <c r="E54" i="1"/>
  <c r="E53" i="1"/>
  <c r="H170" i="1"/>
  <c r="G170" i="1"/>
  <c r="F170" i="1"/>
  <c r="E170" i="1"/>
  <c r="L52" i="1" l="1"/>
  <c r="O52" i="1"/>
  <c r="P52" i="1" s="1"/>
  <c r="K53" i="1" s="1"/>
  <c r="D199" i="1"/>
  <c r="F188" i="1"/>
  <c r="C209" i="1" s="1"/>
  <c r="G188" i="1"/>
  <c r="H188" i="1"/>
  <c r="I188" i="1"/>
  <c r="E188" i="1"/>
  <c r="C208" i="1" s="1"/>
  <c r="H75" i="1" l="1"/>
  <c r="I4" i="1" l="1"/>
  <c r="H64" i="1" l="1"/>
  <c r="M53" i="1"/>
  <c r="I63" i="1"/>
  <c r="L37" i="1"/>
  <c r="L98" i="1"/>
  <c r="L53" i="1" l="1"/>
  <c r="N53" i="1"/>
  <c r="O53" i="1"/>
  <c r="I65" i="1"/>
  <c r="I140" i="1" l="1"/>
  <c r="H140" i="1"/>
  <c r="C93" i="1"/>
  <c r="G110" i="1" l="1"/>
  <c r="C106" i="1" l="1"/>
  <c r="F61" i="1"/>
  <c r="G61" i="1"/>
  <c r="H61" i="1"/>
  <c r="F41" i="1"/>
  <c r="E41" i="1"/>
  <c r="I28" i="1"/>
  <c r="D22" i="1"/>
  <c r="I16" i="1"/>
  <c r="N15" i="1"/>
  <c r="I15" i="1"/>
  <c r="N14" i="1"/>
  <c r="I14" i="1"/>
  <c r="N13" i="1"/>
  <c r="D14" i="1"/>
  <c r="D200" i="1" s="1"/>
  <c r="D12" i="1"/>
  <c r="J3" i="1" s="1"/>
  <c r="H78" i="1" s="1"/>
  <c r="K108" i="1"/>
  <c r="G64" i="1" l="1"/>
  <c r="C98" i="1"/>
  <c r="F62" i="1"/>
  <c r="F63" i="1"/>
  <c r="F65" i="1" s="1"/>
  <c r="I6" i="1"/>
  <c r="I25" i="1" s="1"/>
  <c r="D25" i="1"/>
  <c r="K112" i="1"/>
  <c r="C95" i="1"/>
  <c r="G97" i="1" s="1"/>
  <c r="E61" i="1"/>
  <c r="H63" i="1"/>
  <c r="H65" i="1" s="1"/>
  <c r="E128" i="1"/>
  <c r="I7" i="1"/>
  <c r="D20" i="1"/>
  <c r="I19" i="1"/>
  <c r="I9" i="1"/>
  <c r="I21" i="1" l="1"/>
  <c r="L24" i="1"/>
  <c r="L25" i="1" s="1"/>
  <c r="O24" i="1"/>
  <c r="O25" i="1" s="1"/>
  <c r="F66" i="1"/>
  <c r="F67" i="1" s="1"/>
  <c r="G112" i="1"/>
  <c r="E64" i="1"/>
  <c r="I78" i="1"/>
  <c r="E63" i="1"/>
  <c r="E65" i="1" s="1"/>
  <c r="I27" i="1"/>
  <c r="H66" i="1"/>
  <c r="I66" i="1"/>
  <c r="C104" i="1"/>
  <c r="G96" i="1" s="1"/>
  <c r="N5" i="1"/>
  <c r="N9" i="1" s="1"/>
  <c r="I64" i="1"/>
  <c r="N6" i="1"/>
  <c r="F128" i="1"/>
  <c r="N7" i="1"/>
  <c r="F4" i="1"/>
  <c r="G63" i="1"/>
  <c r="G66" i="1" s="1"/>
  <c r="I10" i="1"/>
  <c r="G94" i="1" l="1"/>
  <c r="G103" i="1" s="1"/>
  <c r="K93" i="1" s="1"/>
  <c r="G95" i="1"/>
  <c r="G105" i="1" s="1"/>
  <c r="E66" i="1"/>
  <c r="E67" i="1" s="1"/>
  <c r="F64" i="1"/>
  <c r="N10" i="1"/>
  <c r="H67" i="1"/>
  <c r="I67" i="1"/>
  <c r="I68" i="1"/>
  <c r="I195" i="1" s="1"/>
  <c r="F212" i="1" s="1"/>
  <c r="G128" i="1"/>
  <c r="N11" i="1"/>
  <c r="N21" i="1" s="1"/>
  <c r="G65" i="1"/>
  <c r="I23" i="1"/>
  <c r="N17" i="1"/>
  <c r="I11" i="1"/>
  <c r="G104" i="1" l="1"/>
  <c r="G98" i="1"/>
  <c r="G99" i="1" s="1"/>
  <c r="G100" i="1" s="1"/>
  <c r="G108" i="1" s="1"/>
  <c r="K97" i="1" s="1"/>
  <c r="F68" i="1"/>
  <c r="L63" i="1"/>
  <c r="H68" i="1"/>
  <c r="I69" i="1"/>
  <c r="H69" i="1"/>
  <c r="E68" i="1"/>
  <c r="E69" i="1" s="1"/>
  <c r="N19" i="1"/>
  <c r="H128" i="1"/>
  <c r="G67" i="1"/>
  <c r="G68" i="1"/>
  <c r="N18" i="1"/>
  <c r="N20" i="1" l="1"/>
  <c r="P18" i="1" s="1"/>
  <c r="K94" i="1"/>
  <c r="G101" i="1"/>
  <c r="G106" i="1" s="1"/>
  <c r="K95" i="1" s="1"/>
  <c r="G107" i="1"/>
  <c r="L64" i="1"/>
  <c r="L65" i="1" s="1"/>
  <c r="I128" i="1"/>
  <c r="F69" i="1"/>
  <c r="G69" i="1"/>
  <c r="J69" i="1" l="1"/>
  <c r="D5" i="1"/>
  <c r="P17" i="1"/>
  <c r="P19" i="1"/>
  <c r="G109" i="1"/>
  <c r="K105" i="1" s="1"/>
  <c r="G111" i="1"/>
  <c r="K96" i="1"/>
  <c r="K98" i="1" s="1"/>
  <c r="K99" i="1" s="1"/>
  <c r="K109" i="1"/>
  <c r="E116" i="1" l="1"/>
  <c r="K103" i="1"/>
  <c r="K101" i="1"/>
  <c r="K104" i="1"/>
  <c r="K102" i="1"/>
  <c r="D113" i="1"/>
  <c r="H122" i="1" s="1"/>
  <c r="V123" i="1" s="1"/>
  <c r="E87" i="1"/>
  <c r="F181" i="1"/>
  <c r="G74" i="1"/>
  <c r="H74" i="1"/>
  <c r="H181" i="1" s="1"/>
  <c r="H76" i="1"/>
  <c r="J129" i="1"/>
  <c r="H79" i="1"/>
  <c r="L130" i="1"/>
  <c r="K129" i="1"/>
  <c r="E118" i="1"/>
  <c r="J130" i="1"/>
  <c r="K130" i="1"/>
  <c r="L129" i="1"/>
  <c r="K100" i="1"/>
  <c r="D211" i="1" l="1"/>
  <c r="I122" i="1"/>
  <c r="W123" i="1" s="1"/>
  <c r="F122" i="1"/>
  <c r="T123" i="1" s="1"/>
  <c r="G181" i="1"/>
  <c r="J74" i="1"/>
  <c r="K106" i="1"/>
  <c r="E122" i="1"/>
  <c r="S123" i="1" s="1"/>
  <c r="G122" i="1"/>
  <c r="U123" i="1" s="1"/>
  <c r="H84" i="1"/>
  <c r="E181" i="1"/>
  <c r="I87" i="1"/>
  <c r="I181" i="1"/>
  <c r="H189" i="1"/>
  <c r="G75" i="1"/>
  <c r="I77" i="1"/>
  <c r="G78" i="1"/>
  <c r="H77" i="1"/>
  <c r="H83" i="1" s="1"/>
  <c r="H87" i="1"/>
  <c r="G87" i="1"/>
  <c r="F87" i="1"/>
  <c r="I79" i="1"/>
  <c r="G76" i="1"/>
  <c r="D212" i="1" l="1"/>
  <c r="J181" i="1"/>
  <c r="D201" i="1"/>
  <c r="E117" i="1"/>
  <c r="F117" i="1" s="1"/>
  <c r="G116" i="1" s="1"/>
  <c r="I83" i="1"/>
  <c r="I84" i="1"/>
  <c r="I80" i="1"/>
  <c r="H80" i="1"/>
  <c r="I189" i="1"/>
  <c r="H195" i="1"/>
  <c r="F211" i="1" s="1"/>
  <c r="E75" i="1"/>
  <c r="G77" i="1"/>
  <c r="G83" i="1" s="1"/>
  <c r="I85" i="1"/>
  <c r="I82" i="1"/>
  <c r="H85" i="1"/>
  <c r="H82" i="1"/>
  <c r="E78" i="1"/>
  <c r="I88" i="1"/>
  <c r="E119" i="1"/>
  <c r="F119" i="1"/>
  <c r="G79" i="1"/>
  <c r="H88" i="1"/>
  <c r="E194" i="1" l="1"/>
  <c r="K208" i="1" s="1"/>
  <c r="E120" i="1"/>
  <c r="E121" i="1" s="1"/>
  <c r="E191" i="1"/>
  <c r="H208" i="1" s="1"/>
  <c r="D210" i="1"/>
  <c r="F116" i="1"/>
  <c r="G117" i="1"/>
  <c r="F194" i="1"/>
  <c r="K209" i="1" s="1"/>
  <c r="I196" i="1"/>
  <c r="E212" i="1" s="1"/>
  <c r="H196" i="1"/>
  <c r="E211" i="1" s="1"/>
  <c r="G80" i="1"/>
  <c r="G84" i="1"/>
  <c r="F191" i="1"/>
  <c r="H209" i="1" s="1"/>
  <c r="G119" i="1"/>
  <c r="G118" i="1"/>
  <c r="E76" i="1"/>
  <c r="F118" i="1"/>
  <c r="E127" i="1" l="1"/>
  <c r="E131" i="1" s="1"/>
  <c r="F120" i="1"/>
  <c r="F127" i="1" s="1"/>
  <c r="G189" i="1"/>
  <c r="G191" i="1"/>
  <c r="H210" i="1" s="1"/>
  <c r="H117" i="1"/>
  <c r="G194" i="1"/>
  <c r="K210" i="1" s="1"/>
  <c r="G120" i="1"/>
  <c r="G121" i="1" s="1"/>
  <c r="H116" i="1"/>
  <c r="F75" i="1"/>
  <c r="G82" i="1"/>
  <c r="G85" i="1"/>
  <c r="E77" i="1"/>
  <c r="E83" i="1" s="1"/>
  <c r="F78" i="1"/>
  <c r="I89" i="1"/>
  <c r="F129" i="1"/>
  <c r="F130" i="1"/>
  <c r="E79" i="1"/>
  <c r="E129" i="1"/>
  <c r="H89" i="1"/>
  <c r="G88" i="1"/>
  <c r="E130" i="1"/>
  <c r="F76" i="1"/>
  <c r="E135" i="1" l="1"/>
  <c r="E141" i="1" s="1"/>
  <c r="E162" i="1"/>
  <c r="E156" i="1"/>
  <c r="E157" i="1" s="1"/>
  <c r="E164" i="1" s="1"/>
  <c r="E132" i="1"/>
  <c r="E139" i="1" s="1"/>
  <c r="F121" i="1"/>
  <c r="D208" i="1"/>
  <c r="G196" i="1"/>
  <c r="E210" i="1" s="1"/>
  <c r="E84" i="1"/>
  <c r="H136" i="1"/>
  <c r="H137" i="1" s="1"/>
  <c r="I136" i="1"/>
  <c r="I137" i="1" s="1"/>
  <c r="F195" i="1"/>
  <c r="F209" i="1" s="1"/>
  <c r="G195" i="1"/>
  <c r="F210" i="1" s="1"/>
  <c r="E195" i="1"/>
  <c r="F208" i="1" s="1"/>
  <c r="E189" i="1"/>
  <c r="H194" i="1"/>
  <c r="K211" i="1" s="1"/>
  <c r="I117" i="1"/>
  <c r="I116" i="1"/>
  <c r="G127" i="1"/>
  <c r="G162" i="1" s="1"/>
  <c r="E138" i="1"/>
  <c r="F135" i="1"/>
  <c r="L77" i="1"/>
  <c r="E80" i="1"/>
  <c r="F131" i="1"/>
  <c r="F156" i="1"/>
  <c r="F162" i="1"/>
  <c r="F132" i="1"/>
  <c r="F77" i="1"/>
  <c r="F83" i="1" s="1"/>
  <c r="E82" i="1"/>
  <c r="E85" i="1"/>
  <c r="F79" i="1"/>
  <c r="H119" i="1"/>
  <c r="H118" i="1"/>
  <c r="E88" i="1"/>
  <c r="G129" i="1"/>
  <c r="E158" i="1" l="1"/>
  <c r="E165" i="1" s="1"/>
  <c r="D209" i="1"/>
  <c r="E196" i="1"/>
  <c r="E208" i="1" s="1"/>
  <c r="F80" i="1"/>
  <c r="F84" i="1"/>
  <c r="H191" i="1"/>
  <c r="H211" i="1" s="1"/>
  <c r="H120" i="1"/>
  <c r="H127" i="1" s="1"/>
  <c r="I118" i="1"/>
  <c r="I119" i="1"/>
  <c r="G130" i="1"/>
  <c r="G89" i="1"/>
  <c r="H130" i="1"/>
  <c r="H129" i="1"/>
  <c r="L115" i="1" l="1"/>
  <c r="L118" i="1" s="1"/>
  <c r="L121" i="1" s="1"/>
  <c r="H163" i="1"/>
  <c r="I163" i="1"/>
  <c r="G136" i="1"/>
  <c r="G137" i="1" s="1"/>
  <c r="F189" i="1"/>
  <c r="I120" i="1"/>
  <c r="I121" i="1" s="1"/>
  <c r="I191" i="1"/>
  <c r="H212" i="1" s="1"/>
  <c r="I194" i="1"/>
  <c r="K212" i="1" s="1"/>
  <c r="E142" i="1"/>
  <c r="G156" i="1"/>
  <c r="G157" i="1" s="1"/>
  <c r="G164" i="1" s="1"/>
  <c r="G132" i="1"/>
  <c r="G131" i="1"/>
  <c r="G135" i="1"/>
  <c r="H121" i="1"/>
  <c r="E143" i="1"/>
  <c r="F141" i="1"/>
  <c r="H135" i="1"/>
  <c r="F82" i="1"/>
  <c r="F85" i="1"/>
  <c r="F157" i="1"/>
  <c r="F164" i="1" s="1"/>
  <c r="F158" i="1"/>
  <c r="F165" i="1" s="1"/>
  <c r="F138" i="1"/>
  <c r="F139" i="1"/>
  <c r="H162" i="1"/>
  <c r="H131" i="1"/>
  <c r="H156" i="1"/>
  <c r="H132" i="1"/>
  <c r="E89" i="1"/>
  <c r="F88" i="1"/>
  <c r="L117" i="1"/>
  <c r="F196" i="1" l="1"/>
  <c r="E209" i="1" s="1"/>
  <c r="G138" i="1"/>
  <c r="G139" i="1"/>
  <c r="H177" i="1"/>
  <c r="G163" i="1"/>
  <c r="G177" i="1" s="1"/>
  <c r="E136" i="1"/>
  <c r="E137" i="1" s="1"/>
  <c r="I127" i="1"/>
  <c r="I162" i="1" s="1"/>
  <c r="I177" i="1" s="1"/>
  <c r="G141" i="1"/>
  <c r="E144" i="1"/>
  <c r="G158" i="1"/>
  <c r="G165" i="1" s="1"/>
  <c r="F142" i="1"/>
  <c r="F143" i="1"/>
  <c r="H157" i="1"/>
  <c r="H164" i="1" s="1"/>
  <c r="H175" i="1" s="1"/>
  <c r="H158" i="1"/>
  <c r="H165" i="1" s="1"/>
  <c r="H176" i="1" s="1"/>
  <c r="H139" i="1"/>
  <c r="H138" i="1"/>
  <c r="H141" i="1"/>
  <c r="I130" i="1"/>
  <c r="F89" i="1"/>
  <c r="I129" i="1"/>
  <c r="M114" i="1" l="1"/>
  <c r="G175" i="1"/>
  <c r="G142" i="1"/>
  <c r="E163" i="1"/>
  <c r="G176" i="1"/>
  <c r="F136" i="1"/>
  <c r="F163" i="1" s="1"/>
  <c r="F175" i="1" s="1"/>
  <c r="I132" i="1"/>
  <c r="I156" i="1"/>
  <c r="I157" i="1" s="1"/>
  <c r="I164" i="1" s="1"/>
  <c r="I175" i="1" s="1"/>
  <c r="I131" i="1"/>
  <c r="I138" i="1" s="1"/>
  <c r="I135" i="1"/>
  <c r="G145" i="1"/>
  <c r="G143" i="1"/>
  <c r="G147" i="1" s="1"/>
  <c r="G150" i="1" s="1"/>
  <c r="G146" i="1"/>
  <c r="H178" i="1"/>
  <c r="H146" i="1"/>
  <c r="H142" i="1"/>
  <c r="H145" i="1"/>
  <c r="H143" i="1"/>
  <c r="H147" i="1" s="1"/>
  <c r="E145" i="1"/>
  <c r="E147" i="1" s="1"/>
  <c r="E150" i="1" s="1"/>
  <c r="E146" i="1"/>
  <c r="F144" i="1"/>
  <c r="G151" i="1"/>
  <c r="L119" i="1" l="1"/>
  <c r="E175" i="1"/>
  <c r="E177" i="1"/>
  <c r="E176" i="1"/>
  <c r="H193" i="1"/>
  <c r="J211" i="1" s="1"/>
  <c r="M211" i="1" s="1"/>
  <c r="E152" i="1"/>
  <c r="E151" i="1"/>
  <c r="G152" i="1"/>
  <c r="G192" i="1" s="1"/>
  <c r="I210" i="1" s="1"/>
  <c r="L210" i="1" s="1"/>
  <c r="G178" i="1"/>
  <c r="F137" i="1"/>
  <c r="F146" i="1" s="1"/>
  <c r="I141" i="1"/>
  <c r="I139" i="1"/>
  <c r="I158" i="1"/>
  <c r="I165" i="1" s="1"/>
  <c r="I176" i="1" s="1"/>
  <c r="I178" i="1" s="1"/>
  <c r="G144" i="1"/>
  <c r="F177" i="1"/>
  <c r="F176" i="1"/>
  <c r="H150" i="1"/>
  <c r="H144" i="1"/>
  <c r="H151" i="1"/>
  <c r="H152" i="1" l="1"/>
  <c r="H180" i="1" s="1"/>
  <c r="I142" i="1"/>
  <c r="I143" i="1"/>
  <c r="I147" i="1" s="1"/>
  <c r="I150" i="1" s="1"/>
  <c r="I152" i="1" s="1"/>
  <c r="I145" i="1"/>
  <c r="G180" i="1"/>
  <c r="G190" i="1" s="1"/>
  <c r="G210" i="1" s="1"/>
  <c r="I193" i="1"/>
  <c r="J212" i="1" s="1"/>
  <c r="M212" i="1" s="1"/>
  <c r="G193" i="1"/>
  <c r="J210" i="1" s="1"/>
  <c r="M210" i="1" s="1"/>
  <c r="E192" i="1"/>
  <c r="I208" i="1" s="1"/>
  <c r="L208" i="1" s="1"/>
  <c r="F145" i="1"/>
  <c r="F147" i="1" s="1"/>
  <c r="F150" i="1" s="1"/>
  <c r="E178" i="1"/>
  <c r="I146" i="1"/>
  <c r="F178" i="1"/>
  <c r="I151" i="1"/>
  <c r="I144" i="1" l="1"/>
  <c r="E180" i="1"/>
  <c r="E190" i="1" s="1"/>
  <c r="G208" i="1" s="1"/>
  <c r="H192" i="1"/>
  <c r="I211" i="1" s="1"/>
  <c r="L211" i="1" s="1"/>
  <c r="F152" i="1"/>
  <c r="F151" i="1"/>
  <c r="E193" i="1"/>
  <c r="J208" i="1" s="1"/>
  <c r="M208" i="1" s="1"/>
  <c r="H182" i="1"/>
  <c r="I180" i="1"/>
  <c r="G182" i="1"/>
  <c r="F193" i="1"/>
  <c r="J209" i="1" s="1"/>
  <c r="M209" i="1" s="1"/>
  <c r="J152" i="1" l="1"/>
  <c r="E182" i="1"/>
  <c r="F180" i="1"/>
  <c r="J180" i="1" s="1"/>
  <c r="L122" i="1" s="1"/>
  <c r="I192" i="1"/>
  <c r="I212" i="1" s="1"/>
  <c r="L212" i="1" s="1"/>
  <c r="I182" i="1"/>
  <c r="F192" i="1"/>
  <c r="I209" i="1" s="1"/>
  <c r="L209" i="1" s="1"/>
  <c r="H190" i="1"/>
  <c r="G211" i="1" s="1"/>
  <c r="F182" i="1" l="1"/>
  <c r="J182" i="1" s="1"/>
  <c r="F190" i="1"/>
  <c r="G209" i="1" s="1"/>
  <c r="I190" i="1"/>
  <c r="G212" i="1" s="1"/>
</calcChain>
</file>

<file path=xl/sharedStrings.xml><?xml version="1.0" encoding="utf-8"?>
<sst xmlns="http://schemas.openxmlformats.org/spreadsheetml/2006/main" count="692" uniqueCount="421">
  <si>
    <t>Datos de Entrada</t>
  </si>
  <si>
    <t>Masas</t>
  </si>
  <si>
    <t>Calores Requeridos</t>
  </si>
  <si>
    <t>Otros Datos</t>
  </si>
  <si>
    <t>Capacidad de la hornilla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</si>
  <si>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</si>
  <si>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</si>
  <si>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</si>
  <si>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</si>
  <si>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Masa de Jugo</t>
  </si>
  <si>
    <r>
      <t>m</t>
    </r>
    <r>
      <rPr>
        <sz val="8"/>
        <color theme="1"/>
        <rFont val="Calibri"/>
        <family val="2"/>
        <scheme val="minor"/>
      </rPr>
      <t>j</t>
    </r>
  </si>
  <si>
    <t>Poder Calorifico Vagazo</t>
  </si>
  <si>
    <t>VCN</t>
  </si>
  <si>
    <t>MJ/kg</t>
  </si>
  <si>
    <t>Bagazillo en Prelimpiador</t>
  </si>
  <si>
    <t>Bgz</t>
  </si>
  <si>
    <t>Temperatura Ebullicion Clf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</si>
  <si>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</si>
  <si>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</si>
  <si>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</si>
  <si>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</si>
  <si>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t>Masa de Caña</t>
  </si>
  <si>
    <r>
      <t>m</t>
    </r>
    <r>
      <rPr>
        <sz val="8"/>
        <color theme="1"/>
        <rFont val="Calibri"/>
        <family val="2"/>
        <scheme val="minor"/>
      </rPr>
      <t>c</t>
    </r>
  </si>
  <si>
    <t>Temperatura Ebullicion Eva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</si>
  <si>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</si>
  <si>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</si>
  <si>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</si>
  <si>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</si>
  <si>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</si>
  <si>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</si>
  <si>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</si>
  <si>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t>Masa de agua a Evaporar</t>
  </si>
  <si>
    <r>
      <t>m</t>
    </r>
    <r>
      <rPr>
        <sz val="8"/>
        <color theme="1"/>
        <rFont val="Calibri"/>
        <family val="2"/>
        <scheme val="minor"/>
      </rPr>
      <t>H2O</t>
    </r>
  </si>
  <si>
    <t>Teperatura Ebullicion Con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</si>
  <si>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</si>
  <si>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</si>
  <si>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</si>
  <si>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</si>
  <si>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</si>
  <si>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</si>
  <si>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</si>
  <si>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</si>
  <si>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Masa entrada Clarificacion</t>
  </si>
  <si>
    <r>
      <t>m</t>
    </r>
    <r>
      <rPr>
        <sz val="8"/>
        <color theme="1"/>
        <rFont val="Calibri"/>
        <family val="2"/>
        <scheme val="minor"/>
      </rPr>
      <t>Cl</t>
    </r>
  </si>
  <si>
    <t>kg</t>
  </si>
  <si>
    <t>Entalpia de Vaporizacion Clf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</si>
  <si>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</si>
  <si>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</si>
  <si>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t>CSS Jugo Concentrado</t>
  </si>
  <si>
    <r>
      <t>B</t>
    </r>
    <r>
      <rPr>
        <sz val="8"/>
        <color theme="1"/>
        <rFont val="Calibri"/>
        <family val="2"/>
        <scheme val="minor"/>
      </rPr>
      <t>p</t>
    </r>
  </si>
  <si>
    <t>Masa Entrada Evaporacion</t>
  </si>
  <si>
    <r>
      <t>m</t>
    </r>
    <r>
      <rPr>
        <sz val="8"/>
        <color theme="1"/>
        <rFont val="Calibri"/>
        <family val="2"/>
        <scheme val="minor"/>
      </rPr>
      <t>EV</t>
    </r>
  </si>
  <si>
    <t>Entalpia de Vaporizacion Eva</t>
  </si>
  <si>
    <t>Masa de bagazo humedo</t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</si>
  <si>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</si>
  <si>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</si>
  <si>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</si>
  <si>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t>Masa Entrada Concentracion</t>
  </si>
  <si>
    <r>
      <t>m</t>
    </r>
    <r>
      <rPr>
        <sz val="8"/>
        <color theme="1"/>
        <rFont val="Calibri"/>
        <family val="2"/>
        <scheme val="minor"/>
      </rPr>
      <t>Cn</t>
    </r>
  </si>
  <si>
    <t>Entalpia de Vaporizacion Con</t>
  </si>
  <si>
    <t>Tipo de camara</t>
  </si>
  <si>
    <t>Tpcam</t>
  </si>
  <si>
    <t>Plana</t>
  </si>
  <si>
    <t>Ad</t>
  </si>
  <si>
    <t>Densidades</t>
  </si>
  <si>
    <t>Masa de Bagazo seco</t>
  </si>
  <si>
    <r>
      <t>M</t>
    </r>
    <r>
      <rPr>
        <sz val="8"/>
        <color theme="1"/>
        <rFont val="Calibri"/>
        <family val="2"/>
        <scheme val="minor"/>
      </rPr>
      <t>bs</t>
    </r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</si>
  <si>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</si>
  <si>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</si>
  <si>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t>Calor espesifico jugo Ini</t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</si>
  <si>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</si>
  <si>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</si>
  <si>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</si>
  <si>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</si>
  <si>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t>Densidad inicial P. Clf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</si>
  <si>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</si>
  <si>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</si>
  <si>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Calor espesifico jugo clf</t>
  </si>
  <si>
    <t>Extraccion</t>
  </si>
  <si>
    <t>Extr</t>
  </si>
  <si>
    <t>Densidad inicial P. Eva 1</t>
  </si>
  <si>
    <r>
      <t>ρ</t>
    </r>
    <r>
      <rPr>
        <sz val="8"/>
        <color theme="1"/>
        <rFont val="Calibri"/>
        <family val="2"/>
      </rPr>
      <t>Eva1</t>
    </r>
  </si>
  <si>
    <t>Calor espesifico jugo eva 3</t>
  </si>
  <si>
    <t>Porcentaje de Fibra</t>
  </si>
  <si>
    <t>f</t>
  </si>
  <si>
    <t>Densidad inicial P. Con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</si>
  <si>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</si>
  <si>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</si>
  <si>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</si>
  <si>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</si>
  <si>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Calor Requerido Clarificacion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</si>
  <si>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</si>
  <si>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</si>
  <si>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</si>
  <si>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Calor Requerido Evaporacion</t>
  </si>
  <si>
    <t>Qev1</t>
  </si>
  <si>
    <t>Humedad inicial bagazo</t>
  </si>
  <si>
    <t>Hibv</t>
  </si>
  <si>
    <t>Calor Requerido Concentracion</t>
  </si>
  <si>
    <t>Qcn</t>
  </si>
  <si>
    <t>Calor Total Requerido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</si>
  <si>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</si>
  <si>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</si>
  <si>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</si>
  <si>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</si>
  <si>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</si>
  <si>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</si>
  <si>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</si>
  <si>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</si>
  <si>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</si>
  <si>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max</t>
  </si>
  <si>
    <t>Masa de Bagazo suministrado</t>
  </si>
  <si>
    <t>Mbsum</t>
  </si>
  <si>
    <t>Geometrias</t>
  </si>
  <si>
    <t>Numero de Pailas</t>
  </si>
  <si>
    <t>Nps</t>
  </si>
  <si>
    <t>Paila N°</t>
  </si>
  <si>
    <t>Npa</t>
  </si>
  <si>
    <t>Orden del flujo</t>
  </si>
  <si>
    <t>Orf</t>
  </si>
  <si>
    <t>Tipo de Paila</t>
  </si>
  <si>
    <t>TpPA</t>
  </si>
  <si>
    <t>SEMIESFERICA</t>
  </si>
  <si>
    <t>SEMICILINDRICA</t>
  </si>
  <si>
    <t>PLANA</t>
  </si>
  <si>
    <t>Altura Fondo</t>
  </si>
  <si>
    <t>H fn (m)</t>
  </si>
  <si>
    <t>Ancho del Fondo</t>
  </si>
  <si>
    <t>A  (m)</t>
  </si>
  <si>
    <t>Altura de Falca</t>
  </si>
  <si>
    <t>H fl (m)</t>
  </si>
  <si>
    <t>Angulo de Falca</t>
  </si>
  <si>
    <t>Ang  α °</t>
  </si>
  <si>
    <t>Longitud</t>
  </si>
  <si>
    <t>L  (m)</t>
  </si>
  <si>
    <t>Aleteada</t>
  </si>
  <si>
    <t>si/no</t>
  </si>
  <si>
    <t>NO</t>
  </si>
  <si>
    <t>SI</t>
  </si>
  <si>
    <t>Numero de Aletas</t>
  </si>
  <si>
    <t>N Aletas</t>
  </si>
  <si>
    <t>Altura de Aletas</t>
  </si>
  <si>
    <t>Hal (m)</t>
  </si>
  <si>
    <t>Altura del Casco</t>
  </si>
  <si>
    <t>hc (m)</t>
  </si>
  <si>
    <t>Longitud del Lado Canal</t>
  </si>
  <si>
    <t>Lc  (m)</t>
  </si>
  <si>
    <t>Longitud lado tubo</t>
  </si>
  <si>
    <t>Lt  (m)</t>
  </si>
  <si>
    <t>Area de Flujo</t>
  </si>
  <si>
    <t>A</t>
  </si>
  <si>
    <t>Perimetro</t>
  </si>
  <si>
    <t>P</t>
  </si>
  <si>
    <t>Diametro Hidraulico</t>
  </si>
  <si>
    <r>
      <t>D</t>
    </r>
    <r>
      <rPr>
        <sz val="8"/>
        <color theme="1"/>
        <rFont val="Calibri"/>
        <family val="2"/>
      </rPr>
      <t>h</t>
    </r>
  </si>
  <si>
    <t>Altura del Ducto</t>
  </si>
  <si>
    <t>Hd</t>
  </si>
  <si>
    <t>Area Paredes</t>
  </si>
  <si>
    <r>
      <t>A</t>
    </r>
    <r>
      <rPr>
        <sz val="8"/>
        <rFont val="Calibri"/>
        <family val="2"/>
        <scheme val="minor"/>
      </rPr>
      <t>pd</t>
    </r>
  </si>
  <si>
    <r>
      <t>A</t>
    </r>
    <r>
      <rPr>
        <sz val="8"/>
        <rFont val="Calibri"/>
        <family val="2"/>
        <scheme val="minor"/>
      </rPr>
      <t>pi</t>
    </r>
  </si>
  <si>
    <t>Area Paila</t>
  </si>
  <si>
    <r>
      <t>A</t>
    </r>
    <r>
      <rPr>
        <sz val="8"/>
        <rFont val="Calibri"/>
        <family val="2"/>
      </rPr>
      <t>gas</t>
    </r>
  </si>
  <si>
    <t>º</t>
  </si>
  <si>
    <t>ad</t>
  </si>
  <si>
    <t>Calculados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</si>
  <si>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</si>
  <si>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</si>
  <si>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</si>
  <si>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</si>
  <si>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</si>
  <si>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</si>
  <si>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</si>
  <si>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</si>
  <si>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</si>
  <si>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Temperatura de Ebullicion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</si>
  <si>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</si>
  <si>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</si>
  <si>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</si>
  <si>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</si>
  <si>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</si>
  <si>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</si>
  <si>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</si>
  <si>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</si>
  <si>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</si>
  <si>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</si>
  <si>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</si>
  <si>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Gases</t>
  </si>
  <si>
    <t>Masa de Bagazo</t>
  </si>
  <si>
    <t>Eficiencia de Combustion</t>
  </si>
  <si>
    <t>Humedad del Bagazo</t>
  </si>
  <si>
    <t>Exeso de Aire</t>
  </si>
  <si>
    <t>Humedad del Aire</t>
  </si>
  <si>
    <t>Temeratura Ambiente</t>
  </si>
  <si>
    <t>K</t>
  </si>
  <si>
    <t>Composiscion de bagazo seco en %</t>
  </si>
  <si>
    <t>Carbono</t>
  </si>
  <si>
    <t>C</t>
  </si>
  <si>
    <t>Hidrogeno</t>
  </si>
  <si>
    <t>H</t>
  </si>
  <si>
    <t>Oxigeno</t>
  </si>
  <si>
    <t>O</t>
  </si>
  <si>
    <t>Escorias</t>
  </si>
  <si>
    <t>E</t>
  </si>
  <si>
    <t>Masa de Bagazo Seco</t>
  </si>
  <si>
    <t>g/mol</t>
  </si>
  <si>
    <t>H2</t>
  </si>
  <si>
    <t>CO2</t>
  </si>
  <si>
    <t>CO</t>
  </si>
  <si>
    <t>H2O</t>
  </si>
  <si>
    <t>O2</t>
  </si>
  <si>
    <t>N2</t>
  </si>
  <si>
    <t>Entrada</t>
  </si>
  <si>
    <t>C en bagazo</t>
  </si>
  <si>
    <t>kmol</t>
  </si>
  <si>
    <t>H2 en bagazo</t>
  </si>
  <si>
    <t>O2 en bagazo</t>
  </si>
  <si>
    <t>H2O en bagazo</t>
  </si>
  <si>
    <t>O2 req</t>
  </si>
  <si>
    <t>O2 sum</t>
  </si>
  <si>
    <t>N2 sum</t>
  </si>
  <si>
    <t>H2O en aire</t>
  </si>
  <si>
    <t>Salida</t>
  </si>
  <si>
    <t>CO2 producidos</t>
  </si>
  <si>
    <t>mol</t>
  </si>
  <si>
    <t>CO producidos</t>
  </si>
  <si>
    <t>H2O producidos</t>
  </si>
  <si>
    <t>H2O Totales</t>
  </si>
  <si>
    <t>O2 producidos</t>
  </si>
  <si>
    <t>N2 producidos</t>
  </si>
  <si>
    <t>Temperatura de llama</t>
  </si>
  <si>
    <t>Gases Totales</t>
  </si>
  <si>
    <t>masa de Gases Total</t>
  </si>
  <si>
    <t>g</t>
  </si>
  <si>
    <t>Kw</t>
  </si>
  <si>
    <t>Potencia Inicial del Gas</t>
  </si>
  <si>
    <t>Numero de Paila</t>
  </si>
  <si>
    <t>Melotera</t>
  </si>
  <si>
    <t>Temperatura</t>
  </si>
  <si>
    <t>T</t>
  </si>
  <si>
    <t>Presion</t>
  </si>
  <si>
    <t>atm</t>
  </si>
  <si>
    <t>Calor Especifico a Presión Cte</t>
  </si>
  <si>
    <t>Cp</t>
  </si>
  <si>
    <t>KJ/kg.°C</t>
  </si>
  <si>
    <t>Densidad</t>
  </si>
  <si>
    <t>ρ</t>
  </si>
  <si>
    <t>kg/m^3</t>
  </si>
  <si>
    <t>Viscosidad Dinamica</t>
  </si>
  <si>
    <t>μ</t>
  </si>
  <si>
    <t>Kg/m s</t>
  </si>
  <si>
    <t>Coef Conduct Termica</t>
  </si>
  <si>
    <t>KW/m°C</t>
  </si>
  <si>
    <t>Velocidad de Gases</t>
  </si>
  <si>
    <t>√</t>
  </si>
  <si>
    <t>m/s</t>
  </si>
  <si>
    <t>Temperatura deSuperficie</t>
  </si>
  <si>
    <r>
      <t>T</t>
    </r>
    <r>
      <rPr>
        <sz val="8"/>
        <color theme="1"/>
        <rFont val="Calibri"/>
        <family val="2"/>
      </rPr>
      <t>sp</t>
    </r>
  </si>
  <si>
    <t>Visc Dinamic Superfi</t>
  </si>
  <si>
    <t>Kg/ m s</t>
  </si>
  <si>
    <t>Viscosidad Cinematica</t>
  </si>
  <si>
    <t>ϑ</t>
  </si>
  <si>
    <t>Kg/m^2</t>
  </si>
  <si>
    <t>N° Prandlt</t>
  </si>
  <si>
    <t>N pr</t>
  </si>
  <si>
    <t>Numero de Reynolds</t>
  </si>
  <si>
    <r>
      <t>N</t>
    </r>
    <r>
      <rPr>
        <sz val="8"/>
        <color theme="1"/>
        <rFont val="Calibri"/>
        <family val="2"/>
      </rPr>
      <t>re</t>
    </r>
  </si>
  <si>
    <t xml:space="preserve">No. Nusselt </t>
  </si>
  <si>
    <r>
      <t>N</t>
    </r>
    <r>
      <rPr>
        <sz val="8"/>
        <color theme="1"/>
        <rFont val="Calibri"/>
        <family val="2"/>
      </rPr>
      <t>u</t>
    </r>
  </si>
  <si>
    <t>Area Transferencia Calor Paila</t>
  </si>
  <si>
    <r>
      <t>A</t>
    </r>
    <r>
      <rPr>
        <sz val="8"/>
        <color theme="1"/>
        <rFont val="Calibri"/>
        <family val="2"/>
        <scheme val="minor"/>
      </rPr>
      <t>TTC</t>
    </r>
  </si>
  <si>
    <t>Coeficiente de convección</t>
  </si>
  <si>
    <t>KW/m^2°C</t>
  </si>
  <si>
    <t>Calor por Conveccion</t>
  </si>
  <si>
    <r>
      <t>Q</t>
    </r>
    <r>
      <rPr>
        <sz val="9"/>
        <color theme="1"/>
        <rFont val="Calibri"/>
        <family val="2"/>
        <scheme val="minor"/>
      </rPr>
      <t>cnv</t>
    </r>
  </si>
  <si>
    <t>Temperatura del Gas</t>
  </si>
  <si>
    <t>Tgas</t>
  </si>
  <si>
    <t>Temperatua Pared</t>
  </si>
  <si>
    <t>Tpad</t>
  </si>
  <si>
    <t>Temperatura Piso</t>
  </si>
  <si>
    <t>Tpis</t>
  </si>
  <si>
    <t>Temperatura Gases</t>
  </si>
  <si>
    <r>
      <t>T</t>
    </r>
    <r>
      <rPr>
        <sz val="8"/>
        <rFont val="Calibri"/>
        <family val="2"/>
        <scheme val="minor"/>
      </rPr>
      <t>g</t>
    </r>
  </si>
  <si>
    <t>Temperatura Fondo Paila</t>
  </si>
  <si>
    <r>
      <t>T</t>
    </r>
    <r>
      <rPr>
        <sz val="8"/>
        <rFont val="Calibri"/>
        <family val="2"/>
        <scheme val="minor"/>
      </rPr>
      <t>fp</t>
    </r>
  </si>
  <si>
    <t>Temperatura Pared</t>
  </si>
  <si>
    <r>
      <t>T</t>
    </r>
    <r>
      <rPr>
        <sz val="8"/>
        <rFont val="Calibri"/>
        <family val="2"/>
        <scheme val="minor"/>
      </rPr>
      <t>pd</t>
    </r>
  </si>
  <si>
    <r>
      <t>T</t>
    </r>
    <r>
      <rPr>
        <sz val="8"/>
        <rFont val="Calibri"/>
        <family val="2"/>
        <scheme val="minor"/>
      </rPr>
      <t>pi</t>
    </r>
  </si>
  <si>
    <t>C. de Boltzman</t>
  </si>
  <si>
    <t>σ</t>
  </si>
  <si>
    <t>W/m^2*K^4</t>
  </si>
  <si>
    <t>Emisividad Gases</t>
  </si>
  <si>
    <r>
      <t>ϵ</t>
    </r>
    <r>
      <rPr>
        <sz val="6"/>
        <rFont val="Calibri"/>
        <family val="2"/>
        <scheme val="minor"/>
      </rPr>
      <t>g</t>
    </r>
  </si>
  <si>
    <t>Emisividad Fondo Paila</t>
  </si>
  <si>
    <r>
      <t>ϵ</t>
    </r>
    <r>
      <rPr>
        <sz val="6"/>
        <rFont val="Calibri"/>
        <family val="2"/>
        <scheme val="minor"/>
      </rPr>
      <t>fp</t>
    </r>
  </si>
  <si>
    <t>Emisividad Ducto</t>
  </si>
  <si>
    <r>
      <t>ϵ</t>
    </r>
    <r>
      <rPr>
        <sz val="6"/>
        <rFont val="Calibri"/>
        <family val="2"/>
        <scheme val="minor"/>
      </rPr>
      <t>d</t>
    </r>
  </si>
  <si>
    <t>Factor de forma Pared</t>
  </si>
  <si>
    <r>
      <t>F</t>
    </r>
    <r>
      <rPr>
        <sz val="8"/>
        <rFont val="Calibri"/>
        <family val="2"/>
        <scheme val="minor"/>
      </rPr>
      <t>FPA</t>
    </r>
  </si>
  <si>
    <t>Factor de Forma Piso</t>
  </si>
  <si>
    <r>
      <t>F</t>
    </r>
    <r>
      <rPr>
        <sz val="8"/>
        <rFont val="Calibri"/>
        <family val="2"/>
        <scheme val="minor"/>
      </rPr>
      <t>FPI</t>
    </r>
  </si>
  <si>
    <t>Calor desde las Paredes</t>
  </si>
  <si>
    <r>
      <t>Q</t>
    </r>
    <r>
      <rPr>
        <sz val="8"/>
        <color theme="1"/>
        <rFont val="Calibri"/>
        <family val="2"/>
        <scheme val="minor"/>
      </rPr>
      <t>rpd</t>
    </r>
  </si>
  <si>
    <t>Calor desde el Piso</t>
  </si>
  <si>
    <r>
      <t>Q</t>
    </r>
    <r>
      <rPr>
        <sz val="8"/>
        <color theme="1"/>
        <rFont val="Calibri"/>
        <family val="2"/>
        <scheme val="minor"/>
      </rPr>
      <t>rpi</t>
    </r>
  </si>
  <si>
    <t>Calor desde el Gas</t>
  </si>
  <si>
    <r>
      <t>Q</t>
    </r>
    <r>
      <rPr>
        <sz val="8"/>
        <color theme="1"/>
        <rFont val="Calibri"/>
        <family val="2"/>
        <scheme val="minor"/>
      </rPr>
      <t>rgas</t>
    </r>
  </si>
  <si>
    <t>Total Q R P Paila</t>
  </si>
  <si>
    <r>
      <t>TQ</t>
    </r>
    <r>
      <rPr>
        <sz val="8"/>
        <color theme="1"/>
        <rFont val="Calibri"/>
        <family val="2"/>
        <scheme val="minor"/>
      </rPr>
      <t>rppa</t>
    </r>
  </si>
  <si>
    <t>No. Nusselt P.S.E</t>
  </si>
  <si>
    <t>No. Nusselt  Nre&lt;1e5</t>
  </si>
  <si>
    <t>No. Nusselt  Nre&gt;5e5</t>
  </si>
  <si>
    <t>No. Nusselt  1e5&lt; Nre &lt;5e5</t>
  </si>
  <si>
    <t>No. Nusselt Pirotubular Re&lt;2,3e3</t>
  </si>
  <si>
    <t>Calor Total</t>
  </si>
  <si>
    <t>Borrar</t>
  </si>
  <si>
    <t>Calcular</t>
  </si>
  <si>
    <t>Viscosidad del Jugo</t>
  </si>
  <si>
    <t>Kg/m.s</t>
  </si>
  <si>
    <t>Tension Superficial</t>
  </si>
  <si>
    <t>Vj</t>
  </si>
  <si>
    <t>Tn S j</t>
  </si>
  <si>
    <t>Kg/s^2</t>
  </si>
  <si>
    <t>Kg/m^3</t>
  </si>
  <si>
    <t>D j</t>
  </si>
  <si>
    <t>w/m K</t>
  </si>
  <si>
    <t>T Pared L Jugo</t>
  </si>
  <si>
    <t>Tppj</t>
  </si>
  <si>
    <t>flux Calor Paila</t>
  </si>
  <si>
    <t>Area Interior Paila</t>
  </si>
  <si>
    <t>Qx</t>
  </si>
  <si>
    <t>Aintp</t>
  </si>
  <si>
    <t>W/m^2</t>
  </si>
  <si>
    <t>Gas Total</t>
  </si>
  <si>
    <t>Flujo Masico</t>
  </si>
  <si>
    <t>kg/s</t>
  </si>
  <si>
    <t>% Molar</t>
  </si>
  <si>
    <t>Espesor de Lamina</t>
  </si>
  <si>
    <t>EsL(m)</t>
  </si>
  <si>
    <t>T Pared L Gas</t>
  </si>
  <si>
    <t>Tppg</t>
  </si>
  <si>
    <t>Temperatura Flama Ad</t>
  </si>
  <si>
    <t>Energia inicial Gas</t>
  </si>
  <si>
    <t>Perdidas</t>
  </si>
  <si>
    <t>Pedidas según 14%</t>
  </si>
  <si>
    <t>Perdidas camara Sr</t>
  </si>
  <si>
    <t>Area de camara</t>
  </si>
  <si>
    <t>Temperarura antes de Paila</t>
  </si>
  <si>
    <t>Temperatura despues de Paila</t>
  </si>
  <si>
    <t>Temperatura Bajo la Paila</t>
  </si>
  <si>
    <t>Calor del Gas antes de Paila</t>
  </si>
  <si>
    <t>Calor Gas despues paila</t>
  </si>
  <si>
    <t>Calore Transferidos</t>
  </si>
  <si>
    <t>Qtt</t>
  </si>
  <si>
    <t>Qgap</t>
  </si>
  <si>
    <t>Qdap</t>
  </si>
  <si>
    <t>Tgap</t>
  </si>
  <si>
    <t>Tdap</t>
  </si>
  <si>
    <t>Psr</t>
  </si>
  <si>
    <t>Ps14</t>
  </si>
  <si>
    <t>Perdtot</t>
  </si>
  <si>
    <t>-</t>
  </si>
  <si>
    <t>Calor Transferido desde el gas</t>
  </si>
  <si>
    <t>Qtdg</t>
  </si>
  <si>
    <t>Masa Jugo Entrada</t>
  </si>
  <si>
    <t>Kjug</t>
  </si>
  <si>
    <t>Mjug</t>
  </si>
  <si>
    <t>Temperatura jugo</t>
  </si>
  <si>
    <t>Tjug</t>
  </si>
  <si>
    <t>Concentrancion y Propiedades del jugo según calor cedido por el gas</t>
  </si>
  <si>
    <t>Masa de Jugo Entrada</t>
  </si>
  <si>
    <t>Calor de Diseño Pailas</t>
  </si>
  <si>
    <t>Qdp</t>
  </si>
  <si>
    <t>Error entre calores</t>
  </si>
  <si>
    <t>Porfavor no modificar de aquí para arriba porquer la CAGA</t>
  </si>
  <si>
    <t>Tabla de Resultados Hornilla</t>
  </si>
  <si>
    <t>Calor por Radacion Paila</t>
  </si>
  <si>
    <t>Eficiencia Calculada</t>
  </si>
  <si>
    <t>Stage</t>
  </si>
  <si>
    <t>Área de transferencia (m)*</t>
  </si>
  <si>
    <t>Sugarcane Juice</t>
  </si>
  <si>
    <t>Flue gas</t>
  </si>
  <si>
    <t>Potencia térmica requerida jugo (kW)</t>
  </si>
  <si>
    <t>Outlet temperature (°C)</t>
  </si>
  <si>
    <t>Q conveccion</t>
  </si>
  <si>
    <t xml:space="preserve">  Q radiacion</t>
  </si>
  <si>
    <t>Thermal Outlet potential (kW)</t>
  </si>
  <si>
    <t>Masa de Agua  Evaporada</t>
  </si>
  <si>
    <r>
      <t>M</t>
    </r>
    <r>
      <rPr>
        <sz val="8"/>
        <color theme="1"/>
        <rFont val="Calibri"/>
        <family val="2"/>
        <scheme val="minor"/>
      </rPr>
      <t>H2O</t>
    </r>
  </si>
  <si>
    <t>Revisar y Modificar</t>
  </si>
  <si>
    <t>Hacer Nomograma</t>
  </si>
  <si>
    <t>Masa de agua evaporada (Kg)</t>
  </si>
  <si>
    <t>Tabla resultados Articulo</t>
  </si>
  <si>
    <t>Temp. Jugo (°C)</t>
  </si>
  <si>
    <t>Conductividad del jugo</t>
  </si>
  <si>
    <t>Area Piso y Techo</t>
  </si>
  <si>
    <t>Area Paredes Radiantes</t>
  </si>
  <si>
    <t>Area Piso radiante</t>
  </si>
  <si>
    <t>Area  Total Transferencia Paila</t>
  </si>
  <si>
    <t>Area Lisa</t>
  </si>
  <si>
    <t>Coeficiente de convección corregido</t>
  </si>
  <si>
    <r>
      <t xml:space="preserve">kg </t>
    </r>
    <r>
      <rPr>
        <sz val="8"/>
        <rFont val="Calibri"/>
        <family val="2"/>
        <scheme val="minor"/>
      </rPr>
      <t>H2O</t>
    </r>
    <r>
      <rPr>
        <sz val="11"/>
        <rFont val="Calibri"/>
        <family val="2"/>
        <scheme val="minor"/>
      </rPr>
      <t>/kg</t>
    </r>
    <r>
      <rPr>
        <sz val="8"/>
        <rFont val="Calibri"/>
        <family val="2"/>
        <scheme val="minor"/>
      </rPr>
      <t xml:space="preserve"> aire seco</t>
    </r>
  </si>
  <si>
    <t>Distribucion de Concentracion de solidos Solubles iniciales</t>
  </si>
  <si>
    <t>Calor por Radiación</t>
  </si>
  <si>
    <t>Areas que Cambian</t>
  </si>
  <si>
    <t>Flux conveccion (kW/m^2)</t>
  </si>
  <si>
    <t xml:space="preserve">  Flux radiacion (kW/m^2)</t>
  </si>
  <si>
    <t>Velocidad I</t>
  </si>
  <si>
    <t>Temp. Pared L. Jugo (ºC)</t>
  </si>
  <si>
    <t>Tin</t>
  </si>
  <si>
    <t>Tout</t>
  </si>
  <si>
    <t>kJ/s</t>
  </si>
  <si>
    <t>Q gas</t>
  </si>
  <si>
    <t>Q recuperado</t>
  </si>
  <si>
    <t>Masa de Panela Ad</t>
  </si>
  <si>
    <t>Q aprovechado en Panela</t>
  </si>
  <si>
    <t>Factor de produccion de Panela</t>
  </si>
  <si>
    <t>Recuperador de Calor</t>
  </si>
  <si>
    <t/>
  </si>
  <si>
    <t>Eficiencia Global</t>
  </si>
  <si>
    <t>http://www.scielo.org.co/scielo.php?script=sci_arttext&amp;pid=S0304-28472004000200007</t>
  </si>
  <si>
    <t>https://doi.org/10.1016/j.energy.2010.09.018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</si>
</sst>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"/>
    <numFmt numFmtId="165" formatCode="0.000"/>
    <numFmt numFmtId="166" formatCode="0.000E+00"/>
    <numFmt numFmtId="167" formatCode="0.00000"/>
    <numFmt numFmtId="168" formatCode="0.0000"/>
    <numFmt numFmtId="169" formatCode="0.0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  <font>
      <b/>
      <i/>
      <sz val="2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591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0" borderId="19" xfId="0" applyNumberFormat="1" applyFill="1" applyBorder="1" applyAlignment="1">
      <alignment horizontal="center" vertical="center" shrinkToFit="1"/>
    </xf>
    <xf numFmtId="164" fontId="0" fillId="0" borderId="20" xfId="0" applyNumberFormat="1" applyFill="1" applyBorder="1" applyAlignment="1">
      <alignment horizontal="center" vertical="center" shrinkToFit="1"/>
    </xf>
    <xf numFmtId="164" fontId="0" fillId="0" borderId="20" xfId="0" applyNumberFormat="1" applyBorder="1" applyAlignment="1">
      <alignment horizontal="center" vertical="center" shrinkToFit="1"/>
    </xf>
    <xf numFmtId="164" fontId="0" fillId="0" borderId="21" xfId="0" applyNumberFormat="1" applyBorder="1" applyAlignment="1">
      <alignment horizontal="center" vertical="center" shrinkToFit="1"/>
    </xf>
    <xf numFmtId="0" fontId="0" fillId="0" borderId="7" xfId="0" applyFill="1" applyBorder="1" applyAlignment="1">
      <alignment horizontal="center" vertical="center" shrinkToFit="1"/>
    </xf>
    <xf numFmtId="0" fontId="0" fillId="0" borderId="8" xfId="0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 shrinkToFit="1"/>
    </xf>
    <xf numFmtId="164" fontId="0" fillId="0" borderId="7" xfId="0" applyNumberFormat="1" applyBorder="1" applyAlignment="1">
      <alignment horizontal="center" vertical="center" shrinkToFit="1"/>
    </xf>
    <xf numFmtId="164" fontId="0" fillId="0" borderId="8" xfId="0" applyNumberFormat="1" applyFill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19" xfId="0" applyNumberFormat="1" applyBorder="1" applyAlignment="1">
      <alignment horizontal="center" vertical="center" shrinkToFit="1"/>
    </xf>
    <xf numFmtId="164" fontId="0" fillId="0" borderId="7" xfId="0" applyNumberFormat="1" applyFill="1" applyBorder="1" applyAlignment="1">
      <alignment horizontal="center" vertical="center" shrinkToFit="1"/>
    </xf>
    <xf numFmtId="164" fontId="4" fillId="0" borderId="8" xfId="0" applyNumberFormat="1" applyFont="1" applyBorder="1" applyAlignment="1">
      <alignment horizontal="center" vertical="center" shrinkToFit="1"/>
    </xf>
    <xf numFmtId="164" fontId="0" fillId="0" borderId="9" xfId="0" applyNumberFormat="1" applyFill="1" applyBorder="1" applyAlignment="1">
      <alignment horizontal="center" vertical="center" shrinkToFit="1"/>
    </xf>
    <xf numFmtId="164" fontId="0" fillId="2" borderId="25" xfId="0" applyNumberFormat="1" applyFill="1" applyBorder="1" applyAlignment="1">
      <alignment horizontal="left" vertical="center"/>
    </xf>
    <xf numFmtId="164" fontId="0" fillId="2" borderId="26" xfId="0" applyNumberFormat="1" applyFill="1" applyBorder="1" applyAlignment="1">
      <alignment horizontal="center" vertical="center"/>
    </xf>
    <xf numFmtId="164" fontId="0" fillId="2" borderId="27" xfId="0" applyNumberForma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 shrinkToFit="1"/>
    </xf>
    <xf numFmtId="9" fontId="0" fillId="2" borderId="8" xfId="1" applyFont="1" applyFill="1" applyBorder="1" applyAlignment="1">
      <alignment horizontal="center" vertical="center"/>
    </xf>
    <xf numFmtId="164" fontId="0" fillId="0" borderId="28" xfId="0" applyNumberFormat="1" applyFill="1" applyBorder="1" applyAlignment="1">
      <alignment horizontal="center" vertical="center" shrinkToFit="1"/>
    </xf>
    <xf numFmtId="164" fontId="0" fillId="0" borderId="29" xfId="0" applyNumberFormat="1" applyBorder="1" applyAlignment="1">
      <alignment horizontal="center" vertical="center" shrinkToFit="1"/>
    </xf>
    <xf numFmtId="164" fontId="0" fillId="0" borderId="30" xfId="0" applyNumberFormat="1" applyBorder="1" applyAlignment="1">
      <alignment horizontal="center" vertical="center" shrinkToFit="1"/>
    </xf>
    <xf numFmtId="164" fontId="4" fillId="0" borderId="20" xfId="0" applyNumberFormat="1" applyFont="1" applyFill="1" applyBorder="1" applyAlignment="1">
      <alignment horizontal="center" vertical="center" shrinkToFit="1"/>
    </xf>
    <xf numFmtId="164" fontId="0" fillId="0" borderId="21" xfId="0" applyNumberFormat="1" applyFill="1" applyBorder="1" applyAlignment="1">
      <alignment horizontal="center" vertical="center" shrinkToFit="1"/>
    </xf>
    <xf numFmtId="164" fontId="0" fillId="2" borderId="19" xfId="0" applyNumberFormat="1" applyFill="1" applyBorder="1" applyAlignment="1">
      <alignment horizontal="left" vertical="center"/>
    </xf>
    <xf numFmtId="164" fontId="0" fillId="2" borderId="20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164" fontId="0" fillId="0" borderId="19" xfId="0" applyNumberFormat="1" applyFill="1" applyBorder="1" applyAlignment="1">
      <alignment horizontal="left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 shrinkToFit="1"/>
    </xf>
    <xf numFmtId="0" fontId="0" fillId="0" borderId="29" xfId="0" applyFill="1" applyBorder="1" applyAlignment="1">
      <alignment horizontal="center" vertical="center" shrinkToFit="1"/>
    </xf>
    <xf numFmtId="0" fontId="0" fillId="0" borderId="30" xfId="0" applyFill="1" applyBorder="1" applyAlignment="1">
      <alignment horizontal="center" vertical="center" shrinkToFit="1"/>
    </xf>
    <xf numFmtId="164" fontId="0" fillId="0" borderId="10" xfId="0" applyNumberFormat="1" applyFill="1" applyBorder="1" applyAlignment="1">
      <alignment vertical="center" shrinkToFit="1"/>
    </xf>
    <xf numFmtId="164" fontId="0" fillId="0" borderId="11" xfId="0" applyNumberFormat="1" applyFill="1" applyBorder="1" applyAlignment="1">
      <alignment vertical="center" shrinkToFit="1"/>
    </xf>
    <xf numFmtId="164" fontId="0" fillId="0" borderId="12" xfId="0" applyNumberFormat="1" applyFill="1" applyBorder="1" applyAlignment="1">
      <alignment vertical="center" shrinkToFit="1"/>
    </xf>
    <xf numFmtId="164" fontId="0" fillId="0" borderId="7" xfId="0" applyNumberFormat="1" applyBorder="1" applyAlignment="1">
      <alignment vertical="center"/>
    </xf>
    <xf numFmtId="164" fontId="0" fillId="0" borderId="8" xfId="0" applyNumberFormat="1" applyFill="1" applyBorder="1" applyAlignment="1">
      <alignment vertical="center"/>
    </xf>
    <xf numFmtId="164" fontId="0" fillId="0" borderId="9" xfId="0" applyNumberFormat="1" applyBorder="1" applyAlignment="1">
      <alignment vertical="center"/>
    </xf>
    <xf numFmtId="164" fontId="0" fillId="0" borderId="7" xfId="0" applyNumberFormat="1" applyFill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0" fillId="0" borderId="16" xfId="0" applyFill="1" applyBorder="1" applyAlignment="1">
      <alignment vertical="center" shrinkToFit="1"/>
    </xf>
    <xf numFmtId="0" fontId="0" fillId="0" borderId="17" xfId="0" applyFill="1" applyBorder="1" applyAlignment="1">
      <alignment vertical="center" shrinkToFit="1"/>
    </xf>
    <xf numFmtId="0" fontId="0" fillId="0" borderId="18" xfId="0" applyFill="1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0" fontId="0" fillId="0" borderId="11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39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0" xfId="0" applyFill="1" applyBorder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8" fillId="4" borderId="4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0" borderId="48" xfId="0" applyBorder="1" applyAlignment="1"/>
    <xf numFmtId="0" fontId="2" fillId="4" borderId="0" xfId="0" applyFont="1" applyFill="1" applyAlignment="1">
      <alignment horizontal="center" vertical="center" shrinkToFit="1"/>
    </xf>
    <xf numFmtId="0" fontId="0" fillId="7" borderId="7" xfId="0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9" xfId="0" applyFill="1" applyBorder="1" applyAlignment="1">
      <alignment horizontal="left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0" borderId="19" xfId="0" applyBorder="1"/>
    <xf numFmtId="0" fontId="3" fillId="0" borderId="20" xfId="0" applyFont="1" applyBorder="1"/>
    <xf numFmtId="0" fontId="0" fillId="0" borderId="20" xfId="0" applyBorder="1"/>
    <xf numFmtId="0" fontId="0" fillId="0" borderId="21" xfId="0" applyFill="1" applyBorder="1" applyAlignment="1">
      <alignment horizontal="center" vertical="center" shrinkToFit="1"/>
    </xf>
    <xf numFmtId="165" fontId="0" fillId="6" borderId="8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165" fontId="0" fillId="6" borderId="29" xfId="0" applyNumberFormat="1" applyFill="1" applyBorder="1" applyAlignment="1">
      <alignment horizontal="center" vertical="center"/>
    </xf>
    <xf numFmtId="165" fontId="0" fillId="6" borderId="30" xfId="0" applyNumberForma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65" fontId="0" fillId="4" borderId="0" xfId="0" applyNumberFormat="1" applyFill="1"/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0" fontId="2" fillId="4" borderId="0" xfId="0" applyFont="1" applyFill="1"/>
    <xf numFmtId="0" fontId="0" fillId="4" borderId="0" xfId="0" applyFont="1" applyFill="1"/>
    <xf numFmtId="0" fontId="0" fillId="4" borderId="0" xfId="0" applyFill="1" applyAlignment="1">
      <alignment horizontal="center"/>
    </xf>
    <xf numFmtId="9" fontId="0" fillId="0" borderId="8" xfId="1" applyFon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8" fillId="9" borderId="37" xfId="0" applyNumberFormat="1" applyFont="1" applyFill="1" applyBorder="1" applyProtection="1">
      <protection hidden="1"/>
    </xf>
    <xf numFmtId="0" fontId="8" fillId="8" borderId="8" xfId="0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1" fontId="0" fillId="4" borderId="0" xfId="0" applyNumberFormat="1" applyFill="1"/>
    <xf numFmtId="0" fontId="8" fillId="4" borderId="5" xfId="0" applyFont="1" applyFill="1" applyBorder="1" applyAlignment="1">
      <alignment horizontal="center"/>
    </xf>
    <xf numFmtId="0" fontId="8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4" fontId="8" fillId="10" borderId="8" xfId="0" applyNumberFormat="1" applyFont="1" applyFill="1" applyBorder="1" applyAlignment="1">
      <alignment horizontal="center" vertical="center"/>
    </xf>
    <xf numFmtId="164" fontId="8" fillId="10" borderId="9" xfId="0" applyNumberFormat="1" applyFont="1" applyFill="1" applyBorder="1" applyAlignment="1">
      <alignment horizontal="center" vertical="center"/>
    </xf>
    <xf numFmtId="165" fontId="8" fillId="8" borderId="8" xfId="0" applyNumberFormat="1" applyFon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0" fillId="0" borderId="52" xfId="0" applyBorder="1" applyAlignment="1"/>
    <xf numFmtId="0" fontId="6" fillId="11" borderId="36" xfId="0" applyFont="1" applyFill="1" applyBorder="1" applyAlignment="1">
      <alignment horizontal="center" vertical="center"/>
    </xf>
    <xf numFmtId="0" fontId="0" fillId="11" borderId="37" xfId="0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/>
    </xf>
    <xf numFmtId="0" fontId="8" fillId="11" borderId="19" xfId="0" applyFont="1" applyFill="1" applyBorder="1" applyAlignment="1">
      <alignment horizontal="center" vertical="center"/>
    </xf>
    <xf numFmtId="0" fontId="8" fillId="11" borderId="20" xfId="0" applyFont="1" applyFill="1" applyBorder="1" applyAlignment="1">
      <alignment horizontal="center" vertical="center"/>
    </xf>
    <xf numFmtId="165" fontId="0" fillId="11" borderId="20" xfId="0" applyNumberFormat="1" applyFill="1" applyBorder="1" applyAlignment="1">
      <alignment horizontal="center"/>
    </xf>
    <xf numFmtId="165" fontId="0" fillId="11" borderId="21" xfId="0" applyNumberFormat="1" applyFill="1" applyBorder="1" applyAlignment="1">
      <alignment horizont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165" fontId="0" fillId="11" borderId="8" xfId="0" applyNumberFormat="1" applyFill="1" applyBorder="1" applyAlignment="1">
      <alignment horizontal="center"/>
    </xf>
    <xf numFmtId="165" fontId="0" fillId="11" borderId="9" xfId="0" applyNumberFormat="1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20" xfId="0" applyFill="1" applyBorder="1" applyAlignment="1">
      <alignment horizontal="center"/>
    </xf>
    <xf numFmtId="164" fontId="0" fillId="11" borderId="1" xfId="0" applyNumberFormat="1" applyFill="1" applyBorder="1" applyAlignment="1">
      <alignment horizontal="left" vertical="center"/>
    </xf>
    <xf numFmtId="164" fontId="0" fillId="11" borderId="2" xfId="0" applyNumberFormat="1" applyFill="1" applyBorder="1" applyAlignment="1">
      <alignment horizontal="center" vertical="center"/>
    </xf>
    <xf numFmtId="164" fontId="0" fillId="11" borderId="3" xfId="0" applyNumberFormat="1" applyFill="1" applyBorder="1" applyAlignment="1">
      <alignment horizontal="center" vertical="center"/>
    </xf>
    <xf numFmtId="0" fontId="0" fillId="11" borderId="7" xfId="0" applyFill="1" applyBorder="1" applyAlignment="1">
      <alignment horizontal="left" vertical="center"/>
    </xf>
    <xf numFmtId="0" fontId="0" fillId="11" borderId="9" xfId="0" applyFill="1" applyBorder="1" applyAlignment="1">
      <alignment horizontal="center" vertical="center"/>
    </xf>
    <xf numFmtId="0" fontId="0" fillId="11" borderId="7" xfId="0" applyFill="1" applyBorder="1"/>
    <xf numFmtId="0" fontId="0" fillId="11" borderId="8" xfId="0" applyFill="1" applyBorder="1"/>
    <xf numFmtId="9" fontId="0" fillId="11" borderId="8" xfId="0" applyNumberFormat="1" applyFill="1" applyBorder="1" applyAlignment="1">
      <alignment horizontal="center"/>
    </xf>
    <xf numFmtId="0" fontId="0" fillId="11" borderId="9" xfId="0" applyFill="1" applyBorder="1"/>
    <xf numFmtId="0" fontId="0" fillId="11" borderId="19" xfId="0" applyFill="1" applyBorder="1" applyAlignment="1">
      <alignment horizontal="left" vertical="center"/>
    </xf>
    <xf numFmtId="0" fontId="0" fillId="11" borderId="20" xfId="0" applyFill="1" applyBorder="1" applyAlignment="1">
      <alignment horizontal="center" vertical="center"/>
    </xf>
    <xf numFmtId="10" fontId="0" fillId="11" borderId="20" xfId="0" applyNumberFormat="1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165" fontId="0" fillId="11" borderId="37" xfId="0" applyNumberFormat="1" applyFill="1" applyBorder="1" applyAlignment="1">
      <alignment horizontal="center"/>
    </xf>
    <xf numFmtId="165" fontId="0" fillId="11" borderId="38" xfId="0" applyNumberFormat="1" applyFill="1" applyBorder="1" applyAlignment="1">
      <alignment horizontal="center"/>
    </xf>
    <xf numFmtId="165" fontId="0" fillId="11" borderId="2" xfId="0" applyNumberFormat="1" applyFill="1" applyBorder="1" applyAlignment="1">
      <alignment horizontal="center"/>
    </xf>
    <xf numFmtId="165" fontId="0" fillId="11" borderId="3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 vertical="center"/>
    </xf>
    <xf numFmtId="165" fontId="0" fillId="11" borderId="7" xfId="0" applyNumberForma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/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164" fontId="8" fillId="6" borderId="8" xfId="0" applyNumberFormat="1" applyFont="1" applyFill="1" applyBorder="1" applyAlignment="1">
      <alignment horizontal="center" vertical="center"/>
    </xf>
    <xf numFmtId="164" fontId="8" fillId="6" borderId="9" xfId="0" applyNumberFormat="1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0" xfId="0" applyFont="1" applyFill="1" applyBorder="1" applyAlignment="1">
      <alignment horizontal="center" vertical="center"/>
    </xf>
    <xf numFmtId="164" fontId="8" fillId="6" borderId="20" xfId="0" applyNumberFormat="1" applyFont="1" applyFill="1" applyBorder="1" applyAlignment="1">
      <alignment horizontal="center" vertical="center"/>
    </xf>
    <xf numFmtId="164" fontId="8" fillId="6" borderId="21" xfId="0" applyNumberFormat="1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65" fontId="8" fillId="6" borderId="2" xfId="0" applyNumberFormat="1" applyFont="1" applyFill="1" applyBorder="1" applyProtection="1">
      <protection hidden="1"/>
    </xf>
    <xf numFmtId="165" fontId="8" fillId="6" borderId="3" xfId="0" applyNumberFormat="1" applyFont="1" applyFill="1" applyBorder="1" applyProtection="1">
      <protection hidden="1"/>
    </xf>
    <xf numFmtId="0" fontId="0" fillId="6" borderId="43" xfId="0" applyFill="1" applyBorder="1" applyAlignment="1">
      <alignment horizontal="left" vertical="center"/>
    </xf>
    <xf numFmtId="0" fontId="0" fillId="6" borderId="35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66" fontId="0" fillId="6" borderId="7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9" xfId="0" applyNumberFormat="1" applyFill="1" applyBorder="1" applyAlignment="1">
      <alignment horizontal="center" vertical="center"/>
    </xf>
    <xf numFmtId="0" fontId="0" fillId="6" borderId="42" xfId="0" quotePrefix="1" applyFill="1" applyBorder="1" applyAlignment="1">
      <alignment horizontal="center" vertical="center"/>
    </xf>
    <xf numFmtId="0" fontId="0" fillId="6" borderId="28" xfId="0" applyFill="1" applyBorder="1" applyAlignment="1">
      <alignment horizontal="left" vertical="center"/>
    </xf>
    <xf numFmtId="0" fontId="4" fillId="6" borderId="29" xfId="0" applyFont="1" applyFill="1" applyBorder="1" applyAlignment="1">
      <alignment horizontal="center" vertical="center"/>
    </xf>
    <xf numFmtId="0" fontId="0" fillId="6" borderId="53" xfId="0" applyFill="1" applyBorder="1" applyAlignment="1">
      <alignment horizontal="center" vertical="center"/>
    </xf>
    <xf numFmtId="165" fontId="0" fillId="6" borderId="28" xfId="0" applyNumberForma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left" vertical="center"/>
    </xf>
    <xf numFmtId="166" fontId="8" fillId="6" borderId="7" xfId="0" applyNumberFormat="1" applyFont="1" applyFill="1" applyBorder="1" applyAlignment="1">
      <alignment horizontal="center" vertical="center"/>
    </xf>
    <xf numFmtId="166" fontId="8" fillId="6" borderId="8" xfId="0" applyNumberFormat="1" applyFont="1" applyFill="1" applyBorder="1" applyAlignment="1">
      <alignment horizontal="center" vertical="center"/>
    </xf>
    <xf numFmtId="166" fontId="8" fillId="6" borderId="9" xfId="0" applyNumberFormat="1" applyFont="1" applyFill="1" applyBorder="1" applyAlignment="1">
      <alignment horizontal="center" vertical="center"/>
    </xf>
    <xf numFmtId="0" fontId="0" fillId="6" borderId="19" xfId="0" applyFill="1" applyBorder="1" applyAlignment="1">
      <alignment horizontal="left" vertical="center"/>
    </xf>
    <xf numFmtId="0" fontId="0" fillId="6" borderId="20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horizontal="center" vertical="center"/>
    </xf>
    <xf numFmtId="165" fontId="8" fillId="6" borderId="21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6" borderId="3" xfId="0" applyFill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13" fillId="7" borderId="0" xfId="0" applyFont="1" applyFill="1" applyAlignment="1">
      <alignment shrinkToFit="1"/>
    </xf>
    <xf numFmtId="0" fontId="0" fillId="11" borderId="1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4" borderId="14" xfId="0" applyFill="1" applyBorder="1" applyAlignment="1"/>
    <xf numFmtId="0" fontId="0" fillId="4" borderId="0" xfId="0" applyFill="1" applyBorder="1" applyAlignment="1">
      <alignment horizontal="center" vertical="center" shrinkToFit="1"/>
    </xf>
    <xf numFmtId="0" fontId="15" fillId="0" borderId="8" xfId="0" applyFont="1" applyBorder="1" applyAlignment="1">
      <alignment horizontal="center" vertical="center" wrapText="1"/>
    </xf>
    <xf numFmtId="165" fontId="15" fillId="0" borderId="8" xfId="0" applyNumberFormat="1" applyFont="1" applyFill="1" applyBorder="1" applyAlignment="1">
      <alignment horizontal="center" vertical="center"/>
    </xf>
    <xf numFmtId="165" fontId="15" fillId="0" borderId="20" xfId="0" applyNumberFormat="1" applyFont="1" applyFill="1" applyBorder="1" applyAlignment="1">
      <alignment horizontal="center" vertical="center"/>
    </xf>
    <xf numFmtId="11" fontId="0" fillId="6" borderId="8" xfId="0" applyNumberFormat="1" applyFill="1" applyBorder="1" applyAlignment="1">
      <alignment horizontal="center"/>
    </xf>
    <xf numFmtId="166" fontId="0" fillId="4" borderId="0" xfId="0" applyNumberFormat="1" applyFill="1"/>
    <xf numFmtId="0" fontId="4" fillId="6" borderId="2" xfId="0" applyFont="1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166" fontId="0" fillId="6" borderId="7" xfId="0" applyNumberFormat="1" applyFill="1" applyBorder="1"/>
    <xf numFmtId="11" fontId="0" fillId="6" borderId="9" xfId="0" applyNumberFormat="1" applyFill="1" applyBorder="1" applyAlignment="1">
      <alignment horizontal="center"/>
    </xf>
    <xf numFmtId="11" fontId="8" fillId="6" borderId="7" xfId="0" applyNumberFormat="1" applyFont="1" applyFill="1" applyBorder="1" applyAlignment="1">
      <alignment horizontal="center"/>
    </xf>
    <xf numFmtId="11" fontId="8" fillId="6" borderId="8" xfId="0" applyNumberFormat="1" applyFont="1" applyFill="1" applyBorder="1" applyAlignment="1">
      <alignment horizontal="center"/>
    </xf>
    <xf numFmtId="11" fontId="8" fillId="6" borderId="9" xfId="0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0" fontId="0" fillId="4" borderId="0" xfId="0" applyFill="1" applyBorder="1" applyAlignment="1">
      <alignment shrinkToFit="1"/>
    </xf>
    <xf numFmtId="0" fontId="0" fillId="4" borderId="2" xfId="0" applyFill="1" applyBorder="1" applyAlignment="1">
      <alignment horizontal="center" shrinkToFit="1"/>
    </xf>
    <xf numFmtId="0" fontId="0" fillId="4" borderId="8" xfId="0" applyFill="1" applyBorder="1" applyAlignment="1">
      <alignment horizontal="center" shrinkToFit="1"/>
    </xf>
    <xf numFmtId="167" fontId="0" fillId="4" borderId="20" xfId="0" applyNumberFormat="1" applyFill="1" applyBorder="1" applyAlignment="1">
      <alignment horizontal="center" shrinkToFit="1"/>
    </xf>
    <xf numFmtId="0" fontId="8" fillId="4" borderId="8" xfId="0" applyFont="1" applyFill="1" applyBorder="1" applyAlignment="1">
      <alignment horizontal="center" vertical="center" shrinkToFit="1"/>
    </xf>
    <xf numFmtId="0" fontId="0" fillId="4" borderId="0" xfId="0" applyFill="1" applyBorder="1" applyAlignment="1">
      <alignment horizontal="center" shrinkToFit="1"/>
    </xf>
    <xf numFmtId="0" fontId="8" fillId="6" borderId="2" xfId="0" applyFont="1" applyFill="1" applyBorder="1" applyAlignment="1">
      <alignment horizontal="center" vertical="center" shrinkToFit="1"/>
    </xf>
    <xf numFmtId="164" fontId="8" fillId="10" borderId="8" xfId="0" applyNumberFormat="1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164" fontId="8" fillId="6" borderId="20" xfId="0" applyNumberFormat="1" applyFont="1" applyFill="1" applyBorder="1" applyAlignment="1">
      <alignment horizontal="center" vertical="center" shrinkToFit="1"/>
    </xf>
    <xf numFmtId="0" fontId="8" fillId="6" borderId="37" xfId="0" applyFont="1" applyFill="1" applyBorder="1" applyAlignment="1">
      <alignment horizontal="center" vertical="center" shrinkToFit="1"/>
    </xf>
    <xf numFmtId="165" fontId="8" fillId="8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0" fontId="2" fillId="4" borderId="0" xfId="0" applyFont="1" applyFill="1" applyAlignment="1">
      <alignment shrinkToFit="1"/>
    </xf>
    <xf numFmtId="165" fontId="8" fillId="9" borderId="37" xfId="0" applyNumberFormat="1" applyFont="1" applyFill="1" applyBorder="1" applyAlignment="1" applyProtection="1">
      <alignment shrinkToFit="1"/>
      <protection hidden="1"/>
    </xf>
    <xf numFmtId="165" fontId="8" fillId="6" borderId="2" xfId="0" applyNumberFormat="1" applyFont="1" applyFill="1" applyBorder="1" applyAlignment="1" applyProtection="1">
      <alignment shrinkToFit="1"/>
      <protection hidden="1"/>
    </xf>
    <xf numFmtId="165" fontId="0" fillId="4" borderId="0" xfId="0" applyNumberFormat="1" applyFill="1" applyAlignment="1">
      <alignment shrinkToFit="1"/>
    </xf>
    <xf numFmtId="0" fontId="0" fillId="0" borderId="40" xfId="0" applyBorder="1" applyAlignment="1">
      <alignment horizontal="center" vertical="center" shrinkToFit="1"/>
    </xf>
    <xf numFmtId="165" fontId="0" fillId="6" borderId="2" xfId="0" applyNumberFormat="1" applyFill="1" applyBorder="1" applyAlignment="1">
      <alignment horizontal="center" vertical="center" shrinkToFit="1"/>
    </xf>
    <xf numFmtId="165" fontId="0" fillId="6" borderId="8" xfId="0" applyNumberFormat="1" applyFill="1" applyBorder="1" applyAlignment="1">
      <alignment horizontal="center" vertical="center" shrinkToFit="1"/>
    </xf>
    <xf numFmtId="166" fontId="0" fillId="6" borderId="8" xfId="0" applyNumberFormat="1" applyFill="1" applyBorder="1" applyAlignment="1">
      <alignment horizontal="center" vertical="center" shrinkToFit="1"/>
    </xf>
    <xf numFmtId="165" fontId="0" fillId="6" borderId="29" xfId="0" applyNumberFormat="1" applyFill="1" applyBorder="1" applyAlignment="1">
      <alignment horizontal="center" vertical="center" shrinkToFit="1"/>
    </xf>
    <xf numFmtId="166" fontId="8" fillId="6" borderId="8" xfId="0" applyNumberFormat="1" applyFont="1" applyFill="1" applyBorder="1" applyAlignment="1">
      <alignment horizontal="center" vertical="center" shrinkToFit="1"/>
    </xf>
    <xf numFmtId="166" fontId="0" fillId="6" borderId="8" xfId="0" applyNumberFormat="1" applyFill="1" applyBorder="1" applyAlignment="1">
      <alignment shrinkToFit="1"/>
    </xf>
    <xf numFmtId="165" fontId="8" fillId="6" borderId="20" xfId="0" applyNumberFormat="1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 shrinkToFit="1"/>
    </xf>
    <xf numFmtId="0" fontId="0" fillId="7" borderId="8" xfId="0" applyFill="1" applyBorder="1" applyAlignment="1">
      <alignment horizontal="center" vertical="center" shrinkToFit="1"/>
    </xf>
    <xf numFmtId="0" fontId="0" fillId="7" borderId="20" xfId="0" applyFill="1" applyBorder="1" applyAlignment="1">
      <alignment horizontal="center" vertical="center" shrinkToFit="1"/>
    </xf>
    <xf numFmtId="0" fontId="8" fillId="4" borderId="5" xfId="0" applyFont="1" applyFill="1" applyBorder="1" applyAlignment="1">
      <alignment horizontal="center" shrinkToFit="1"/>
    </xf>
    <xf numFmtId="0" fontId="8" fillId="4" borderId="0" xfId="0" applyFont="1" applyFill="1" applyAlignment="1">
      <alignment horizontal="center" vertical="center" shrinkToFit="1"/>
    </xf>
    <xf numFmtId="0" fontId="8" fillId="0" borderId="40" xfId="0" applyFont="1" applyBorder="1" applyAlignment="1">
      <alignment horizontal="center" vertical="center" shrinkToFit="1"/>
    </xf>
    <xf numFmtId="11" fontId="8" fillId="6" borderId="8" xfId="0" applyNumberFormat="1" applyFont="1" applyFill="1" applyBorder="1" applyAlignment="1">
      <alignment horizontal="center" shrinkToFit="1"/>
    </xf>
    <xf numFmtId="0" fontId="8" fillId="6" borderId="20" xfId="0" applyFont="1" applyFill="1" applyBorder="1" applyAlignment="1">
      <alignment horizontal="center" vertical="center" shrinkToFit="1"/>
    </xf>
    <xf numFmtId="165" fontId="0" fillId="11" borderId="2" xfId="0" applyNumberFormat="1" applyFill="1" applyBorder="1" applyAlignment="1">
      <alignment horizontal="center" shrinkToFit="1"/>
    </xf>
    <xf numFmtId="165" fontId="0" fillId="11" borderId="8" xfId="0" applyNumberFormat="1" applyFill="1" applyBorder="1" applyAlignment="1">
      <alignment horizontal="center" shrinkToFit="1"/>
    </xf>
    <xf numFmtId="165" fontId="0" fillId="11" borderId="20" xfId="0" applyNumberFormat="1" applyFill="1" applyBorder="1" applyAlignment="1">
      <alignment horizontal="center" shrinkToFit="1"/>
    </xf>
    <xf numFmtId="165" fontId="0" fillId="11" borderId="37" xfId="0" applyNumberFormat="1" applyFill="1" applyBorder="1" applyAlignment="1">
      <alignment horizontal="center" shrinkToFit="1"/>
    </xf>
    <xf numFmtId="0" fontId="0" fillId="4" borderId="14" xfId="0" applyFill="1" applyBorder="1" applyAlignment="1">
      <alignment shrinkToFit="1"/>
    </xf>
    <xf numFmtId="165" fontId="15" fillId="0" borderId="8" xfId="0" applyNumberFormat="1" applyFont="1" applyFill="1" applyBorder="1" applyAlignment="1">
      <alignment horizontal="center" vertical="center" shrinkToFit="1"/>
    </xf>
    <xf numFmtId="165" fontId="15" fillId="0" borderId="20" xfId="0" applyNumberFormat="1" applyFont="1" applyFill="1" applyBorder="1" applyAlignment="1">
      <alignment horizontal="center" vertical="center" shrinkToFit="1"/>
    </xf>
    <xf numFmtId="0" fontId="0" fillId="4" borderId="0" xfId="0" applyFont="1" applyFill="1" applyAlignment="1">
      <alignment shrinkToFit="1"/>
    </xf>
    <xf numFmtId="0" fontId="2" fillId="4" borderId="0" xfId="0" applyFont="1" applyFill="1" applyBorder="1" applyAlignment="1">
      <alignment horizontal="center" shrinkToFit="1"/>
    </xf>
    <xf numFmtId="164" fontId="2" fillId="4" borderId="0" xfId="0" applyNumberFormat="1" applyFont="1" applyFill="1" applyBorder="1" applyAlignment="1">
      <alignment horizontal="center" shrinkToFit="1"/>
    </xf>
    <xf numFmtId="11" fontId="0" fillId="4" borderId="0" xfId="0" applyNumberFormat="1" applyFill="1" applyAlignment="1">
      <alignment shrinkToFit="1"/>
    </xf>
    <xf numFmtId="0" fontId="14" fillId="7" borderId="34" xfId="0" applyFont="1" applyFill="1" applyBorder="1" applyAlignment="1">
      <alignment horizontal="center" shrinkToFit="1"/>
    </xf>
    <xf numFmtId="0" fontId="0" fillId="7" borderId="34" xfId="0" applyFill="1" applyBorder="1" applyAlignment="1">
      <alignment horizontal="center" shrinkToFit="1"/>
    </xf>
    <xf numFmtId="0" fontId="14" fillId="7" borderId="0" xfId="0" applyFont="1" applyFill="1" applyBorder="1" applyAlignment="1">
      <alignment horizontal="center" shrinkToFit="1"/>
    </xf>
    <xf numFmtId="0" fontId="0" fillId="7" borderId="0" xfId="0" applyFill="1" applyBorder="1" applyAlignment="1">
      <alignment horizontal="center" shrinkToFit="1"/>
    </xf>
    <xf numFmtId="165" fontId="0" fillId="11" borderId="12" xfId="0" applyNumberFormat="1" applyFill="1" applyBorder="1" applyAlignment="1">
      <alignment shrinkToFit="1"/>
    </xf>
    <xf numFmtId="0" fontId="0" fillId="11" borderId="18" xfId="0" applyFill="1" applyBorder="1" applyAlignment="1">
      <alignment shrinkToFit="1"/>
    </xf>
    <xf numFmtId="165" fontId="0" fillId="11" borderId="54" xfId="0" applyNumberFormat="1" applyFill="1" applyBorder="1" applyAlignment="1">
      <alignment shrinkToFit="1"/>
    </xf>
    <xf numFmtId="0" fontId="2" fillId="4" borderId="0" xfId="0" applyFont="1" applyFill="1" applyBorder="1" applyAlignment="1">
      <alignment shrinkToFit="1"/>
    </xf>
    <xf numFmtId="166" fontId="0" fillId="4" borderId="0" xfId="0" applyNumberFormat="1" applyFill="1" applyAlignment="1">
      <alignment shrinkToFit="1"/>
    </xf>
    <xf numFmtId="10" fontId="0" fillId="4" borderId="0" xfId="0" applyNumberFormat="1" applyFill="1" applyAlignment="1">
      <alignment shrinkToFit="1"/>
    </xf>
    <xf numFmtId="165" fontId="8" fillId="4" borderId="0" xfId="0" applyNumberFormat="1" applyFont="1" applyFill="1"/>
    <xf numFmtId="165" fontId="8" fillId="6" borderId="1" xfId="0" applyNumberFormat="1" applyFont="1" applyFill="1" applyBorder="1" applyAlignment="1">
      <alignment horizontal="left" vertical="center"/>
    </xf>
    <xf numFmtId="165" fontId="8" fillId="6" borderId="2" xfId="0" applyNumberFormat="1" applyFont="1" applyFill="1" applyBorder="1" applyAlignment="1">
      <alignment horizontal="center" vertical="center"/>
    </xf>
    <xf numFmtId="165" fontId="8" fillId="6" borderId="3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 shrinkToFit="1"/>
    </xf>
    <xf numFmtId="165" fontId="8" fillId="6" borderId="3" xfId="0" applyNumberFormat="1" applyFont="1" applyFill="1" applyBorder="1" applyAlignment="1">
      <alignment horizontal="center" vertical="center" shrinkToFit="1"/>
    </xf>
    <xf numFmtId="165" fontId="8" fillId="2" borderId="7" xfId="0" applyNumberFormat="1" applyFont="1" applyFill="1" applyBorder="1" applyAlignment="1">
      <alignment horizontal="left" vertical="center"/>
    </xf>
    <xf numFmtId="10" fontId="8" fillId="2" borderId="8" xfId="1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left" vertical="center" shrinkToFit="1"/>
    </xf>
    <xf numFmtId="165" fontId="8" fillId="6" borderId="8" xfId="0" applyNumberFormat="1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 shrinkToFit="1"/>
    </xf>
    <xf numFmtId="165" fontId="8" fillId="6" borderId="9" xfId="0" applyNumberFormat="1" applyFont="1" applyFill="1" applyBorder="1" applyAlignment="1">
      <alignment horizontal="center" vertical="center" shrinkToFit="1"/>
    </xf>
    <xf numFmtId="165" fontId="8" fillId="6" borderId="7" xfId="0" applyNumberFormat="1" applyFont="1" applyFill="1" applyBorder="1" applyAlignment="1">
      <alignment horizontal="left" vertical="center"/>
    </xf>
    <xf numFmtId="10" fontId="8" fillId="6" borderId="8" xfId="1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left" vertical="center"/>
    </xf>
    <xf numFmtId="165" fontId="8" fillId="6" borderId="19" xfId="0" applyNumberFormat="1" applyFont="1" applyFill="1" applyBorder="1" applyAlignment="1">
      <alignment horizontal="center" vertical="center" shrinkToFit="1"/>
    </xf>
    <xf numFmtId="165" fontId="8" fillId="6" borderId="20" xfId="0" applyNumberFormat="1" applyFont="1" applyFill="1" applyBorder="1" applyAlignment="1">
      <alignment horizontal="center"/>
    </xf>
    <xf numFmtId="165" fontId="8" fillId="6" borderId="21" xfId="0" applyNumberFormat="1" applyFont="1" applyFill="1" applyBorder="1" applyAlignment="1">
      <alignment horizontal="center" vertical="center" shrinkToFit="1"/>
    </xf>
    <xf numFmtId="165" fontId="8" fillId="4" borderId="0" xfId="0" applyNumberFormat="1" applyFont="1" applyFill="1" applyBorder="1" applyAlignment="1">
      <alignment vertical="center"/>
    </xf>
    <xf numFmtId="165" fontId="8" fillId="4" borderId="0" xfId="0" applyNumberFormat="1" applyFont="1" applyFill="1" applyAlignment="1">
      <alignment shrinkToFit="1"/>
    </xf>
    <xf numFmtId="165" fontId="8" fillId="6" borderId="28" xfId="0" applyNumberFormat="1" applyFont="1" applyFill="1" applyBorder="1" applyAlignment="1">
      <alignment horizontal="left" vertical="center" shrinkToFit="1"/>
    </xf>
    <xf numFmtId="165" fontId="8" fillId="6" borderId="29" xfId="0" applyNumberFormat="1" applyFont="1" applyFill="1" applyBorder="1" applyAlignment="1">
      <alignment horizontal="center" vertical="center"/>
    </xf>
    <xf numFmtId="165" fontId="8" fillId="6" borderId="30" xfId="0" applyNumberFormat="1" applyFont="1" applyFill="1" applyBorder="1" applyAlignment="1">
      <alignment horizontal="center" vertical="center"/>
    </xf>
    <xf numFmtId="165" fontId="8" fillId="6" borderId="8" xfId="0" applyNumberFormat="1" applyFont="1" applyFill="1" applyBorder="1" applyAlignment="1">
      <alignment horizontal="center"/>
    </xf>
    <xf numFmtId="165" fontId="8" fillId="6" borderId="43" xfId="0" applyNumberFormat="1" applyFont="1" applyFill="1" applyBorder="1" applyAlignment="1">
      <alignment horizontal="left" vertical="center"/>
    </xf>
    <xf numFmtId="165" fontId="8" fillId="6" borderId="35" xfId="0" applyNumberFormat="1" applyFont="1" applyFill="1" applyBorder="1" applyAlignment="1">
      <alignment horizontal="center" vertical="center"/>
    </xf>
    <xf numFmtId="165" fontId="8" fillId="6" borderId="44" xfId="0" applyNumberFormat="1" applyFont="1" applyFill="1" applyBorder="1" applyAlignment="1">
      <alignment horizontal="center" vertical="center"/>
    </xf>
    <xf numFmtId="165" fontId="8" fillId="6" borderId="21" xfId="0" applyNumberFormat="1" applyFont="1" applyFill="1" applyBorder="1" applyAlignment="1">
      <alignment vertical="center" shrinkToFit="1"/>
    </xf>
    <xf numFmtId="0" fontId="8" fillId="4" borderId="0" xfId="0" applyFont="1" applyFill="1" applyAlignment="1">
      <alignment shrinkToFit="1"/>
    </xf>
    <xf numFmtId="0" fontId="8" fillId="4" borderId="0" xfId="0" applyFont="1" applyFill="1"/>
    <xf numFmtId="0" fontId="8" fillId="6" borderId="2" xfId="0" applyFont="1" applyFill="1" applyBorder="1"/>
    <xf numFmtId="0" fontId="8" fillId="6" borderId="3" xfId="0" applyFont="1" applyFill="1" applyBorder="1" applyAlignment="1">
      <alignment shrinkToFit="1"/>
    </xf>
    <xf numFmtId="165" fontId="8" fillId="6" borderId="19" xfId="0" applyNumberFormat="1" applyFont="1" applyFill="1" applyBorder="1" applyAlignment="1">
      <alignment vertical="center" shrinkToFit="1"/>
    </xf>
    <xf numFmtId="165" fontId="8" fillId="6" borderId="20" xfId="0" applyNumberFormat="1" applyFont="1" applyFill="1" applyBorder="1" applyAlignment="1">
      <alignment vertical="center"/>
    </xf>
    <xf numFmtId="165" fontId="8" fillId="4" borderId="0" xfId="0" applyNumberFormat="1" applyFont="1" applyFill="1" applyBorder="1" applyAlignment="1">
      <alignment vertical="center" shrinkToFit="1"/>
    </xf>
    <xf numFmtId="165" fontId="8" fillId="4" borderId="0" xfId="0" applyNumberFormat="1" applyFont="1" applyFill="1" applyBorder="1" applyAlignment="1">
      <alignment horizontal="left" vertical="center"/>
    </xf>
    <xf numFmtId="165" fontId="8" fillId="4" borderId="0" xfId="0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left" vertical="center" shrinkToFit="1"/>
    </xf>
    <xf numFmtId="0" fontId="8" fillId="6" borderId="19" xfId="0" applyFont="1" applyFill="1" applyBorder="1" applyAlignment="1">
      <alignment horizontal="center" shrinkToFit="1"/>
    </xf>
    <xf numFmtId="165" fontId="8" fillId="6" borderId="21" xfId="0" applyNumberFormat="1" applyFont="1" applyFill="1" applyBorder="1" applyAlignment="1">
      <alignment horizontal="center" shrinkToFit="1"/>
    </xf>
    <xf numFmtId="165" fontId="8" fillId="6" borderId="36" xfId="0" applyNumberFormat="1" applyFont="1" applyFill="1" applyBorder="1" applyAlignment="1">
      <alignment horizontal="left" vertical="center"/>
    </xf>
    <xf numFmtId="0" fontId="8" fillId="0" borderId="5" xfId="0" applyFont="1" applyBorder="1"/>
    <xf numFmtId="165" fontId="8" fillId="3" borderId="38" xfId="0" applyNumberFormat="1" applyFont="1" applyFill="1" applyBorder="1" applyAlignment="1">
      <alignment horizontal="center" vertical="center"/>
    </xf>
    <xf numFmtId="165" fontId="8" fillId="9" borderId="36" xfId="0" applyNumberFormat="1" applyFont="1" applyFill="1" applyBorder="1" applyAlignment="1">
      <alignment horizontal="left" vertical="center"/>
    </xf>
    <xf numFmtId="0" fontId="8" fillId="9" borderId="37" xfId="0" applyFont="1" applyFill="1" applyBorder="1"/>
    <xf numFmtId="0" fontId="8" fillId="9" borderId="37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0" xfId="0" applyFont="1" applyFill="1" applyBorder="1"/>
    <xf numFmtId="165" fontId="8" fillId="4" borderId="0" xfId="0" applyNumberFormat="1" applyFont="1" applyFill="1" applyBorder="1"/>
    <xf numFmtId="0" fontId="8" fillId="6" borderId="2" xfId="0" applyFont="1" applyFill="1" applyBorder="1" applyAlignment="1">
      <alignment horizontal="center"/>
    </xf>
    <xf numFmtId="165" fontId="8" fillId="6" borderId="2" xfId="0" applyNumberFormat="1" applyFont="1" applyFill="1" applyBorder="1"/>
    <xf numFmtId="0" fontId="8" fillId="6" borderId="8" xfId="0" applyFont="1" applyFill="1" applyBorder="1"/>
    <xf numFmtId="0" fontId="8" fillId="6" borderId="8" xfId="0" applyFont="1" applyFill="1" applyBorder="1" applyAlignment="1">
      <alignment horizontal="center"/>
    </xf>
    <xf numFmtId="165" fontId="8" fillId="6" borderId="8" xfId="0" applyNumberFormat="1" applyFont="1" applyFill="1" applyBorder="1"/>
    <xf numFmtId="165" fontId="8" fillId="6" borderId="8" xfId="0" applyNumberFormat="1" applyFont="1" applyFill="1" applyBorder="1" applyAlignment="1">
      <alignment shrinkToFit="1"/>
    </xf>
    <xf numFmtId="165" fontId="8" fillId="6" borderId="9" xfId="0" applyNumberFormat="1" applyFont="1" applyFill="1" applyBorder="1"/>
    <xf numFmtId="165" fontId="8" fillId="12" borderId="7" xfId="0" applyNumberFormat="1" applyFont="1" applyFill="1" applyBorder="1"/>
    <xf numFmtId="0" fontId="8" fillId="12" borderId="8" xfId="0" applyFont="1" applyFill="1" applyBorder="1"/>
    <xf numFmtId="0" fontId="8" fillId="12" borderId="8" xfId="0" applyFont="1" applyFill="1" applyBorder="1" applyAlignment="1">
      <alignment horizontal="center"/>
    </xf>
    <xf numFmtId="165" fontId="8" fillId="12" borderId="8" xfId="0" applyNumberFormat="1" applyFont="1" applyFill="1" applyBorder="1"/>
    <xf numFmtId="165" fontId="8" fillId="12" borderId="8" xfId="0" applyNumberFormat="1" applyFont="1" applyFill="1" applyBorder="1" applyAlignment="1">
      <alignment shrinkToFit="1"/>
    </xf>
    <xf numFmtId="165" fontId="8" fillId="12" borderId="9" xfId="0" applyNumberFormat="1" applyFont="1" applyFill="1" applyBorder="1"/>
    <xf numFmtId="165" fontId="8" fillId="12" borderId="7" xfId="0" applyNumberFormat="1" applyFont="1" applyFill="1" applyBorder="1" applyAlignment="1">
      <alignment horizontal="left" vertical="center"/>
    </xf>
    <xf numFmtId="165" fontId="8" fillId="6" borderId="7" xfId="0" applyNumberFormat="1" applyFont="1" applyFill="1" applyBorder="1"/>
    <xf numFmtId="165" fontId="8" fillId="6" borderId="19" xfId="0" applyNumberFormat="1" applyFont="1" applyFill="1" applyBorder="1"/>
    <xf numFmtId="165" fontId="8" fillId="6" borderId="20" xfId="0" applyNumberFormat="1" applyFont="1" applyFill="1" applyBorder="1"/>
    <xf numFmtId="165" fontId="8" fillId="6" borderId="20" xfId="0" applyNumberFormat="1" applyFont="1" applyFill="1" applyBorder="1" applyAlignment="1">
      <alignment shrinkToFit="1"/>
    </xf>
    <xf numFmtId="165" fontId="8" fillId="6" borderId="21" xfId="0" applyNumberFormat="1" applyFont="1" applyFill="1" applyBorder="1"/>
    <xf numFmtId="165" fontId="0" fillId="5" borderId="8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 shrinkToFit="1"/>
    </xf>
    <xf numFmtId="165" fontId="0" fillId="8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 shrinkToFit="1"/>
    </xf>
    <xf numFmtId="0" fontId="10" fillId="8" borderId="8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 shrinkToFit="1"/>
    </xf>
    <xf numFmtId="0" fontId="8" fillId="8" borderId="3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165" fontId="8" fillId="8" borderId="9" xfId="0" applyNumberFormat="1" applyFont="1" applyFill="1" applyBorder="1" applyAlignment="1">
      <alignment horizontal="center" vertical="center"/>
    </xf>
    <xf numFmtId="165" fontId="0" fillId="8" borderId="9" xfId="0" applyNumberFormat="1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8" fillId="8" borderId="19" xfId="0" applyFont="1" applyFill="1" applyBorder="1" applyAlignment="1">
      <alignment horizontal="center" vertical="center"/>
    </xf>
    <xf numFmtId="0" fontId="8" fillId="8" borderId="20" xfId="0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 shrinkToFit="1"/>
    </xf>
    <xf numFmtId="165" fontId="8" fillId="8" borderId="21" xfId="0" applyNumberFormat="1" applyFont="1" applyFill="1" applyBorder="1" applyAlignment="1">
      <alignment horizontal="center" vertical="center"/>
    </xf>
    <xf numFmtId="0" fontId="8" fillId="8" borderId="45" xfId="0" applyFont="1" applyFill="1" applyBorder="1" applyAlignment="1">
      <alignment horizontal="center" vertical="center"/>
    </xf>
    <xf numFmtId="165" fontId="8" fillId="8" borderId="46" xfId="0" applyNumberFormat="1" applyFont="1" applyFill="1" applyBorder="1" applyAlignment="1">
      <alignment horizontal="center" vertical="center"/>
    </xf>
    <xf numFmtId="165" fontId="0" fillId="8" borderId="46" xfId="0" applyNumberFormat="1" applyFill="1" applyBorder="1" applyAlignment="1">
      <alignment horizontal="center"/>
    </xf>
    <xf numFmtId="165" fontId="8" fillId="8" borderId="47" xfId="0" applyNumberFormat="1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8" fillId="8" borderId="21" xfId="0" applyFont="1" applyFill="1" applyBorder="1" applyAlignment="1">
      <alignment horizontal="center" vertical="center"/>
    </xf>
    <xf numFmtId="165" fontId="0" fillId="5" borderId="46" xfId="0" applyNumberFormat="1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167" fontId="0" fillId="4" borderId="47" xfId="0" applyNumberFormat="1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46" xfId="0" applyFill="1" applyBorder="1" applyAlignment="1">
      <alignment horizontal="center" shrinkToFit="1"/>
    </xf>
    <xf numFmtId="0" fontId="0" fillId="4" borderId="9" xfId="0" applyFill="1" applyBorder="1" applyAlignment="1">
      <alignment horizontal="center" shrinkToFit="1"/>
    </xf>
    <xf numFmtId="0" fontId="8" fillId="11" borderId="28" xfId="0" applyFont="1" applyFill="1" applyBorder="1" applyAlignment="1">
      <alignment horizontal="center" vertical="center"/>
    </xf>
    <xf numFmtId="0" fontId="8" fillId="11" borderId="29" xfId="0" applyFont="1" applyFill="1" applyBorder="1" applyAlignment="1">
      <alignment horizontal="center" vertical="center"/>
    </xf>
    <xf numFmtId="165" fontId="0" fillId="11" borderId="29" xfId="0" applyNumberFormat="1" applyFill="1" applyBorder="1" applyAlignment="1">
      <alignment horizontal="center"/>
    </xf>
    <xf numFmtId="165" fontId="0" fillId="11" borderId="29" xfId="0" applyNumberFormat="1" applyFill="1" applyBorder="1" applyAlignment="1">
      <alignment horizontal="center" shrinkToFit="1"/>
    </xf>
    <xf numFmtId="165" fontId="0" fillId="11" borderId="30" xfId="0" applyNumberFormat="1" applyFill="1" applyBorder="1" applyAlignment="1">
      <alignment horizontal="center"/>
    </xf>
    <xf numFmtId="0" fontId="8" fillId="0" borderId="13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165" fontId="8" fillId="9" borderId="38" xfId="0" applyNumberFormat="1" applyFont="1" applyFill="1" applyBorder="1" applyProtection="1">
      <protection hidden="1"/>
    </xf>
    <xf numFmtId="0" fontId="15" fillId="0" borderId="8" xfId="0" applyFont="1" applyBorder="1" applyAlignment="1">
      <alignment horizontal="center" vertical="center" wrapText="1" shrinkToFit="1"/>
    </xf>
    <xf numFmtId="0" fontId="0" fillId="4" borderId="14" xfId="0" applyFill="1" applyBorder="1" applyAlignment="1">
      <alignment horizontal="center" vertical="center"/>
    </xf>
    <xf numFmtId="0" fontId="0" fillId="0" borderId="56" xfId="0" applyBorder="1" applyAlignment="1"/>
    <xf numFmtId="0" fontId="0" fillId="0" borderId="0" xfId="0" applyBorder="1"/>
    <xf numFmtId="168" fontId="8" fillId="8" borderId="46" xfId="0" applyNumberFormat="1" applyFont="1" applyFill="1" applyBorder="1" applyAlignment="1">
      <alignment horizontal="center" vertical="center"/>
    </xf>
    <xf numFmtId="168" fontId="8" fillId="8" borderId="8" xfId="0" applyNumberFormat="1" applyFont="1" applyFill="1" applyBorder="1" applyAlignment="1">
      <alignment horizontal="center" vertical="center"/>
    </xf>
    <xf numFmtId="168" fontId="8" fillId="8" borderId="9" xfId="0" applyNumberFormat="1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5" fontId="0" fillId="13" borderId="55" xfId="0" applyNumberFormat="1" applyFill="1" applyBorder="1" applyAlignment="1">
      <alignment horizontal="center" vertical="center"/>
    </xf>
    <xf numFmtId="165" fontId="0" fillId="13" borderId="35" xfId="0" applyNumberFormat="1" applyFill="1" applyBorder="1" applyAlignment="1">
      <alignment horizontal="center" vertical="center" shrinkToFit="1"/>
    </xf>
    <xf numFmtId="165" fontId="0" fillId="13" borderId="35" xfId="0" applyNumberFormat="1" applyFill="1" applyBorder="1" applyAlignment="1">
      <alignment horizontal="center" vertical="center"/>
    </xf>
    <xf numFmtId="165" fontId="0" fillId="13" borderId="44" xfId="0" applyNumberForma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13" borderId="8" xfId="0" applyFont="1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165" fontId="0" fillId="13" borderId="46" xfId="0" applyNumberFormat="1" applyFill="1" applyBorder="1" applyAlignment="1">
      <alignment horizontal="center" vertical="center"/>
    </xf>
    <xf numFmtId="165" fontId="0" fillId="13" borderId="8" xfId="0" applyNumberFormat="1" applyFill="1" applyBorder="1" applyAlignment="1">
      <alignment horizontal="center" vertical="center" shrinkToFit="1"/>
    </xf>
    <xf numFmtId="165" fontId="0" fillId="13" borderId="8" xfId="0" applyNumberFormat="1" applyFill="1" applyBorder="1" applyAlignment="1">
      <alignment horizontal="center" vertical="center"/>
    </xf>
    <xf numFmtId="165" fontId="0" fillId="13" borderId="9" xfId="0" applyNumberFormat="1" applyFill="1" applyBorder="1" applyAlignment="1">
      <alignment horizontal="center" vertical="center"/>
    </xf>
    <xf numFmtId="0" fontId="8" fillId="13" borderId="46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 shrinkToFit="1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0" fillId="13" borderId="46" xfId="0" applyFill="1" applyBorder="1"/>
    <xf numFmtId="0" fontId="0" fillId="13" borderId="8" xfId="0" applyFill="1" applyBorder="1" applyAlignment="1">
      <alignment shrinkToFit="1"/>
    </xf>
    <xf numFmtId="0" fontId="0" fillId="13" borderId="8" xfId="0" applyFill="1" applyBorder="1"/>
    <xf numFmtId="0" fontId="0" fillId="13" borderId="9" xfId="0" applyFill="1" applyBorder="1"/>
    <xf numFmtId="0" fontId="8" fillId="13" borderId="19" xfId="0" applyFont="1" applyFill="1" applyBorder="1" applyAlignment="1">
      <alignment horizontal="center" vertical="center"/>
    </xf>
    <xf numFmtId="0" fontId="10" fillId="13" borderId="20" xfId="0" applyFont="1" applyFill="1" applyBorder="1" applyAlignment="1">
      <alignment horizontal="center"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47" xfId="0" applyFont="1" applyFill="1" applyBorder="1" applyAlignment="1">
      <alignment horizontal="center" vertical="center"/>
    </xf>
    <xf numFmtId="0" fontId="8" fillId="13" borderId="20" xfId="0" applyFont="1" applyFill="1" applyBorder="1" applyAlignment="1">
      <alignment horizontal="center" vertical="center" shrinkToFit="1"/>
    </xf>
    <xf numFmtId="0" fontId="8" fillId="13" borderId="20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2" fontId="17" fillId="0" borderId="58" xfId="0" applyNumberFormat="1" applyFont="1" applyBorder="1"/>
    <xf numFmtId="2" fontId="18" fillId="0" borderId="58" xfId="0" applyNumberFormat="1" applyFont="1" applyBorder="1"/>
    <xf numFmtId="165" fontId="8" fillId="6" borderId="7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165" fontId="8" fillId="6" borderId="43" xfId="0" applyNumberFormat="1" applyFont="1" applyFill="1" applyBorder="1" applyAlignment="1">
      <alignment horizontal="center" vertical="center" shrinkToFit="1"/>
    </xf>
    <xf numFmtId="165" fontId="8" fillId="6" borderId="35" xfId="0" applyNumberFormat="1" applyFont="1" applyFill="1" applyBorder="1" applyAlignment="1">
      <alignment horizontal="center"/>
    </xf>
    <xf numFmtId="165" fontId="8" fillId="6" borderId="7" xfId="0" applyNumberFormat="1" applyFont="1" applyFill="1" applyBorder="1" applyAlignment="1">
      <alignment horizontal="center" shrinkToFit="1"/>
    </xf>
    <xf numFmtId="165" fontId="8" fillId="6" borderId="9" xfId="0" applyNumberFormat="1" applyFont="1" applyFill="1" applyBorder="1" applyAlignment="1">
      <alignment horizontal="center" shrinkToFit="1"/>
    </xf>
    <xf numFmtId="165" fontId="8" fillId="6" borderId="44" xfId="0" applyNumberFormat="1" applyFont="1" applyFill="1" applyBorder="1" applyAlignment="1">
      <alignment horizontal="center" vertical="center" shrinkToFit="1"/>
    </xf>
    <xf numFmtId="0" fontId="15" fillId="0" borderId="9" xfId="0" applyFont="1" applyBorder="1" applyAlignment="1">
      <alignment horizontal="center" vertical="center" wrapText="1"/>
    </xf>
    <xf numFmtId="165" fontId="15" fillId="0" borderId="7" xfId="0" applyNumberFormat="1" applyFont="1" applyFill="1" applyBorder="1" applyAlignment="1">
      <alignment horizontal="center" vertical="center"/>
    </xf>
    <xf numFmtId="165" fontId="15" fillId="0" borderId="19" xfId="0" applyNumberFormat="1" applyFont="1" applyFill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0" fontId="15" fillId="0" borderId="60" xfId="0" applyFont="1" applyBorder="1" applyAlignment="1">
      <alignment horizontal="center" vertical="center"/>
    </xf>
    <xf numFmtId="0" fontId="15" fillId="0" borderId="60" xfId="0" applyFont="1" applyFill="1" applyBorder="1" applyAlignment="1">
      <alignment horizontal="center" vertical="center"/>
    </xf>
    <xf numFmtId="0" fontId="15" fillId="0" borderId="61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 wrapText="1"/>
    </xf>
    <xf numFmtId="165" fontId="15" fillId="0" borderId="17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 shrinkToFit="1"/>
    </xf>
    <xf numFmtId="165" fontId="15" fillId="0" borderId="9" xfId="0" applyNumberFormat="1" applyFont="1" applyFill="1" applyBorder="1" applyAlignment="1">
      <alignment horizontal="center" vertical="center"/>
    </xf>
    <xf numFmtId="165" fontId="15" fillId="0" borderId="21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165" fontId="15" fillId="0" borderId="62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 wrapText="1"/>
    </xf>
    <xf numFmtId="165" fontId="19" fillId="0" borderId="7" xfId="0" applyNumberFormat="1" applyFont="1" applyBorder="1" applyAlignment="1">
      <alignment horizontal="center" vertical="center" shrinkToFit="1"/>
    </xf>
    <xf numFmtId="165" fontId="19" fillId="4" borderId="8" xfId="0" applyNumberFormat="1" applyFont="1" applyFill="1" applyBorder="1" applyAlignment="1">
      <alignment horizontal="center" vertical="center"/>
    </xf>
    <xf numFmtId="165" fontId="19" fillId="4" borderId="9" xfId="0" applyNumberFormat="1" applyFont="1" applyFill="1" applyBorder="1" applyAlignment="1">
      <alignment horizontal="center" vertical="center"/>
    </xf>
    <xf numFmtId="165" fontId="19" fillId="0" borderId="19" xfId="0" applyNumberFormat="1" applyFont="1" applyBorder="1" applyAlignment="1">
      <alignment horizontal="center" vertical="center" shrinkToFit="1"/>
    </xf>
    <xf numFmtId="165" fontId="19" fillId="4" borderId="20" xfId="0" applyNumberFormat="1" applyFont="1" applyFill="1" applyBorder="1" applyAlignment="1">
      <alignment horizontal="center" vertical="center"/>
    </xf>
    <xf numFmtId="165" fontId="19" fillId="4" borderId="21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shrinkToFit="1"/>
    </xf>
    <xf numFmtId="165" fontId="0" fillId="4" borderId="0" xfId="0" applyNumberFormat="1" applyFill="1" applyBorder="1"/>
    <xf numFmtId="2" fontId="17" fillId="0" borderId="0" xfId="0" applyNumberFormat="1" applyFont="1" applyBorder="1"/>
    <xf numFmtId="0" fontId="0" fillId="0" borderId="15" xfId="0" applyBorder="1" applyAlignment="1"/>
    <xf numFmtId="0" fontId="8" fillId="4" borderId="0" xfId="0" applyFont="1" applyFill="1" applyBorder="1" applyAlignment="1">
      <alignment shrinkToFit="1"/>
    </xf>
    <xf numFmtId="0" fontId="8" fillId="4" borderId="0" xfId="0" applyFont="1" applyFill="1" applyBorder="1" applyAlignment="1">
      <alignment horizontal="center"/>
    </xf>
    <xf numFmtId="2" fontId="18" fillId="0" borderId="0" xfId="0" applyNumberFormat="1" applyFont="1" applyBorder="1"/>
    <xf numFmtId="165" fontId="8" fillId="4" borderId="0" xfId="0" applyNumberFormat="1" applyFont="1" applyFill="1" applyBorder="1" applyAlignment="1">
      <alignment horizontal="center"/>
    </xf>
    <xf numFmtId="0" fontId="18" fillId="0" borderId="0" xfId="0" applyFont="1" applyBorder="1"/>
    <xf numFmtId="0" fontId="0" fillId="4" borderId="0" xfId="0" quotePrefix="1" applyFill="1" applyBorder="1" applyAlignment="1">
      <alignment shrinkToFit="1"/>
    </xf>
    <xf numFmtId="169" fontId="0" fillId="6" borderId="15" xfId="0" applyNumberForma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 shrinkToFit="1"/>
    </xf>
    <xf numFmtId="165" fontId="0" fillId="6" borderId="7" xfId="0" applyNumberFormat="1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9" fontId="0" fillId="6" borderId="20" xfId="1" applyFont="1" applyFill="1" applyBorder="1" applyAlignment="1">
      <alignment horizontal="center"/>
    </xf>
    <xf numFmtId="9" fontId="0" fillId="6" borderId="21" xfId="1" applyFont="1" applyFill="1" applyBorder="1" applyAlignment="1">
      <alignment horizontal="center"/>
    </xf>
    <xf numFmtId="0" fontId="0" fillId="11" borderId="63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/>
    </xf>
    <xf numFmtId="0" fontId="8" fillId="11" borderId="53" xfId="0" applyFont="1" applyFill="1" applyBorder="1" applyAlignment="1">
      <alignment horizontal="center" vertical="center"/>
    </xf>
    <xf numFmtId="0" fontId="0" fillId="11" borderId="42" xfId="0" applyFill="1" applyBorder="1" applyAlignment="1">
      <alignment horizontal="center" vertical="center"/>
    </xf>
    <xf numFmtId="0" fontId="0" fillId="11" borderId="42" xfId="0" applyFill="1" applyBorder="1" applyAlignment="1">
      <alignment horizontal="center"/>
    </xf>
    <xf numFmtId="0" fontId="8" fillId="11" borderId="50" xfId="0" applyFont="1" applyFill="1" applyBorder="1" applyAlignment="1">
      <alignment horizontal="center" vertical="center"/>
    </xf>
    <xf numFmtId="165" fontId="0" fillId="11" borderId="36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165" fontId="0" fillId="11" borderId="28" xfId="0" applyNumberFormat="1" applyFill="1" applyBorder="1" applyAlignment="1">
      <alignment horizontal="center"/>
    </xf>
    <xf numFmtId="165" fontId="0" fillId="11" borderId="7" xfId="0" applyNumberFormat="1" applyFill="1" applyBorder="1" applyAlignment="1">
      <alignment horizontal="center"/>
    </xf>
    <xf numFmtId="165" fontId="0" fillId="11" borderId="19" xfId="0" applyNumberFormat="1" applyFill="1" applyBorder="1" applyAlignment="1">
      <alignment horizontal="center"/>
    </xf>
    <xf numFmtId="0" fontId="17" fillId="4" borderId="0" xfId="0" applyFont="1" applyFill="1"/>
    <xf numFmtId="0" fontId="17" fillId="4" borderId="0" xfId="0" applyFont="1" applyFill="1" applyAlignment="1">
      <alignment shrinkToFit="1"/>
    </xf>
    <xf numFmtId="164" fontId="0" fillId="4" borderId="0" xfId="0" applyNumberFormat="1" applyFill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4" fontId="0" fillId="0" borderId="5" xfId="0" applyNumberFormat="1" applyBorder="1" applyAlignment="1">
      <alignment horizontal="center" vertical="center" shrinkToFit="1"/>
    </xf>
    <xf numFmtId="164" fontId="0" fillId="0" borderId="6" xfId="0" applyNumberFormat="1" applyBorder="1" applyAlignment="1">
      <alignment horizontal="center" vertical="center" shrinkToFit="1"/>
    </xf>
    <xf numFmtId="164" fontId="0" fillId="0" borderId="13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5" xfId="0" applyNumberFormat="1" applyBorder="1" applyAlignment="1">
      <alignment horizontal="center" vertical="center" shrinkToFit="1"/>
    </xf>
    <xf numFmtId="164" fontId="0" fillId="0" borderId="22" xfId="0" applyNumberFormat="1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0" fillId="0" borderId="31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 shrinkToFit="1"/>
    </xf>
    <xf numFmtId="164" fontId="0" fillId="0" borderId="11" xfId="0" applyNumberFormat="1" applyBorder="1" applyAlignment="1">
      <alignment horizontal="center" vertical="center" shrinkToFit="1"/>
    </xf>
    <xf numFmtId="164" fontId="0" fillId="0" borderId="12" xfId="0" applyNumberFormat="1" applyBorder="1" applyAlignment="1">
      <alignment horizontal="center" vertical="center" shrinkToFit="1"/>
    </xf>
    <xf numFmtId="0" fontId="0" fillId="0" borderId="16" xfId="0" applyFill="1" applyBorder="1" applyAlignment="1">
      <alignment horizontal="center" vertical="center" shrinkToFit="1"/>
    </xf>
    <xf numFmtId="0" fontId="0" fillId="0" borderId="17" xfId="0" applyFill="1" applyBorder="1" applyAlignment="1">
      <alignment horizontal="center" vertical="center" shrinkToFit="1"/>
    </xf>
    <xf numFmtId="0" fontId="0" fillId="0" borderId="18" xfId="0" applyFill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64" fontId="0" fillId="0" borderId="18" xfId="0" applyNumberFormat="1" applyBorder="1" applyAlignment="1">
      <alignment horizontal="center" vertical="center" shrinkToFit="1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164" fontId="0" fillId="0" borderId="10" xfId="0" applyNumberFormat="1" applyFill="1" applyBorder="1" applyAlignment="1">
      <alignment horizontal="center" vertical="center" shrinkToFit="1"/>
    </xf>
    <xf numFmtId="164" fontId="0" fillId="0" borderId="11" xfId="0" applyNumberFormat="1" applyFill="1" applyBorder="1" applyAlignment="1">
      <alignment horizontal="center" vertical="center" shrinkToFit="1"/>
    </xf>
    <xf numFmtId="164" fontId="0" fillId="0" borderId="12" xfId="0" applyNumberFormat="1" applyFill="1" applyBorder="1" applyAlignment="1">
      <alignment horizontal="center" vertical="center" shrinkToFit="1"/>
    </xf>
    <xf numFmtId="165" fontId="8" fillId="6" borderId="10" xfId="0" applyNumberFormat="1" applyFont="1" applyFill="1" applyBorder="1" applyAlignment="1">
      <alignment horizontal="center" vertical="center" shrinkToFit="1"/>
    </xf>
    <xf numFmtId="165" fontId="8" fillId="6" borderId="11" xfId="0" applyNumberFormat="1" applyFont="1" applyFill="1" applyBorder="1" applyAlignment="1">
      <alignment horizontal="center" vertical="center" shrinkToFit="1"/>
    </xf>
    <xf numFmtId="165" fontId="8" fillId="6" borderId="12" xfId="0" applyNumberFormat="1" applyFont="1" applyFill="1" applyBorder="1" applyAlignment="1">
      <alignment horizontal="center" vertical="center" shrinkToFit="1"/>
    </xf>
    <xf numFmtId="165" fontId="8" fillId="6" borderId="10" xfId="0" applyNumberFormat="1" applyFont="1" applyFill="1" applyBorder="1" applyAlignment="1">
      <alignment horizontal="center" vertical="center"/>
    </xf>
    <xf numFmtId="165" fontId="8" fillId="6" borderId="11" xfId="0" applyNumberFormat="1" applyFont="1" applyFill="1" applyBorder="1" applyAlignment="1">
      <alignment horizontal="center" vertical="center"/>
    </xf>
    <xf numFmtId="165" fontId="8" fillId="6" borderId="12" xfId="0" applyNumberFormat="1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4" fillId="13" borderId="57" xfId="0" applyFont="1" applyFill="1" applyBorder="1" applyAlignment="1">
      <alignment horizontal="center" textRotation="90"/>
    </xf>
    <xf numFmtId="0" fontId="13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center"/>
    </xf>
    <xf numFmtId="0" fontId="15" fillId="0" borderId="4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6" xfId="0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4" borderId="52" xfId="0" applyFill="1" applyBorder="1" applyAlignment="1">
      <alignment shrinkToFit="1"/>
    </xf>
    <xf numFmtId="0" fontId="20" fillId="4" borderId="0" xfId="2" applyFill="1"/>
    <xf numFmtId="0" fontId="20" fillId="0" borderId="0" xfId="2"/>
    <xf numFmtId="0" fontId="0" fillId="4" borderId="0" xfId="0" applyFill="1" applyAlignment="1">
      <alignment horizontal="center"/>
    </xf>
    <xf numFmtId="9" fontId="0" fillId="4" borderId="0" xfId="1" applyFont="1" applyFill="1"/>
    <xf numFmtId="165" fontId="0" fillId="4" borderId="0" xfId="0" quotePrefix="1" applyNumberFormat="1" applyFill="1" applyBorder="1" applyAlignment="1">
      <alignment shrinkToFit="1"/>
    </xf>
  </cellXfs>
  <cellStyles count="3">
    <cellStyle name="Hipervínculo" xfId="2" builtinId="8"/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819150</xdr:colOff>
      <xdr:row>11</xdr:row>
      <xdr:rowOff>7143</xdr:rowOff>
    </xdr:from>
    <xdr:ext cx="1791709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4344650" y="2255043"/>
              <a:ext cx="1791709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𝐶𝑝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=4,18∗(1−0,006∗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57CFFA0D-D8BB-4295-BA69-14C8CECFD7D3}"/>
                </a:ext>
              </a:extLst>
            </xdr:cNvPr>
            <xdr:cNvSpPr txBox="1"/>
          </xdr:nvSpPr>
          <xdr:spPr>
            <a:xfrm>
              <a:off x="14344650" y="2255043"/>
              <a:ext cx="1791709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〖</a:t>
              </a:r>
              <a:r>
                <a:rPr lang="es-CO" sz="1100" b="0" i="0">
                  <a:latin typeface="Cambria Math" panose="02040503050406030204" pitchFamily="18" charset="0"/>
                </a:rPr>
                <a:t>𝐶𝑝〗_𝑗=4,18∗(1−0,006∗𝐵_𝑗)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876526</xdr:colOff>
      <xdr:row>22</xdr:row>
      <xdr:rowOff>26874</xdr:rowOff>
    </xdr:from>
    <xdr:ext cx="3059364" cy="3419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484312" y="4217874"/>
              <a:ext cx="3059364" cy="3419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=−227.03+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3816,44</m:t>
                        </m:r>
                      </m:num>
                      <m:den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18,3036−</m:t>
                        </m:r>
                        <m:func>
                          <m:func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CO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7,5∗</m:t>
                                </m:r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</m:d>
                          </m:e>
                        </m:func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𝐾𝑝𝑎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42489627-1F30-469A-9108-B0763D3D8AFC}"/>
                </a:ext>
              </a:extLst>
            </xdr:cNvPr>
            <xdr:cNvSpPr txBox="1"/>
          </xdr:nvSpPr>
          <xdr:spPr>
            <a:xfrm>
              <a:off x="1484312" y="4217874"/>
              <a:ext cx="3059364" cy="3419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𝑇_𝑒=−227.03+3816,44/(18,3036−ln⁡(7,5∗𝑃) )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→𝑃−𝐾𝑝𝑎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11</xdr:col>
      <xdr:colOff>167027</xdr:colOff>
      <xdr:row>7</xdr:row>
      <xdr:rowOff>10204</xdr:rowOff>
    </xdr:from>
    <xdr:ext cx="2721130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692527" y="1515154"/>
              <a:ext cx="272113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𝑣𝑙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=2492,9−2,0523∗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−0,0030752∗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F0302DCB-F1F1-478F-914B-E34D0F3DA131}"/>
                </a:ext>
              </a:extLst>
            </xdr:cNvPr>
            <xdr:cNvSpPr txBox="1"/>
          </xdr:nvSpPr>
          <xdr:spPr>
            <a:xfrm>
              <a:off x="13692527" y="1515154"/>
              <a:ext cx="272113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〖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ℎ〗_</a:t>
              </a:r>
              <a:r>
                <a:rPr lang="es-CO" sz="1100" b="0" i="0">
                  <a:latin typeface="Cambria Math" panose="02040503050406030204" pitchFamily="18" charset="0"/>
                </a:rPr>
                <a:t>𝑣𝑙=2492,9−2,0523∗𝑡−0,0030752∗𝑡^2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1184274</xdr:colOff>
      <xdr:row>6</xdr:row>
      <xdr:rowOff>188912</xdr:rowOff>
    </xdr:from>
    <xdr:ext cx="1101134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5686424" y="1312862"/>
              <a:ext cx="1101134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80BF2889-67F4-443D-B729-3124E9AE765E}"/>
                </a:ext>
              </a:extLst>
            </xdr:cNvPr>
            <xdr:cNvSpPr txBox="1"/>
          </xdr:nvSpPr>
          <xdr:spPr>
            <a:xfrm>
              <a:off x="5686424" y="1312862"/>
              <a:ext cx="1101134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𝑚_𝑖∗𝐵_𝑖=𝑚_𝑓∗𝐵_𝑓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2140064</xdr:colOff>
      <xdr:row>19</xdr:row>
      <xdr:rowOff>187891</xdr:rowOff>
    </xdr:from>
    <xdr:ext cx="13865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747850" y="3807391"/>
              <a:ext cx="13865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𝑎𝑡𝑚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=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−0.0001158∗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h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7873C686-E9C4-43DE-AF3D-44FCB666209F}"/>
                </a:ext>
              </a:extLst>
            </xdr:cNvPr>
            <xdr:cNvSpPr txBox="1"/>
          </xdr:nvSpPr>
          <xdr:spPr>
            <a:xfrm>
              <a:off x="2747850" y="3807391"/>
              <a:ext cx="13865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𝑃_(𝑎𝑡𝑚=) 𝑃∗𝑒^(−0.0001158∗ℎ)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11</xdr:col>
      <xdr:colOff>258017</xdr:colOff>
      <xdr:row>2</xdr:row>
      <xdr:rowOff>35020</xdr:rowOff>
    </xdr:from>
    <xdr:to>
      <xdr:col>14</xdr:col>
      <xdr:colOff>329559</xdr:colOff>
      <xdr:row>3</xdr:row>
      <xdr:rowOff>186312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1267" y="416020"/>
          <a:ext cx="2744591" cy="34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916781</xdr:colOff>
      <xdr:row>15</xdr:row>
      <xdr:rowOff>2381</xdr:rowOff>
    </xdr:from>
    <xdr:ext cx="1808637" cy="1840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14442281" y="2999581"/>
              <a:ext cx="180863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𝑄</m:t>
                      </m:r>
                    </m:e>
                    <m:sub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𝑅𝑞</m:t>
                      </m:r>
                    </m:sub>
                  </m:sSub>
                  <m:r>
                    <a:rPr lang="es-CO" sz="1100" b="0" i="1">
                      <a:latin typeface="Cambria Math" panose="02040503050406030204" pitchFamily="18" charset="0"/>
                    </a:rPr>
                    <m:t>= </m:t>
                  </m:r>
                </m:oMath>
              </a14:m>
              <a:r>
                <a:rPr lang="es-CO" sz="1100"/>
                <a:t>m*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sub>
                  </m:sSub>
                  <m:r>
                    <a:rPr lang="es-CO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∆</m:t>
                  </m:r>
                  <m:r>
                    <a:rPr lang="es-CO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𝑇</m:t>
                  </m:r>
                </m:oMath>
              </a14:m>
              <a:r>
                <a:rPr lang="es-CO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𝑚</m:t>
                      </m:r>
                    </m:e>
                    <m:sub>
                      <m:sSub>
                        <m:sSubPr>
                          <m:ctrlPr>
                            <a:rPr lang="es-CO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CO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s-CO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𝑂</m:t>
                      </m:r>
                    </m:sub>
                  </m:sSub>
                  <m:r>
                    <a:rPr lang="es-CO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∆</m:t>
                      </m:r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𝐻</m:t>
                      </m:r>
                    </m:e>
                    <m: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sub>
                  </m:sSub>
                </m:oMath>
              </a14:m>
              <a:endParaRPr lang="es-CO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9E27BBF-61C7-48A7-8202-9A0D72B83271}"/>
                </a:ext>
              </a:extLst>
            </xdr:cNvPr>
            <xdr:cNvSpPr txBox="1"/>
          </xdr:nvSpPr>
          <xdr:spPr>
            <a:xfrm>
              <a:off x="14442281" y="2999581"/>
              <a:ext cx="180863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0" i="0">
                  <a:latin typeface="Cambria Math" panose="02040503050406030204" pitchFamily="18" charset="0"/>
                </a:rPr>
                <a:t>𝑄_𝑅𝑞= </a:t>
              </a:r>
              <a:r>
                <a:rPr lang="es-CO" sz="1100"/>
                <a:t>m*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𝐶_𝑝∗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∆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𝑇</a:t>
              </a:r>
              <a:r>
                <a:rPr lang="es-CO" sz="1100"/>
                <a:t>+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𝑚_(𝐻_2 𝑂)∗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∆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𝐻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〗_𝑣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6</xdr:col>
      <xdr:colOff>552414</xdr:colOff>
      <xdr:row>12</xdr:row>
      <xdr:rowOff>26400</xdr:rowOff>
    </xdr:from>
    <xdr:to>
      <xdr:col>9</xdr:col>
      <xdr:colOff>210660</xdr:colOff>
      <xdr:row>12</xdr:row>
      <xdr:rowOff>177934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4564" y="2274300"/>
          <a:ext cx="2335830" cy="151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1087210</xdr:colOff>
      <xdr:row>1</xdr:row>
      <xdr:rowOff>185057</xdr:rowOff>
    </xdr:from>
    <xdr:ext cx="1101134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5589360" y="375557"/>
              <a:ext cx="1101134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C7D9AB44-C4A5-4D62-897F-B98C61C58A03}"/>
                </a:ext>
              </a:extLst>
            </xdr:cNvPr>
            <xdr:cNvSpPr txBox="1"/>
          </xdr:nvSpPr>
          <xdr:spPr>
            <a:xfrm>
              <a:off x="5589360" y="375557"/>
              <a:ext cx="1101134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𝑚_𝑖∗𝐵_𝑖=𝑚_𝑓∗𝐵_𝑓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1019175</xdr:colOff>
      <xdr:row>4</xdr:row>
      <xdr:rowOff>0</xdr:rowOff>
    </xdr:from>
    <xdr:ext cx="1771650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8531225" y="946150"/>
              <a:ext cx="1771650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𝐸𝑥𝑡𝑟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1F4915A8-CE6A-4225-A462-7DC27A5BC452}"/>
                </a:ext>
              </a:extLst>
            </xdr:cNvPr>
            <xdr:cNvSpPr txBox="1"/>
          </xdr:nvSpPr>
          <xdr:spPr>
            <a:xfrm>
              <a:off x="8531225" y="946150"/>
              <a:ext cx="1771650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𝑚_𝑐=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𝑚_𝑗/𝐸𝑥𝑡𝑟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1083609</xdr:colOff>
      <xdr:row>22</xdr:row>
      <xdr:rowOff>184056</xdr:rowOff>
    </xdr:from>
    <xdr:ext cx="99065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0965459" y="1689006"/>
              <a:ext cx="9906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𝐵𝑉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57D366BE-088E-4C64-9E13-FAB62A0696A8}"/>
                </a:ext>
              </a:extLst>
            </xdr:cNvPr>
            <xdr:cNvSpPr txBox="1"/>
          </xdr:nvSpPr>
          <xdr:spPr>
            <a:xfrm>
              <a:off x="20965459" y="1689006"/>
              <a:ext cx="9906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𝑚_𝐵𝑉=𝑚_𝑐−𝑚_𝑗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535082</xdr:colOff>
      <xdr:row>25</xdr:row>
      <xdr:rowOff>14287</xdr:rowOff>
    </xdr:from>
    <xdr:ext cx="25679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0416932" y="2071687"/>
              <a:ext cx="25679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𝑚</m:t>
                      </m:r>
                    </m:e>
                    <m:sub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𝐵𝑆</m:t>
                      </m:r>
                    </m:sub>
                  </m:sSub>
                  <m:r>
                    <a:rPr lang="es-CO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s-CO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𝑚</m:t>
                      </m:r>
                    </m:e>
                    <m:sub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𝐵𝑉</m:t>
                      </m:r>
                    </m:sub>
                  </m:sSub>
                  <m:r>
                    <a:rPr lang="es-CO" sz="1100" b="0" i="1">
                      <a:latin typeface="Cambria Math" panose="02040503050406030204" pitchFamily="18" charset="0"/>
                    </a:rPr>
                    <m:t>∗((100−</m:t>
                  </m:r>
                  <m:sSub>
                    <m:sSubPr>
                      <m:ctrlP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𝐵𝑉</m:t>
                      </m:r>
                    </m:sub>
                  </m:sSub>
                  <m:r>
                    <a:rPr lang="es-CO" sz="1100" b="0" i="1">
                      <a:latin typeface="Cambria Math" panose="02040503050406030204" pitchFamily="18" charset="0"/>
                    </a:rPr>
                    <m:t>)/(100−</m:t>
                  </m:r>
                  <m:sSub>
                    <m:sSubPr>
                      <m:ctrlP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𝐵𝑆</m:t>
                      </m:r>
                    </m:sub>
                  </m:sSub>
                </m:oMath>
              </a14:m>
              <a:r>
                <a:rPr lang="es-CO" sz="1100"/>
                <a:t>))</a:t>
              </a:r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BE42FA27-198A-4FDC-9D84-8D991E6565CA}"/>
                </a:ext>
              </a:extLst>
            </xdr:cNvPr>
            <xdr:cNvSpPr txBox="1"/>
          </xdr:nvSpPr>
          <xdr:spPr>
            <a:xfrm>
              <a:off x="20416932" y="2071687"/>
              <a:ext cx="25679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0" i="0">
                  <a:latin typeface="Cambria Math" panose="02040503050406030204" pitchFamily="18" charset="0"/>
                </a:rPr>
                <a:t>𝑚_𝐵𝑆=𝑚_𝐵𝑉∗((100−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𝐻_𝐵𝑉</a:t>
              </a:r>
              <a:r>
                <a:rPr lang="es-CO" sz="1100" b="0" i="0">
                  <a:latin typeface="Cambria Math" panose="02040503050406030204" pitchFamily="18" charset="0"/>
                </a:rPr>
                <a:t>)/(100−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𝐻_𝐵𝑆</a:t>
              </a:r>
              <a:r>
                <a:rPr lang="es-CO" sz="1100"/>
                <a:t>))</a:t>
              </a:r>
            </a:p>
          </xdr:txBody>
        </xdr:sp>
      </mc:Fallback>
    </mc:AlternateContent>
    <xdr:clientData/>
  </xdr:oneCellAnchor>
  <xdr:oneCellAnchor>
    <xdr:from>
      <xdr:col>6</xdr:col>
      <xdr:colOff>925047</xdr:colOff>
      <xdr:row>21</xdr:row>
      <xdr:rowOff>9243</xdr:rowOff>
    </xdr:from>
    <xdr:ext cx="1491113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20806897" y="1323693"/>
              <a:ext cx="1491113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𝑝𝑎𝑟𝑟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𝑃𝑜𝑡𝑒𝑛𝑐𝑖𝑎</m:t>
                    </m:r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/1000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C7F9947D-29AC-4791-8689-67D904A9DF3C}"/>
                </a:ext>
              </a:extLst>
            </xdr:cNvPr>
            <xdr:cNvSpPr txBox="1"/>
          </xdr:nvSpPr>
          <xdr:spPr>
            <a:xfrm>
              <a:off x="20806897" y="1323693"/>
              <a:ext cx="1491113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𝐴_𝑝𝑎𝑟𝑟=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𝑃𝑜𝑡𝑒𝑛𝑐𝑖𝑎/1000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1099483</xdr:colOff>
      <xdr:row>18</xdr:row>
      <xdr:rowOff>182373</xdr:rowOff>
    </xdr:from>
    <xdr:ext cx="1135696" cy="2043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601633" y="3547873"/>
              <a:ext cx="1135696" cy="204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𝑠𝑢𝑚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𝑄</m:t>
                        </m:r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𝑎𝑝𝑟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/</m:t>
                    </m:r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𝐸𝑓𝑓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E21A981C-CBD1-497D-A70A-AFC70DBBD8FC}"/>
                </a:ext>
              </a:extLst>
            </xdr:cNvPr>
            <xdr:cNvSpPr txBox="1"/>
          </xdr:nvSpPr>
          <xdr:spPr>
            <a:xfrm>
              <a:off x="5601633" y="3547873"/>
              <a:ext cx="1135696" cy="204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𝑄_𝑠𝑢𝑚=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𝑄_𝑎𝑝𝑟  /𝐸𝑓𝑓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523233</xdr:colOff>
      <xdr:row>17</xdr:row>
      <xdr:rowOff>6843</xdr:rowOff>
    </xdr:from>
    <xdr:ext cx="20730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20405083" y="578343"/>
              <a:ext cx="20730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𝑉𝐶𝑁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=17,85−20,35∗(</m:t>
                    </m:r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/100)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1916BD5D-BA82-491F-AB97-5778B65472EF}"/>
                </a:ext>
              </a:extLst>
            </xdr:cNvPr>
            <xdr:cNvSpPr txBox="1"/>
          </xdr:nvSpPr>
          <xdr:spPr>
            <a:xfrm>
              <a:off x="20405083" y="578343"/>
              <a:ext cx="20730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𝑉𝐶𝑁=17,85−20,35∗(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𝐻_𝐵/100)</a:t>
              </a:r>
              <a:endParaRPr lang="es-CO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179</xdr:row>
          <xdr:rowOff>47625</xdr:rowOff>
        </xdr:from>
        <xdr:to>
          <xdr:col>11</xdr:col>
          <xdr:colOff>1314450</xdr:colOff>
          <xdr:row>181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Calculo%20Hornillas%20CIMP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 Progra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oi.org/10.1016/j.energy.2010.09.018" TargetMode="External"/><Relationship Id="rId1" Type="http://schemas.openxmlformats.org/officeDocument/2006/relationships/hyperlink" Target="http://www.scielo.org.co/scielo.php?script=sci_arttext&amp;pid=S0304-28472004000200007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H293"/>
  <sheetViews>
    <sheetView tabSelected="1" zoomScale="90" zoomScaleNormal="90" workbookViewId="0">
      <selection activeCell="O131" sqref="O131"/>
    </sheetView>
  </sheetViews>
  <sheetFormatPr baseColWidth="10" defaultColWidth="8.7109375" defaultRowHeight="15.75" thickBottom="1" x14ac:dyDescent="0.3"/>
  <cols>
    <col min="2" max="2" width="36.7109375" bestFit="1" customWidth="1"/>
    <col min="3" max="3" width="9.7109375" bestFit="1" customWidth="1"/>
    <col min="4" max="4" width="12.7109375" style="110" customWidth="1"/>
    <col min="5" max="5" width="12.7109375" customWidth="1"/>
    <col min="6" max="6" width="12.7109375" style="259" customWidth="1"/>
    <col min="7" max="9" width="12.7109375" customWidth="1"/>
    <col min="10" max="10" width="12.7109375" style="259" customWidth="1"/>
    <col min="11" max="11" width="12.7109375" customWidth="1"/>
    <col min="12" max="12" width="12.7109375" style="259" customWidth="1"/>
    <col min="13" max="16" width="12.7109375" customWidth="1"/>
    <col min="17" max="17" width="7.42578125" style="79" customWidth="1"/>
    <col min="18" max="19" width="7.42578125" customWidth="1"/>
    <col min="20" max="20" width="8.28515625" bestFit="1" customWidth="1"/>
    <col min="21" max="21" width="7.42578125" customWidth="1"/>
    <col min="22" max="22" width="8.28515625" bestFit="1" customWidth="1"/>
  </cols>
  <sheetData>
    <row r="1" spans="1:138" thickBot="1" x14ac:dyDescent="0.3">
      <c r="A1" s="62"/>
      <c r="B1" s="62"/>
      <c r="C1" s="62"/>
      <c r="D1" s="106"/>
      <c r="E1" s="62"/>
      <c r="F1" s="115"/>
      <c r="G1" s="62"/>
      <c r="H1" s="62"/>
      <c r="I1" s="62"/>
      <c r="J1" s="115"/>
      <c r="K1" s="62"/>
      <c r="L1" s="115"/>
      <c r="M1" s="62"/>
      <c r="N1" s="62"/>
      <c r="O1" s="62"/>
      <c r="P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</row>
    <row r="2" spans="1:138" thickBot="1" x14ac:dyDescent="0.3">
      <c r="A2" s="62"/>
      <c r="B2" s="234" t="s">
        <v>0</v>
      </c>
      <c r="C2" s="235"/>
      <c r="D2" s="235"/>
      <c r="E2" s="236"/>
      <c r="F2" s="245"/>
      <c r="G2" s="517" t="s">
        <v>1</v>
      </c>
      <c r="H2" s="518"/>
      <c r="I2" s="518"/>
      <c r="J2" s="519"/>
      <c r="K2" s="63"/>
      <c r="L2" s="517" t="s">
        <v>2</v>
      </c>
      <c r="M2" s="518"/>
      <c r="N2" s="518"/>
      <c r="O2" s="519"/>
      <c r="P2" s="63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</row>
    <row r="3" spans="1:138" thickBot="1" x14ac:dyDescent="0.3">
      <c r="A3" s="62"/>
      <c r="B3" s="1" t="s">
        <v>4</v>
      </c>
      <c r="C3" s="2" t="s">
        <v>5</v>
      </c>
      <c r="D3" s="2">
        <v>40</v>
      </c>
      <c r="E3" s="3" t="s">
        <v>6</v>
      </c>
      <c r="F3" s="245" t="s">
        <v>110</v>
      </c>
      <c r="G3" s="583"/>
      <c r="H3" s="584"/>
      <c r="I3" s="584"/>
      <c r="J3" s="80">
        <f>+D3*D12/D8</f>
        <v>219.76470588235293</v>
      </c>
      <c r="K3" s="80" t="s">
        <v>315</v>
      </c>
      <c r="L3" s="520"/>
      <c r="M3" s="521"/>
      <c r="N3" s="521"/>
      <c r="O3" s="522"/>
      <c r="P3" s="63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62"/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B3" s="62"/>
      <c r="DC3" s="62"/>
      <c r="DD3" s="62"/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2"/>
      <c r="EH3" s="62"/>
    </row>
    <row r="4" spans="1:138" thickBot="1" x14ac:dyDescent="0.3">
      <c r="A4" s="62"/>
      <c r="B4" s="4" t="s">
        <v>107</v>
      </c>
      <c r="C4" s="5" t="s">
        <v>108</v>
      </c>
      <c r="D4" s="5">
        <v>3.03</v>
      </c>
      <c r="E4" s="7" t="s">
        <v>109</v>
      </c>
      <c r="F4" s="246">
        <f>I27/D3</f>
        <v>2.5541368067226906</v>
      </c>
      <c r="G4" s="8" t="s">
        <v>9</v>
      </c>
      <c r="H4" s="9" t="s">
        <v>10</v>
      </c>
      <c r="I4" s="10">
        <f>(D3*D11)/D8+((D3*D11)/D8)*D6+((D3*D11)/D8)*D7</f>
        <v>232.95058823529411</v>
      </c>
      <c r="J4" s="11" t="s">
        <v>6</v>
      </c>
      <c r="K4" s="80" t="s">
        <v>314</v>
      </c>
      <c r="L4" s="523"/>
      <c r="M4" s="524"/>
      <c r="N4" s="524"/>
      <c r="O4" s="525"/>
      <c r="P4" s="63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2"/>
      <c r="CD4" s="62"/>
      <c r="CE4" s="62"/>
      <c r="CF4" s="62"/>
      <c r="CG4" s="62"/>
      <c r="CH4" s="62"/>
      <c r="CI4" s="62"/>
      <c r="CJ4" s="62"/>
      <c r="CK4" s="62"/>
      <c r="CL4" s="62"/>
      <c r="CM4" s="62"/>
      <c r="CN4" s="62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2"/>
      <c r="DA4" s="62"/>
      <c r="DB4" s="62"/>
      <c r="DC4" s="62"/>
      <c r="DD4" s="62"/>
      <c r="DE4" s="62"/>
      <c r="DF4" s="62"/>
      <c r="DG4" s="62"/>
      <c r="DH4" s="62"/>
      <c r="DI4" s="62"/>
      <c r="DJ4" s="62"/>
      <c r="DK4" s="62"/>
      <c r="DL4" s="62"/>
      <c r="DM4" s="62"/>
      <c r="DN4" s="62"/>
      <c r="DO4" s="62"/>
      <c r="DP4" s="62"/>
      <c r="DQ4" s="62"/>
      <c r="DR4" s="62"/>
      <c r="DS4" s="62"/>
      <c r="DT4" s="62"/>
      <c r="DU4" s="62"/>
      <c r="DV4" s="62"/>
      <c r="DW4" s="62"/>
      <c r="DX4" s="62"/>
      <c r="DY4" s="62"/>
      <c r="DZ4" s="62"/>
      <c r="EA4" s="62"/>
      <c r="EB4" s="62"/>
      <c r="EC4" s="62"/>
      <c r="ED4" s="62"/>
      <c r="EE4" s="62"/>
      <c r="EF4" s="62"/>
      <c r="EG4" s="62"/>
      <c r="EH4" s="62"/>
    </row>
    <row r="5" spans="1:138" thickBot="1" x14ac:dyDescent="0.3">
      <c r="A5" s="62"/>
      <c r="B5" s="42" t="s">
        <v>376</v>
      </c>
      <c r="C5" s="43" t="s">
        <v>7</v>
      </c>
      <c r="D5" s="125">
        <f>+N20/I21</f>
        <v>0.33196296575234796</v>
      </c>
      <c r="E5" s="44" t="s">
        <v>8</v>
      </c>
      <c r="F5" s="245"/>
      <c r="G5" s="59"/>
      <c r="H5" s="60"/>
      <c r="I5" s="60"/>
      <c r="J5" s="61"/>
      <c r="L5" s="15" t="s">
        <v>16</v>
      </c>
      <c r="M5" s="16" t="s">
        <v>17</v>
      </c>
      <c r="N5" s="17">
        <f>D25+0.2209*EXP(0.0557*D9)</f>
        <v>95.599979559921579</v>
      </c>
      <c r="O5" s="18" t="s">
        <v>18</v>
      </c>
      <c r="P5" s="63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2"/>
      <c r="EF5" s="62"/>
      <c r="EG5" s="62"/>
      <c r="EH5" s="62"/>
    </row>
    <row r="6" spans="1:138" thickBot="1" x14ac:dyDescent="0.3">
      <c r="A6" s="62"/>
      <c r="B6" s="4" t="s">
        <v>14</v>
      </c>
      <c r="C6" s="5" t="s">
        <v>15</v>
      </c>
      <c r="D6" s="6">
        <v>0.02</v>
      </c>
      <c r="E6" s="7" t="s">
        <v>8</v>
      </c>
      <c r="F6" s="245"/>
      <c r="G6" s="15" t="s">
        <v>21</v>
      </c>
      <c r="H6" s="16" t="s">
        <v>22</v>
      </c>
      <c r="I6" s="17">
        <f>I4/D16</f>
        <v>388.25098039215686</v>
      </c>
      <c r="J6" s="18" t="s">
        <v>6</v>
      </c>
      <c r="K6" s="63"/>
      <c r="L6" s="15" t="s">
        <v>23</v>
      </c>
      <c r="M6" s="16" t="s">
        <v>24</v>
      </c>
      <c r="N6" s="16">
        <f>D25+0.2209*EXP(0.0557*D10)</f>
        <v>109.25096218777557</v>
      </c>
      <c r="O6" s="18" t="s">
        <v>18</v>
      </c>
      <c r="P6" s="63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B6" s="62"/>
      <c r="EC6" s="62"/>
      <c r="ED6" s="62"/>
      <c r="EE6" s="62"/>
      <c r="EF6" s="62"/>
      <c r="EG6" s="62"/>
      <c r="EH6" s="62"/>
    </row>
    <row r="7" spans="1:138" thickBot="1" x14ac:dyDescent="0.3">
      <c r="A7" s="62"/>
      <c r="B7" s="4" t="s">
        <v>19</v>
      </c>
      <c r="C7" s="5" t="s">
        <v>20</v>
      </c>
      <c r="D7" s="6">
        <v>0.04</v>
      </c>
      <c r="E7" s="7" t="s">
        <v>8</v>
      </c>
      <c r="F7" s="245"/>
      <c r="G7" s="19" t="s">
        <v>31</v>
      </c>
      <c r="H7" s="9" t="s">
        <v>32</v>
      </c>
      <c r="I7" s="10">
        <f>I4-D3</f>
        <v>192.95058823529411</v>
      </c>
      <c r="J7" s="11" t="s">
        <v>6</v>
      </c>
      <c r="K7" s="63"/>
      <c r="L7" s="20" t="s">
        <v>33</v>
      </c>
      <c r="M7" s="16" t="s">
        <v>34</v>
      </c>
      <c r="N7" s="16">
        <f>D25+0.2209*EXP(0.0557*D11)</f>
        <v>134.9861525810787</v>
      </c>
      <c r="O7" s="18" t="s">
        <v>18</v>
      </c>
      <c r="P7" s="63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B7" s="62"/>
      <c r="EC7" s="62"/>
      <c r="ED7" s="62"/>
      <c r="EE7" s="62"/>
      <c r="EF7" s="62"/>
      <c r="EG7" s="62"/>
      <c r="EH7" s="62"/>
    </row>
    <row r="8" spans="1:138" thickBot="1" x14ac:dyDescent="0.3">
      <c r="A8" s="62"/>
      <c r="B8" s="1" t="s">
        <v>28</v>
      </c>
      <c r="C8" s="2" t="s">
        <v>29</v>
      </c>
      <c r="D8" s="2">
        <v>17</v>
      </c>
      <c r="E8" s="3" t="s">
        <v>30</v>
      </c>
      <c r="F8" s="245"/>
      <c r="G8" s="541"/>
      <c r="H8" s="542"/>
      <c r="I8" s="542"/>
      <c r="J8" s="543"/>
      <c r="K8" s="63"/>
      <c r="L8" s="550"/>
      <c r="M8" s="551"/>
      <c r="N8" s="551"/>
      <c r="O8" s="552"/>
      <c r="P8" s="63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2"/>
      <c r="CB8" s="62"/>
      <c r="CC8" s="62"/>
      <c r="CD8" s="62"/>
      <c r="CE8" s="62"/>
      <c r="CF8" s="62"/>
      <c r="CG8" s="62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  <c r="EA8" s="62"/>
      <c r="EB8" s="62"/>
      <c r="EC8" s="62"/>
      <c r="ED8" s="62"/>
      <c r="EE8" s="62"/>
      <c r="EF8" s="62"/>
      <c r="EG8" s="62"/>
      <c r="EH8" s="62"/>
    </row>
    <row r="9" spans="1:138" thickBot="1" x14ac:dyDescent="0.3">
      <c r="A9" s="62"/>
      <c r="B9" s="1" t="s">
        <v>35</v>
      </c>
      <c r="C9" s="2" t="s">
        <v>36</v>
      </c>
      <c r="D9" s="2">
        <v>22</v>
      </c>
      <c r="E9" s="3" t="s">
        <v>30</v>
      </c>
      <c r="F9" s="245"/>
      <c r="G9" s="15" t="s">
        <v>42</v>
      </c>
      <c r="H9" s="17" t="s">
        <v>43</v>
      </c>
      <c r="I9" s="17">
        <f>I4-I4*D6-I4*D7</f>
        <v>218.97355294117645</v>
      </c>
      <c r="J9" s="18" t="s">
        <v>44</v>
      </c>
      <c r="K9" s="63"/>
      <c r="L9" s="20" t="s">
        <v>45</v>
      </c>
      <c r="M9" s="21" t="s">
        <v>46</v>
      </c>
      <c r="N9" s="16">
        <f>2492.9-2.0523*((D25+N5)/2)-0.0030752*((D25+N5)/2)^2</f>
        <v>2269.5874947257084</v>
      </c>
      <c r="O9" s="22" t="s">
        <v>47</v>
      </c>
      <c r="P9" s="63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2"/>
      <c r="CB9" s="62"/>
      <c r="CC9" s="62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  <c r="EA9" s="62"/>
      <c r="EB9" s="62"/>
      <c r="EC9" s="62"/>
      <c r="ED9" s="62"/>
      <c r="EE9" s="62"/>
      <c r="EF9" s="62"/>
      <c r="EG9" s="62"/>
      <c r="EH9" s="62"/>
    </row>
    <row r="10" spans="1:138" thickBot="1" x14ac:dyDescent="0.3">
      <c r="A10" s="62"/>
      <c r="B10" s="1" t="s">
        <v>40</v>
      </c>
      <c r="C10" s="2" t="s">
        <v>41</v>
      </c>
      <c r="D10" s="2">
        <v>75</v>
      </c>
      <c r="E10" s="3" t="s">
        <v>30</v>
      </c>
      <c r="F10" s="245"/>
      <c r="G10" s="15" t="s">
        <v>50</v>
      </c>
      <c r="H10" s="17" t="s">
        <v>51</v>
      </c>
      <c r="I10" s="17">
        <f>I9*D8/D9</f>
        <v>169.20683636363634</v>
      </c>
      <c r="J10" s="18" t="s">
        <v>44</v>
      </c>
      <c r="K10" s="63"/>
      <c r="L10" s="20" t="s">
        <v>52</v>
      </c>
      <c r="M10" s="21" t="s">
        <v>46</v>
      </c>
      <c r="N10" s="16">
        <f>2492.9-2.0523*((N5+N6)/2)-0.0030752*((N5+N6)/2)^2</f>
        <v>2250.4303533977154</v>
      </c>
      <c r="O10" s="22" t="s">
        <v>47</v>
      </c>
      <c r="P10" s="63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2"/>
      <c r="CB10" s="62"/>
      <c r="CC10" s="62"/>
      <c r="CD10" s="62"/>
      <c r="CE10" s="62"/>
      <c r="CF10" s="62"/>
      <c r="CG10" s="62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  <c r="EA10" s="62"/>
      <c r="EB10" s="62"/>
      <c r="EC10" s="62"/>
      <c r="ED10" s="62"/>
      <c r="EE10" s="62"/>
      <c r="EF10" s="62"/>
      <c r="EG10" s="62"/>
      <c r="EH10" s="62"/>
    </row>
    <row r="11" spans="1:138" thickBot="1" x14ac:dyDescent="0.3">
      <c r="A11" s="62"/>
      <c r="B11" s="1" t="s">
        <v>48</v>
      </c>
      <c r="C11" s="2" t="s">
        <v>49</v>
      </c>
      <c r="D11" s="2">
        <v>93.4</v>
      </c>
      <c r="E11" s="3" t="s">
        <v>30</v>
      </c>
      <c r="F11" s="245"/>
      <c r="G11" s="19" t="s">
        <v>57</v>
      </c>
      <c r="H11" s="10" t="s">
        <v>58</v>
      </c>
      <c r="I11" s="10">
        <f>I10*D9/D10</f>
        <v>49.634005333333327</v>
      </c>
      <c r="J11" s="11" t="s">
        <v>44</v>
      </c>
      <c r="K11" s="63"/>
      <c r="L11" s="20" t="s">
        <v>59</v>
      </c>
      <c r="M11" s="21" t="s">
        <v>46</v>
      </c>
      <c r="N11" s="16">
        <f>2492.9-2.0523*((N6+N7)/2)-0.0030752*((N6+N7)/2)^2</f>
        <v>2196.4158052642438</v>
      </c>
      <c r="O11" s="22" t="s">
        <v>47</v>
      </c>
      <c r="P11" s="63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</row>
    <row r="12" spans="1:138" thickBot="1" x14ac:dyDescent="0.3">
      <c r="A12" s="62"/>
      <c r="B12" s="1" t="s">
        <v>56</v>
      </c>
      <c r="C12" s="5" t="s">
        <v>49</v>
      </c>
      <c r="D12" s="2">
        <f>D11</f>
        <v>93.4</v>
      </c>
      <c r="E12" s="3" t="s">
        <v>30</v>
      </c>
      <c r="F12" s="245"/>
      <c r="G12" s="526" t="s">
        <v>64</v>
      </c>
      <c r="H12" s="527"/>
      <c r="I12" s="527"/>
      <c r="J12" s="528"/>
      <c r="K12" s="63"/>
      <c r="L12" s="550"/>
      <c r="M12" s="551"/>
      <c r="N12" s="551"/>
      <c r="O12" s="552"/>
      <c r="P12" s="63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</row>
    <row r="13" spans="1:138" thickBot="1" x14ac:dyDescent="0.3">
      <c r="A13" s="62"/>
      <c r="B13" s="23" t="s">
        <v>60</v>
      </c>
      <c r="C13" s="24" t="s">
        <v>61</v>
      </c>
      <c r="D13" s="41" t="s">
        <v>62</v>
      </c>
      <c r="E13" s="25" t="s">
        <v>63</v>
      </c>
      <c r="F13" s="245"/>
      <c r="G13" s="48"/>
      <c r="H13" s="49"/>
      <c r="I13" s="49"/>
      <c r="J13" s="50"/>
      <c r="K13" s="63"/>
      <c r="L13" s="20" t="s">
        <v>69</v>
      </c>
      <c r="M13" s="17" t="s">
        <v>70</v>
      </c>
      <c r="N13" s="17">
        <f>4.18*(1-0.006*D8)</f>
        <v>3.7536399999999999</v>
      </c>
      <c r="O13" s="18" t="s">
        <v>71</v>
      </c>
      <c r="P13" s="63"/>
      <c r="R13" s="218"/>
      <c r="S13" s="218"/>
      <c r="T13" s="218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</row>
    <row r="14" spans="1:138" thickBot="1" x14ac:dyDescent="0.3">
      <c r="A14" s="62"/>
      <c r="B14" s="4" t="s">
        <v>67</v>
      </c>
      <c r="C14" s="5" t="s">
        <v>68</v>
      </c>
      <c r="D14" s="6">
        <f>IF(D13 = "Plana",30%,D20)</f>
        <v>0.3</v>
      </c>
      <c r="E14" s="7" t="s">
        <v>8</v>
      </c>
      <c r="F14" s="245"/>
      <c r="G14" s="20" t="s">
        <v>74</v>
      </c>
      <c r="H14" s="28" t="s">
        <v>75</v>
      </c>
      <c r="I14" s="16">
        <f>997.39+4.46*D8</f>
        <v>1073.21</v>
      </c>
      <c r="J14" s="22" t="s">
        <v>76</v>
      </c>
      <c r="K14" s="63"/>
      <c r="L14" s="20" t="s">
        <v>77</v>
      </c>
      <c r="M14" s="17" t="s">
        <v>70</v>
      </c>
      <c r="N14" s="17">
        <f>4.18*(1-0.006*D9)</f>
        <v>3.6282399999999999</v>
      </c>
      <c r="O14" s="18" t="s">
        <v>71</v>
      </c>
      <c r="P14" s="63"/>
      <c r="R14" s="64"/>
      <c r="S14" s="64"/>
      <c r="T14" s="64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</row>
    <row r="15" spans="1:138" thickBot="1" x14ac:dyDescent="0.3">
      <c r="A15" s="62"/>
      <c r="B15" s="4" t="s">
        <v>72</v>
      </c>
      <c r="C15" s="26" t="s">
        <v>73</v>
      </c>
      <c r="D15" s="27">
        <v>1.8</v>
      </c>
      <c r="E15" s="7"/>
      <c r="F15" s="245"/>
      <c r="G15" s="20" t="s">
        <v>80</v>
      </c>
      <c r="H15" s="28" t="s">
        <v>81</v>
      </c>
      <c r="I15" s="16">
        <f>997.39+4.46*D9</f>
        <v>1095.51</v>
      </c>
      <c r="J15" s="22" t="s">
        <v>76</v>
      </c>
      <c r="K15" s="63"/>
      <c r="L15" s="30" t="s">
        <v>82</v>
      </c>
      <c r="M15" s="31" t="s">
        <v>70</v>
      </c>
      <c r="N15" s="31">
        <f>4.18*(1-0.006*D10)</f>
        <v>2.2989999999999999</v>
      </c>
      <c r="O15" s="32" t="s">
        <v>71</v>
      </c>
      <c r="P15" s="63"/>
      <c r="R15" s="64"/>
      <c r="S15" s="64"/>
      <c r="T15" s="64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2"/>
      <c r="CB15" s="62"/>
      <c r="CC15" s="62"/>
      <c r="CD15" s="62"/>
      <c r="CE15" s="62"/>
      <c r="CF15" s="62"/>
      <c r="CG15" s="62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  <c r="EA15" s="62"/>
      <c r="EB15" s="62"/>
      <c r="EC15" s="62"/>
      <c r="ED15" s="62"/>
      <c r="EE15" s="62"/>
      <c r="EF15" s="62"/>
      <c r="EG15" s="62"/>
      <c r="EH15" s="62"/>
    </row>
    <row r="16" spans="1:138" thickBot="1" x14ac:dyDescent="0.3">
      <c r="A16" s="62"/>
      <c r="B16" s="1" t="s">
        <v>78</v>
      </c>
      <c r="C16" s="2" t="s">
        <v>79</v>
      </c>
      <c r="D16" s="29">
        <v>0.6</v>
      </c>
      <c r="E16" s="3" t="s">
        <v>8</v>
      </c>
      <c r="F16" s="245"/>
      <c r="G16" s="8" t="s">
        <v>85</v>
      </c>
      <c r="H16" s="33" t="s">
        <v>86</v>
      </c>
      <c r="I16" s="9">
        <f>997.39+4.46*D10</f>
        <v>1331.8899999999999</v>
      </c>
      <c r="J16" s="34" t="s">
        <v>76</v>
      </c>
      <c r="K16" s="63"/>
      <c r="L16" s="556"/>
      <c r="M16" s="557"/>
      <c r="N16" s="557"/>
      <c r="O16" s="558"/>
      <c r="P16" s="63"/>
      <c r="R16" s="64"/>
      <c r="S16" s="64"/>
      <c r="T16" s="64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2"/>
      <c r="CB16" s="62"/>
      <c r="CC16" s="62"/>
      <c r="CD16" s="62"/>
      <c r="CE16" s="62"/>
      <c r="CF16" s="62"/>
      <c r="CG16" s="62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  <c r="EA16" s="62"/>
      <c r="EB16" s="62"/>
      <c r="EC16" s="62"/>
      <c r="ED16" s="62"/>
      <c r="EE16" s="62"/>
      <c r="EF16" s="62"/>
      <c r="EG16" s="62"/>
      <c r="EH16" s="62"/>
    </row>
    <row r="17" spans="1:138" thickBot="1" x14ac:dyDescent="0.3">
      <c r="A17" s="62"/>
      <c r="B17" s="1" t="s">
        <v>83</v>
      </c>
      <c r="C17" s="2" t="s">
        <v>84</v>
      </c>
      <c r="D17" s="29">
        <v>0.14000000000000001</v>
      </c>
      <c r="E17" s="3" t="s">
        <v>8</v>
      </c>
      <c r="F17" s="245"/>
      <c r="G17" s="556" t="s">
        <v>3</v>
      </c>
      <c r="H17" s="557"/>
      <c r="I17" s="557"/>
      <c r="J17" s="558"/>
      <c r="K17" s="63"/>
      <c r="L17" s="20" t="s">
        <v>90</v>
      </c>
      <c r="M17" s="17" t="s">
        <v>91</v>
      </c>
      <c r="N17" s="17">
        <f>(I9*N13*(N5-D19)+(I9-I10)*N9)/3600</f>
        <v>47.494283788324957</v>
      </c>
      <c r="O17" s="18" t="s">
        <v>27</v>
      </c>
      <c r="P17" s="63">
        <f>+N17/N20</f>
        <v>0.36182499670790869</v>
      </c>
      <c r="R17" s="63"/>
      <c r="S17" s="63"/>
      <c r="T17" s="63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2"/>
      <c r="CB17" s="62"/>
      <c r="CC17" s="62"/>
      <c r="CD17" s="62"/>
      <c r="CE17" s="62"/>
      <c r="CF17" s="62"/>
      <c r="CG17" s="62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  <c r="EA17" s="62"/>
      <c r="EB17" s="62"/>
      <c r="EC17" s="62"/>
      <c r="ED17" s="62"/>
      <c r="EE17" s="62"/>
      <c r="EF17" s="62"/>
      <c r="EG17" s="62"/>
      <c r="EH17" s="62"/>
    </row>
    <row r="18" spans="1:138" thickBot="1" x14ac:dyDescent="0.3">
      <c r="A18" s="62"/>
      <c r="B18" s="1" t="s">
        <v>87</v>
      </c>
      <c r="C18" s="2" t="s">
        <v>88</v>
      </c>
      <c r="D18" s="2">
        <v>1610</v>
      </c>
      <c r="E18" s="3" t="s">
        <v>89</v>
      </c>
      <c r="F18" s="245"/>
      <c r="G18" s="56"/>
      <c r="H18" s="57"/>
      <c r="I18" s="57"/>
      <c r="J18" s="58"/>
      <c r="K18" s="63"/>
      <c r="L18" s="20" t="s">
        <v>94</v>
      </c>
      <c r="M18" s="17" t="s">
        <v>95</v>
      </c>
      <c r="N18" s="17">
        <f>(I10*N14*(N6-N5)+(I10-I11)*N10)/3600</f>
        <v>77.075272434306967</v>
      </c>
      <c r="O18" s="18" t="s">
        <v>27</v>
      </c>
      <c r="P18" s="63">
        <f>+N18/N20</f>
        <v>0.58718140311570821</v>
      </c>
      <c r="R18" s="218"/>
      <c r="S18" s="218"/>
      <c r="T18" s="218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2"/>
      <c r="CB18" s="62"/>
      <c r="CC18" s="62"/>
      <c r="CD18" s="62"/>
      <c r="CE18" s="62"/>
      <c r="CF18" s="62"/>
      <c r="CG18" s="62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  <c r="EA18" s="62"/>
      <c r="EB18" s="62"/>
      <c r="EC18" s="62"/>
      <c r="ED18" s="62"/>
      <c r="EE18" s="62"/>
      <c r="EF18" s="62"/>
      <c r="EG18" s="62"/>
      <c r="EH18" s="62"/>
    </row>
    <row r="19" spans="1:138" thickBot="1" x14ac:dyDescent="0.3">
      <c r="A19" s="62"/>
      <c r="B19" s="35" t="s">
        <v>92</v>
      </c>
      <c r="C19" s="36" t="s">
        <v>93</v>
      </c>
      <c r="D19" s="36">
        <v>25</v>
      </c>
      <c r="E19" s="37" t="s">
        <v>18</v>
      </c>
      <c r="F19" s="245"/>
      <c r="G19" s="12" t="s">
        <v>11</v>
      </c>
      <c r="H19" s="13" t="s">
        <v>12</v>
      </c>
      <c r="I19" s="13">
        <f>17.85-20.35*D14</f>
        <v>11.745000000000001</v>
      </c>
      <c r="J19" s="14" t="s">
        <v>13</v>
      </c>
      <c r="K19" s="63"/>
      <c r="L19" s="20" t="s">
        <v>98</v>
      </c>
      <c r="M19" s="16" t="s">
        <v>99</v>
      </c>
      <c r="N19" s="16">
        <f>(I11*N15*(N7-N6)+(I11-D3)*N11)/3600</f>
        <v>6.6935798803327451</v>
      </c>
      <c r="O19" s="18" t="s">
        <v>27</v>
      </c>
      <c r="P19" s="63">
        <f>+N19/N20</f>
        <v>5.0993600176383158E-2</v>
      </c>
      <c r="R19" s="218"/>
      <c r="S19" s="218"/>
      <c r="T19" s="218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2"/>
      <c r="CB19" s="62"/>
      <c r="CC19" s="62"/>
      <c r="CD19" s="62"/>
      <c r="CE19" s="62"/>
      <c r="CF19" s="62"/>
      <c r="CG19" s="62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  <c r="EA19" s="62"/>
      <c r="EB19" s="62"/>
      <c r="EC19" s="62"/>
      <c r="ED19" s="62"/>
      <c r="EE19" s="62"/>
      <c r="EF19" s="62"/>
      <c r="EG19" s="62"/>
      <c r="EH19" s="62"/>
    </row>
    <row r="20" spans="1:138" thickBot="1" x14ac:dyDescent="0.3">
      <c r="A20" s="62"/>
      <c r="B20" s="51" t="s">
        <v>96</v>
      </c>
      <c r="C20" s="52" t="s">
        <v>97</v>
      </c>
      <c r="D20" s="107">
        <f>((I4-I4*(D16+D17))-(I4-I4*(D16+D17))*(D8/100))/(I4*(1-D16))</f>
        <v>0.53949999999999987</v>
      </c>
      <c r="E20" s="53" t="s">
        <v>8</v>
      </c>
      <c r="F20" s="245"/>
      <c r="G20" s="544"/>
      <c r="H20" s="545"/>
      <c r="I20" s="545"/>
      <c r="J20" s="546"/>
      <c r="K20" s="63"/>
      <c r="L20" s="15" t="s">
        <v>100</v>
      </c>
      <c r="M20" s="17" t="s">
        <v>101</v>
      </c>
      <c r="N20" s="17">
        <f>SUM(N17:N19)</f>
        <v>131.26313610296467</v>
      </c>
      <c r="O20" s="18" t="s">
        <v>27</v>
      </c>
      <c r="P20" s="63"/>
      <c r="R20" s="63"/>
      <c r="S20" s="63"/>
      <c r="T20" s="63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2"/>
      <c r="CB20" s="62"/>
      <c r="CC20" s="62"/>
      <c r="CD20" s="62"/>
      <c r="CE20" s="62"/>
      <c r="CF20" s="62"/>
      <c r="CG20" s="62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  <c r="EA20" s="62"/>
      <c r="EB20" s="62"/>
      <c r="EC20" s="62"/>
      <c r="ED20" s="62"/>
      <c r="EE20" s="62"/>
      <c r="EF20" s="62"/>
      <c r="EG20" s="62"/>
      <c r="EH20" s="62"/>
    </row>
    <row r="21" spans="1:138" thickBot="1" x14ac:dyDescent="0.3">
      <c r="A21" s="62"/>
      <c r="B21" s="547"/>
      <c r="C21" s="548"/>
      <c r="D21" s="548"/>
      <c r="E21" s="549"/>
      <c r="F21" s="245"/>
      <c r="G21" s="12" t="s">
        <v>25</v>
      </c>
      <c r="H21" s="13" t="s">
        <v>26</v>
      </c>
      <c r="I21" s="13">
        <f>(D4*D3)*I19/3.6</f>
        <v>395.41499999999996</v>
      </c>
      <c r="J21" s="14" t="s">
        <v>27</v>
      </c>
      <c r="K21" s="63"/>
      <c r="L21" s="19" t="s">
        <v>100</v>
      </c>
      <c r="M21" s="10" t="s">
        <v>101</v>
      </c>
      <c r="N21" s="10">
        <f>(I4*(N7-D19)*N13+I7*((N9+N11)/2))/3600</f>
        <v>146.39785127813377</v>
      </c>
      <c r="O21" s="11" t="s">
        <v>27</v>
      </c>
      <c r="P21" s="63"/>
      <c r="R21" s="63"/>
      <c r="S21" s="63"/>
      <c r="T21" s="63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2"/>
      <c r="CB21" s="62"/>
      <c r="CC21" s="62"/>
      <c r="CD21" s="62"/>
      <c r="CE21" s="62"/>
      <c r="CF21" s="62"/>
      <c r="CG21" s="62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  <c r="EA21" s="62"/>
      <c r="EB21" s="62"/>
      <c r="EC21" s="62"/>
      <c r="ED21" s="62"/>
      <c r="EE21" s="62"/>
      <c r="EF21" s="62"/>
      <c r="EG21" s="62"/>
      <c r="EH21" s="62"/>
    </row>
    <row r="22" spans="1:138" thickBot="1" x14ac:dyDescent="0.3">
      <c r="A22" s="62"/>
      <c r="B22" s="54" t="s">
        <v>102</v>
      </c>
      <c r="C22" s="55" t="s">
        <v>103</v>
      </c>
      <c r="D22" s="108">
        <f>760*EXP(-0.0001158*D18)</f>
        <v>630.73161123067814</v>
      </c>
      <c r="E22" s="53" t="s">
        <v>104</v>
      </c>
      <c r="F22" s="245"/>
      <c r="G22" s="544"/>
      <c r="H22" s="545"/>
      <c r="I22" s="545"/>
      <c r="J22" s="546"/>
      <c r="K22" s="63"/>
      <c r="L22" s="63"/>
      <c r="M22" s="63"/>
      <c r="N22" s="63"/>
      <c r="O22" s="63"/>
      <c r="P22" s="63"/>
      <c r="R22" s="63"/>
      <c r="S22" s="63"/>
      <c r="T22" s="63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2"/>
      <c r="CD22" s="62"/>
      <c r="CE22" s="62"/>
      <c r="CF22" s="62"/>
      <c r="CG22" s="62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  <c r="EA22" s="62"/>
      <c r="EB22" s="62"/>
      <c r="EC22" s="62"/>
      <c r="ED22" s="62"/>
      <c r="EE22" s="62"/>
      <c r="EF22" s="62"/>
      <c r="EG22" s="62"/>
      <c r="EH22" s="62"/>
    </row>
    <row r="23" spans="1:138" thickBot="1" x14ac:dyDescent="0.3">
      <c r="A23" s="62"/>
      <c r="B23" s="535"/>
      <c r="C23" s="536"/>
      <c r="D23" s="536"/>
      <c r="E23" s="537"/>
      <c r="F23" s="245"/>
      <c r="G23" s="12" t="s">
        <v>37</v>
      </c>
      <c r="H23" s="13" t="s">
        <v>38</v>
      </c>
      <c r="I23" s="13">
        <f>I21/1000</f>
        <v>0.39541499999999996</v>
      </c>
      <c r="J23" s="14" t="s">
        <v>39</v>
      </c>
      <c r="K23" s="64"/>
      <c r="L23" s="63"/>
      <c r="M23" s="64"/>
      <c r="N23" s="64"/>
      <c r="O23" s="64"/>
      <c r="P23" s="64"/>
      <c r="R23" s="64"/>
      <c r="S23" s="64"/>
      <c r="T23" s="64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2"/>
      <c r="CB23" s="62"/>
      <c r="CC23" s="62"/>
      <c r="CD23" s="62"/>
      <c r="CE23" s="62"/>
      <c r="CF23" s="62"/>
      <c r="CG23" s="62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  <c r="EA23" s="62"/>
      <c r="EB23" s="62"/>
      <c r="EC23" s="62"/>
      <c r="ED23" s="62"/>
      <c r="EE23" s="62"/>
      <c r="EF23" s="62"/>
      <c r="EG23" s="62"/>
      <c r="EH23" s="62"/>
    </row>
    <row r="24" spans="1:138" thickBot="1" x14ac:dyDescent="0.3">
      <c r="A24" s="62"/>
      <c r="B24" s="538"/>
      <c r="C24" s="539"/>
      <c r="D24" s="539"/>
      <c r="E24" s="540"/>
      <c r="F24" s="245"/>
      <c r="G24" s="544"/>
      <c r="H24" s="545"/>
      <c r="I24" s="545"/>
      <c r="J24" s="546"/>
      <c r="K24" s="64"/>
      <c r="L24" s="63">
        <f>+I19+D4*D3</f>
        <v>132.94499999999999</v>
      </c>
      <c r="M24" s="64"/>
      <c r="N24" s="64">
        <f>+D4*D3</f>
        <v>121.19999999999999</v>
      </c>
      <c r="O24" s="64">
        <f>+N24*I19</f>
        <v>1423.4939999999999</v>
      </c>
      <c r="P24" s="64"/>
      <c r="R24" s="64"/>
      <c r="S24" s="64"/>
      <c r="T24" s="64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2"/>
      <c r="CB24" s="62"/>
      <c r="CC24" s="62"/>
      <c r="CD24" s="62"/>
      <c r="CE24" s="62"/>
      <c r="CF24" s="62"/>
      <c r="CG24" s="62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  <c r="EA24" s="62"/>
      <c r="EB24" s="62"/>
      <c r="EC24" s="62"/>
      <c r="ED24" s="62"/>
      <c r="EE24" s="62"/>
      <c r="EF24" s="62"/>
      <c r="EG24" s="62"/>
      <c r="EH24" s="62"/>
    </row>
    <row r="25" spans="1:138" thickBot="1" x14ac:dyDescent="0.3">
      <c r="A25" s="62"/>
      <c r="B25" s="38" t="s">
        <v>105</v>
      </c>
      <c r="C25" s="39" t="s">
        <v>106</v>
      </c>
      <c r="D25" s="39">
        <f>-227.03+3816.44/(18.3036-LN(7.5*(D22*133.3224/1000)))</f>
        <v>94.84769841995157</v>
      </c>
      <c r="E25" s="40" t="s">
        <v>18</v>
      </c>
      <c r="F25" s="245"/>
      <c r="G25" s="20" t="s">
        <v>53</v>
      </c>
      <c r="H25" s="16" t="s">
        <v>54</v>
      </c>
      <c r="I25" s="16">
        <f>I6-I4</f>
        <v>155.30039215686276</v>
      </c>
      <c r="J25" s="14" t="s">
        <v>55</v>
      </c>
      <c r="K25" s="64"/>
      <c r="L25" s="516">
        <f>+L24/D3</f>
        <v>3.3236249999999998</v>
      </c>
      <c r="M25" s="64"/>
      <c r="N25" s="64"/>
      <c r="O25" s="64">
        <f>+O24/D3</f>
        <v>35.587350000000001</v>
      </c>
      <c r="P25" s="64"/>
      <c r="R25" s="64"/>
      <c r="S25" s="64"/>
      <c r="T25" s="64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2"/>
      <c r="CB25" s="62"/>
      <c r="CC25" s="62"/>
      <c r="CD25" s="62"/>
      <c r="CE25" s="62"/>
      <c r="CF25" s="62"/>
      <c r="CG25" s="62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</row>
    <row r="26" spans="1:138" thickBot="1" x14ac:dyDescent="0.3">
      <c r="A26" s="62"/>
      <c r="B26" s="62"/>
      <c r="C26" s="62"/>
      <c r="D26" s="106"/>
      <c r="E26" s="62"/>
      <c r="F26" s="115"/>
      <c r="G26" s="56"/>
      <c r="H26" s="57"/>
      <c r="I26" s="57"/>
      <c r="J26" s="58"/>
      <c r="K26" s="62"/>
      <c r="L26" s="115"/>
      <c r="M26" s="62"/>
      <c r="N26" s="62"/>
      <c r="O26" s="62"/>
      <c r="P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</row>
    <row r="27" spans="1:138" thickBot="1" x14ac:dyDescent="0.3">
      <c r="A27" s="62"/>
      <c r="B27" s="62"/>
      <c r="C27" s="62"/>
      <c r="D27" s="106"/>
      <c r="E27" s="62"/>
      <c r="F27" s="115"/>
      <c r="G27" s="45" t="s">
        <v>65</v>
      </c>
      <c r="H27" s="46" t="s">
        <v>66</v>
      </c>
      <c r="I27" s="46">
        <f>I25*((100%-D20)/(100%-D14))</f>
        <v>102.16547226890762</v>
      </c>
      <c r="J27" s="47" t="s">
        <v>55</v>
      </c>
      <c r="K27" s="62"/>
      <c r="L27" s="585">
        <f>+D3*D4</f>
        <v>121.19999999999999</v>
      </c>
      <c r="M27" s="62">
        <f>+L27-I27</f>
        <v>19.034527731092368</v>
      </c>
      <c r="N27" s="62"/>
      <c r="O27" s="62"/>
      <c r="P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</row>
    <row r="28" spans="1:138" thickBot="1" x14ac:dyDescent="0.3">
      <c r="A28" s="62"/>
      <c r="B28" s="62"/>
      <c r="C28" s="62"/>
      <c r="D28" s="106"/>
      <c r="E28" s="62"/>
      <c r="F28" s="115"/>
      <c r="G28" s="87" t="s">
        <v>111</v>
      </c>
      <c r="H28" s="88" t="s">
        <v>112</v>
      </c>
      <c r="I28" s="89">
        <f>D3*D4</f>
        <v>121.19999999999999</v>
      </c>
      <c r="J28" s="90" t="s">
        <v>44</v>
      </c>
      <c r="K28" s="62"/>
      <c r="L28" s="115">
        <f>+L27*70</f>
        <v>8484</v>
      </c>
      <c r="M28" s="62"/>
      <c r="N28" s="62"/>
      <c r="O28" s="62"/>
      <c r="P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2"/>
      <c r="CB28" s="62"/>
      <c r="CC28" s="62"/>
      <c r="CD28" s="62"/>
      <c r="CE28" s="62"/>
      <c r="CF28" s="62"/>
      <c r="CG28" s="62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  <c r="EA28" s="62"/>
      <c r="EB28" s="62"/>
      <c r="EC28" s="62"/>
      <c r="ED28" s="62"/>
      <c r="EE28" s="62"/>
      <c r="EF28" s="62"/>
      <c r="EG28" s="62"/>
      <c r="EH28" s="62"/>
    </row>
    <row r="29" spans="1:138" thickBot="1" x14ac:dyDescent="0.3">
      <c r="A29" s="62"/>
      <c r="B29" s="62"/>
      <c r="C29" s="62"/>
      <c r="D29" s="106"/>
      <c r="E29" s="62"/>
      <c r="F29" s="115"/>
      <c r="G29" s="62"/>
      <c r="H29" s="62"/>
      <c r="I29" s="62"/>
      <c r="J29" s="115"/>
      <c r="K29" s="62"/>
      <c r="L29" s="115"/>
      <c r="M29" s="62"/>
      <c r="N29" s="62"/>
      <c r="O29" s="62"/>
      <c r="P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</row>
    <row r="30" spans="1:138" thickBot="1" x14ac:dyDescent="0.3">
      <c r="A30" s="529" t="s">
        <v>113</v>
      </c>
      <c r="B30" s="530"/>
      <c r="C30" s="530"/>
      <c r="D30" s="530"/>
      <c r="E30" s="530"/>
      <c r="F30" s="530"/>
      <c r="G30" s="530"/>
      <c r="H30" s="530"/>
      <c r="I30" s="530"/>
      <c r="J30" s="530"/>
      <c r="K30" s="530"/>
      <c r="L30" s="530"/>
      <c r="M30" s="530"/>
      <c r="N30" s="530"/>
      <c r="O30" s="530"/>
      <c r="P30" s="531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2"/>
      <c r="CB30" s="62"/>
      <c r="CC30" s="62"/>
      <c r="CD30" s="62"/>
      <c r="CE30" s="62"/>
      <c r="CF30" s="62"/>
      <c r="CG30" s="62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  <c r="EA30" s="62"/>
      <c r="EB30" s="62"/>
      <c r="EC30" s="62"/>
      <c r="ED30" s="62"/>
      <c r="EE30" s="62"/>
      <c r="EF30" s="62"/>
      <c r="EG30" s="62"/>
      <c r="EH30" s="62"/>
    </row>
    <row r="31" spans="1:138" thickBot="1" x14ac:dyDescent="0.3">
      <c r="A31" s="62"/>
      <c r="B31" s="62"/>
      <c r="C31" s="62"/>
      <c r="D31" s="106"/>
      <c r="E31" s="62"/>
      <c r="F31" s="115"/>
      <c r="G31" s="62"/>
      <c r="H31" s="62"/>
      <c r="I31" s="62"/>
      <c r="J31" s="115"/>
      <c r="K31" s="62"/>
      <c r="L31" s="115"/>
      <c r="M31" s="62"/>
      <c r="N31" s="62"/>
      <c r="O31" s="62"/>
      <c r="P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</row>
    <row r="32" spans="1:138" thickBot="1" x14ac:dyDescent="0.3">
      <c r="A32" s="62"/>
      <c r="B32" s="237" t="s">
        <v>0</v>
      </c>
      <c r="C32" s="238"/>
      <c r="D32" s="238"/>
      <c r="E32" s="239"/>
      <c r="F32" s="115"/>
      <c r="G32" s="65"/>
      <c r="H32" s="65"/>
      <c r="I32" s="62"/>
      <c r="J32" s="260"/>
      <c r="K32" s="104"/>
      <c r="L32" s="260"/>
      <c r="M32" s="104"/>
      <c r="N32" s="104"/>
      <c r="O32" s="104"/>
      <c r="P32" s="104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2"/>
      <c r="CB32" s="62"/>
      <c r="CC32" s="62"/>
      <c r="CD32" s="62"/>
      <c r="CE32" s="62"/>
      <c r="CF32" s="62"/>
      <c r="CG32" s="62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  <c r="EA32" s="62"/>
      <c r="EB32" s="62"/>
      <c r="EC32" s="62"/>
      <c r="ED32" s="62"/>
      <c r="EE32" s="62"/>
      <c r="EF32" s="62"/>
      <c r="EG32" s="62"/>
      <c r="EH32" s="62"/>
    </row>
    <row r="33" spans="1:138" thickBot="1" x14ac:dyDescent="0.3">
      <c r="A33" s="62"/>
      <c r="B33" s="66" t="s">
        <v>114</v>
      </c>
      <c r="C33" s="67" t="s">
        <v>115</v>
      </c>
      <c r="D33" s="68" t="s">
        <v>63</v>
      </c>
      <c r="E33" s="398">
        <v>5</v>
      </c>
      <c r="F33" s="247"/>
      <c r="G33" s="69"/>
      <c r="H33" s="69"/>
      <c r="I33" s="69"/>
      <c r="J33" s="260"/>
      <c r="K33" s="104"/>
      <c r="L33" s="260"/>
      <c r="M33" s="104"/>
      <c r="N33" s="104"/>
      <c r="O33" s="104"/>
      <c r="P33" s="104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2"/>
      <c r="CB33" s="62"/>
      <c r="CC33" s="62"/>
      <c r="CD33" s="62"/>
      <c r="CE33" s="62"/>
      <c r="CF33" s="62"/>
      <c r="CG33" s="62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  <c r="EA33" s="62"/>
      <c r="EB33" s="62"/>
      <c r="EC33" s="62"/>
      <c r="ED33" s="62"/>
      <c r="EE33" s="62"/>
      <c r="EF33" s="62"/>
      <c r="EG33" s="62"/>
      <c r="EH33" s="62"/>
    </row>
    <row r="34" spans="1:138" thickBot="1" x14ac:dyDescent="0.3">
      <c r="A34" s="62"/>
      <c r="B34" s="70" t="s">
        <v>116</v>
      </c>
      <c r="C34" s="71" t="s">
        <v>117</v>
      </c>
      <c r="D34" s="72" t="s">
        <v>63</v>
      </c>
      <c r="E34" s="399">
        <v>1</v>
      </c>
      <c r="F34" s="248">
        <v>2</v>
      </c>
      <c r="G34" s="71">
        <v>3</v>
      </c>
      <c r="H34" s="71">
        <v>4</v>
      </c>
      <c r="I34" s="72">
        <v>5</v>
      </c>
      <c r="J34" s="260"/>
      <c r="K34" s="104"/>
      <c r="L34" s="260"/>
      <c r="M34" s="104"/>
      <c r="N34" s="104"/>
      <c r="O34" s="104"/>
      <c r="P34" s="104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2"/>
      <c r="CB34" s="62"/>
      <c r="CC34" s="62"/>
      <c r="CD34" s="62"/>
      <c r="CE34" s="62"/>
      <c r="CF34" s="62"/>
      <c r="CG34" s="62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  <c r="EA34" s="62"/>
      <c r="EB34" s="62"/>
      <c r="EC34" s="62"/>
      <c r="ED34" s="62"/>
      <c r="EE34" s="62"/>
      <c r="EF34" s="62"/>
      <c r="EG34" s="62"/>
      <c r="EH34" s="62"/>
    </row>
    <row r="35" spans="1:138" thickBot="1" x14ac:dyDescent="0.3">
      <c r="A35" s="62"/>
      <c r="B35" s="73" t="s">
        <v>118</v>
      </c>
      <c r="C35" s="74" t="s">
        <v>119</v>
      </c>
      <c r="D35" s="75" t="s">
        <v>63</v>
      </c>
      <c r="E35" s="400">
        <v>8</v>
      </c>
      <c r="F35" s="249">
        <v>7</v>
      </c>
      <c r="G35" s="74">
        <v>6</v>
      </c>
      <c r="H35" s="74">
        <v>5</v>
      </c>
      <c r="I35" s="75">
        <v>4</v>
      </c>
      <c r="J35" s="260"/>
      <c r="K35" s="104"/>
      <c r="L35" s="260"/>
      <c r="M35" s="104"/>
      <c r="N35" s="104"/>
      <c r="O35" s="104"/>
      <c r="P35" s="104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2"/>
      <c r="CB35" s="62"/>
      <c r="CC35" s="62"/>
      <c r="CD35" s="62"/>
      <c r="CE35" s="62"/>
      <c r="CF35" s="62"/>
      <c r="CG35" s="62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  <c r="EA35" s="62"/>
      <c r="EB35" s="62"/>
      <c r="EC35" s="62"/>
      <c r="ED35" s="62"/>
      <c r="EE35" s="62"/>
      <c r="EF35" s="62"/>
      <c r="EG35" s="62"/>
      <c r="EH35" s="62"/>
    </row>
    <row r="36" spans="1:138" thickBot="1" x14ac:dyDescent="0.3">
      <c r="A36" s="62"/>
      <c r="B36" s="73" t="s">
        <v>120</v>
      </c>
      <c r="C36" s="74" t="s">
        <v>121</v>
      </c>
      <c r="D36" s="75" t="s">
        <v>63</v>
      </c>
      <c r="E36" s="403" t="s">
        <v>122</v>
      </c>
      <c r="F36" s="249" t="s">
        <v>122</v>
      </c>
      <c r="G36" s="249" t="s">
        <v>123</v>
      </c>
      <c r="H36" s="249" t="s">
        <v>124</v>
      </c>
      <c r="I36" s="404" t="s">
        <v>124</v>
      </c>
      <c r="J36" s="260"/>
      <c r="K36" s="104"/>
      <c r="L36" s="260">
        <v>6.35</v>
      </c>
      <c r="M36" s="104"/>
      <c r="N36" s="104"/>
      <c r="O36" s="104"/>
      <c r="P36" s="104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2"/>
      <c r="CB36" s="62"/>
      <c r="CC36" s="62"/>
      <c r="CD36" s="62"/>
      <c r="CE36" s="62"/>
      <c r="CF36" s="62"/>
      <c r="CG36" s="62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  <c r="EA36" s="62"/>
      <c r="EB36" s="62"/>
      <c r="EC36" s="62"/>
      <c r="ED36" s="62"/>
      <c r="EE36" s="62"/>
      <c r="EF36" s="62"/>
      <c r="EG36" s="62"/>
      <c r="EH36" s="62"/>
    </row>
    <row r="37" spans="1:138" thickBot="1" x14ac:dyDescent="0.3">
      <c r="A37" s="62"/>
      <c r="B37" s="73" t="s">
        <v>125</v>
      </c>
      <c r="C37" s="74" t="s">
        <v>126</v>
      </c>
      <c r="D37" s="75" t="s">
        <v>89</v>
      </c>
      <c r="E37" s="400">
        <v>0.3</v>
      </c>
      <c r="F37" s="249">
        <v>0.25</v>
      </c>
      <c r="G37" s="74">
        <v>0.25</v>
      </c>
      <c r="H37" s="74">
        <v>0.1</v>
      </c>
      <c r="I37" s="75">
        <v>0.1</v>
      </c>
      <c r="J37" s="260"/>
      <c r="K37" s="104"/>
      <c r="L37" s="260">
        <f>+L36/1000</f>
        <v>6.3499999999999997E-3</v>
      </c>
      <c r="M37" s="104"/>
      <c r="N37" s="104"/>
      <c r="O37" s="104"/>
      <c r="P37" s="104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2"/>
      <c r="CB37" s="62"/>
      <c r="CC37" s="62"/>
      <c r="CD37" s="62"/>
      <c r="CE37" s="62"/>
      <c r="CF37" s="62"/>
      <c r="CG37" s="62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  <c r="EA37" s="62"/>
      <c r="EB37" s="62"/>
      <c r="EC37" s="62"/>
      <c r="ED37" s="62"/>
      <c r="EE37" s="62"/>
      <c r="EF37" s="62"/>
      <c r="EG37" s="62"/>
      <c r="EH37" s="62"/>
    </row>
    <row r="38" spans="1:138" thickBot="1" x14ac:dyDescent="0.3">
      <c r="A38" s="62"/>
      <c r="B38" s="73" t="s">
        <v>127</v>
      </c>
      <c r="C38" s="74" t="s">
        <v>128</v>
      </c>
      <c r="D38" s="75" t="s">
        <v>89</v>
      </c>
      <c r="E38" s="400">
        <v>0.8</v>
      </c>
      <c r="F38" s="249">
        <v>0.7</v>
      </c>
      <c r="G38" s="74">
        <v>0.6</v>
      </c>
      <c r="H38" s="74">
        <v>0.65</v>
      </c>
      <c r="I38" s="75">
        <v>0.7</v>
      </c>
      <c r="J38" s="260"/>
      <c r="K38" s="104"/>
      <c r="L38" s="260"/>
      <c r="M38" s="104"/>
      <c r="N38" s="104"/>
      <c r="O38" s="104"/>
      <c r="P38" s="104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2"/>
      <c r="CB38" s="62"/>
      <c r="CC38" s="62"/>
      <c r="CD38" s="62"/>
      <c r="CE38" s="62"/>
      <c r="CF38" s="62"/>
      <c r="CG38" s="62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  <c r="EA38" s="62"/>
      <c r="EB38" s="62"/>
      <c r="EC38" s="62"/>
      <c r="ED38" s="62"/>
      <c r="EE38" s="62"/>
      <c r="EF38" s="62"/>
      <c r="EG38" s="62"/>
      <c r="EH38" s="62"/>
    </row>
    <row r="39" spans="1:138" thickBot="1" x14ac:dyDescent="0.3">
      <c r="A39" s="62"/>
      <c r="B39" s="73" t="s">
        <v>129</v>
      </c>
      <c r="C39" s="74" t="s">
        <v>130</v>
      </c>
      <c r="D39" s="75" t="s">
        <v>89</v>
      </c>
      <c r="E39" s="400">
        <v>0.4</v>
      </c>
      <c r="F39" s="249">
        <v>0.3</v>
      </c>
      <c r="G39" s="74">
        <v>0.4</v>
      </c>
      <c r="H39" s="74">
        <v>0.5</v>
      </c>
      <c r="I39" s="75">
        <v>0.3</v>
      </c>
      <c r="J39" s="260"/>
      <c r="K39" s="104"/>
      <c r="L39" s="260"/>
      <c r="M39" s="104"/>
      <c r="N39" s="104"/>
      <c r="O39" s="104"/>
      <c r="P39" s="104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  <c r="EA39" s="62"/>
      <c r="EB39" s="62"/>
      <c r="EC39" s="62"/>
      <c r="ED39" s="62"/>
      <c r="EE39" s="62"/>
      <c r="EF39" s="62"/>
      <c r="EG39" s="62"/>
      <c r="EH39" s="62"/>
    </row>
    <row r="40" spans="1:138" thickBot="1" x14ac:dyDescent="0.3">
      <c r="A40" s="62"/>
      <c r="B40" s="73" t="s">
        <v>131</v>
      </c>
      <c r="C40" s="74" t="s">
        <v>132</v>
      </c>
      <c r="D40" s="75" t="s">
        <v>162</v>
      </c>
      <c r="E40" s="400">
        <v>68</v>
      </c>
      <c r="F40" s="249">
        <v>68</v>
      </c>
      <c r="G40" s="74">
        <v>68</v>
      </c>
      <c r="H40" s="74">
        <v>68</v>
      </c>
      <c r="I40" s="75">
        <v>68</v>
      </c>
      <c r="J40" s="260"/>
      <c r="K40" s="104"/>
      <c r="L40" s="260"/>
      <c r="M40" s="104"/>
      <c r="N40" s="104"/>
      <c r="O40" s="104"/>
      <c r="P40" s="104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2"/>
      <c r="CB40" s="62"/>
      <c r="CC40" s="62"/>
      <c r="CD40" s="62"/>
      <c r="CE40" s="62"/>
      <c r="CF40" s="62"/>
      <c r="CG40" s="62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  <c r="EA40" s="62"/>
      <c r="EB40" s="62"/>
      <c r="EC40" s="62"/>
      <c r="ED40" s="62"/>
      <c r="EE40" s="62"/>
      <c r="EF40" s="62"/>
      <c r="EG40" s="62"/>
      <c r="EH40" s="62"/>
    </row>
    <row r="41" spans="1:138" thickBot="1" x14ac:dyDescent="0.3">
      <c r="A41" s="62"/>
      <c r="B41" s="73" t="s">
        <v>133</v>
      </c>
      <c r="C41" s="74" t="s">
        <v>134</v>
      </c>
      <c r="D41" s="75" t="s">
        <v>89</v>
      </c>
      <c r="E41" s="400">
        <f>+E38</f>
        <v>0.8</v>
      </c>
      <c r="F41" s="249">
        <f>+F38</f>
        <v>0.7</v>
      </c>
      <c r="G41" s="74">
        <v>1</v>
      </c>
      <c r="H41" s="74">
        <v>1.2</v>
      </c>
      <c r="I41" s="75">
        <v>0.6</v>
      </c>
      <c r="J41" s="260"/>
      <c r="K41" s="104"/>
      <c r="L41" s="260"/>
      <c r="M41" s="104"/>
      <c r="N41" s="104"/>
      <c r="O41" s="104"/>
      <c r="P41" s="104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2"/>
      <c r="CD41" s="62"/>
      <c r="CE41" s="62"/>
      <c r="CF41" s="62"/>
      <c r="CG41" s="62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  <c r="EA41" s="62"/>
      <c r="EB41" s="62"/>
      <c r="EC41" s="62"/>
      <c r="ED41" s="62"/>
      <c r="EE41" s="62"/>
      <c r="EF41" s="62"/>
      <c r="EG41" s="62"/>
      <c r="EH41" s="62"/>
    </row>
    <row r="42" spans="1:138" thickBot="1" x14ac:dyDescent="0.3">
      <c r="A42" s="62"/>
      <c r="B42" s="73" t="s">
        <v>135</v>
      </c>
      <c r="C42" s="74" t="s">
        <v>136</v>
      </c>
      <c r="D42" s="75" t="s">
        <v>163</v>
      </c>
      <c r="E42" s="400" t="s">
        <v>137</v>
      </c>
      <c r="F42" s="249" t="s">
        <v>137</v>
      </c>
      <c r="G42" s="74" t="s">
        <v>138</v>
      </c>
      <c r="H42" s="74" t="s">
        <v>138</v>
      </c>
      <c r="I42" s="75" t="s">
        <v>138</v>
      </c>
      <c r="J42" s="260"/>
      <c r="K42" s="104"/>
      <c r="L42" s="260"/>
      <c r="M42" s="104"/>
      <c r="N42" s="104"/>
      <c r="O42" s="104"/>
      <c r="P42" s="104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2"/>
      <c r="CB42" s="62"/>
      <c r="CC42" s="62"/>
      <c r="CD42" s="62"/>
      <c r="CE42" s="62"/>
      <c r="CF42" s="62"/>
      <c r="CG42" s="62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  <c r="EA42" s="62"/>
      <c r="EB42" s="62"/>
      <c r="EC42" s="62"/>
      <c r="ED42" s="62"/>
      <c r="EE42" s="62"/>
      <c r="EF42" s="62"/>
      <c r="EG42" s="62"/>
      <c r="EH42" s="62"/>
    </row>
    <row r="43" spans="1:138" thickBot="1" x14ac:dyDescent="0.3">
      <c r="A43" s="62"/>
      <c r="B43" s="73" t="s">
        <v>139</v>
      </c>
      <c r="C43" s="74" t="s">
        <v>140</v>
      </c>
      <c r="D43" s="75" t="s">
        <v>163</v>
      </c>
      <c r="E43" s="400">
        <v>0</v>
      </c>
      <c r="F43" s="249">
        <v>0</v>
      </c>
      <c r="G43" s="74">
        <v>11</v>
      </c>
      <c r="H43" s="74">
        <v>12</v>
      </c>
      <c r="I43" s="75">
        <v>10</v>
      </c>
      <c r="J43" s="287"/>
      <c r="K43" s="514"/>
      <c r="L43" s="515"/>
      <c r="M43" s="514"/>
      <c r="N43" s="514"/>
      <c r="O43" s="514"/>
      <c r="P43" s="105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2"/>
      <c r="CB43" s="62"/>
      <c r="CC43" s="62"/>
      <c r="CD43" s="62"/>
      <c r="CE43" s="62"/>
      <c r="CF43" s="62"/>
      <c r="CG43" s="62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  <c r="EA43" s="62"/>
      <c r="EB43" s="62"/>
      <c r="EC43" s="62"/>
      <c r="ED43" s="62"/>
      <c r="EE43" s="62"/>
      <c r="EF43" s="62"/>
      <c r="EG43" s="62"/>
      <c r="EH43" s="62"/>
    </row>
    <row r="44" spans="1:138" thickBot="1" x14ac:dyDescent="0.3">
      <c r="A44" s="62"/>
      <c r="B44" s="73" t="s">
        <v>141</v>
      </c>
      <c r="C44" s="74" t="s">
        <v>142</v>
      </c>
      <c r="D44" s="75" t="s">
        <v>89</v>
      </c>
      <c r="E44" s="400">
        <v>0</v>
      </c>
      <c r="F44" s="249">
        <v>0</v>
      </c>
      <c r="G44" s="74">
        <v>0.1</v>
      </c>
      <c r="H44" s="74">
        <v>0.1</v>
      </c>
      <c r="I44" s="75">
        <v>0.1</v>
      </c>
      <c r="J44" s="260"/>
      <c r="K44" s="514"/>
      <c r="L44" s="515"/>
      <c r="M44" s="514"/>
      <c r="N44" s="514"/>
      <c r="O44" s="514"/>
      <c r="P44" s="104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  <c r="EA44" s="62"/>
      <c r="EB44" s="62"/>
      <c r="EC44" s="62"/>
      <c r="ED44" s="62"/>
      <c r="EE44" s="62"/>
      <c r="EF44" s="62"/>
      <c r="EG44" s="62"/>
      <c r="EH44" s="62"/>
    </row>
    <row r="45" spans="1:138" thickBot="1" x14ac:dyDescent="0.3">
      <c r="A45" s="62"/>
      <c r="B45" s="73" t="s">
        <v>143</v>
      </c>
      <c r="C45" s="74" t="s">
        <v>144</v>
      </c>
      <c r="D45" s="75" t="s">
        <v>89</v>
      </c>
      <c r="E45" s="400">
        <v>0</v>
      </c>
      <c r="F45" s="249">
        <v>0</v>
      </c>
      <c r="G45" s="74">
        <v>0.08</v>
      </c>
      <c r="H45" s="74">
        <v>0</v>
      </c>
      <c r="I45" s="75">
        <v>0</v>
      </c>
      <c r="J45" s="260"/>
      <c r="K45" s="514"/>
      <c r="L45" s="515"/>
      <c r="M45" s="514"/>
      <c r="N45" s="514"/>
      <c r="O45" s="514"/>
      <c r="P45" s="104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2"/>
      <c r="CB45" s="62"/>
      <c r="CC45" s="62"/>
      <c r="CD45" s="62"/>
      <c r="CE45" s="62"/>
      <c r="CF45" s="62"/>
      <c r="CG45" s="62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  <c r="EA45" s="62"/>
      <c r="EB45" s="62"/>
      <c r="EC45" s="62"/>
      <c r="ED45" s="62"/>
      <c r="EE45" s="62"/>
      <c r="EF45" s="62"/>
      <c r="EG45" s="62"/>
      <c r="EH45" s="62"/>
    </row>
    <row r="46" spans="1:138" thickBot="1" x14ac:dyDescent="0.3">
      <c r="A46" s="62"/>
      <c r="B46" s="73" t="s">
        <v>145</v>
      </c>
      <c r="C46" s="74" t="s">
        <v>146</v>
      </c>
      <c r="D46" s="75" t="s">
        <v>89</v>
      </c>
      <c r="E46" s="400">
        <v>0</v>
      </c>
      <c r="F46" s="249">
        <v>0</v>
      </c>
      <c r="G46" s="74">
        <v>0</v>
      </c>
      <c r="H46" s="74">
        <v>0</v>
      </c>
      <c r="I46" s="75">
        <v>0</v>
      </c>
      <c r="J46" s="260"/>
      <c r="K46" s="514"/>
      <c r="L46" s="515"/>
      <c r="M46" s="514"/>
      <c r="N46" s="514"/>
      <c r="O46" s="514"/>
      <c r="P46" s="104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2"/>
      <c r="CB46" s="62"/>
      <c r="CC46" s="62"/>
      <c r="CD46" s="62"/>
      <c r="CE46" s="62"/>
      <c r="CF46" s="62"/>
      <c r="CG46" s="62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  <c r="EA46" s="62"/>
      <c r="EB46" s="62"/>
      <c r="EC46" s="62"/>
      <c r="ED46" s="62"/>
      <c r="EE46" s="62"/>
      <c r="EF46" s="62"/>
      <c r="EG46" s="62"/>
      <c r="EH46" s="62"/>
    </row>
    <row r="47" spans="1:138" thickBot="1" x14ac:dyDescent="0.3">
      <c r="A47" s="62"/>
      <c r="B47" s="73" t="s">
        <v>147</v>
      </c>
      <c r="C47" s="74" t="s">
        <v>148</v>
      </c>
      <c r="D47" s="75" t="s">
        <v>89</v>
      </c>
      <c r="E47" s="400">
        <v>0</v>
      </c>
      <c r="F47" s="249">
        <v>0</v>
      </c>
      <c r="G47" s="74">
        <v>0</v>
      </c>
      <c r="H47" s="74">
        <v>0.2</v>
      </c>
      <c r="I47" s="75">
        <v>0.2</v>
      </c>
      <c r="J47" s="260"/>
      <c r="K47" s="514"/>
      <c r="L47" s="515"/>
      <c r="M47" s="514"/>
      <c r="N47" s="514"/>
      <c r="O47" s="514"/>
      <c r="P47" s="104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2"/>
      <c r="CB47" s="62"/>
      <c r="CC47" s="62"/>
      <c r="CD47" s="62"/>
      <c r="CE47" s="62"/>
      <c r="CF47" s="62"/>
      <c r="CG47" s="62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  <c r="EA47" s="62"/>
      <c r="EB47" s="62"/>
      <c r="EC47" s="62"/>
      <c r="ED47" s="62"/>
      <c r="EE47" s="62"/>
      <c r="EF47" s="62"/>
      <c r="EG47" s="62"/>
      <c r="EH47" s="62"/>
    </row>
    <row r="48" spans="1:138" thickBot="1" x14ac:dyDescent="0.3">
      <c r="A48" s="62"/>
      <c r="B48" s="100" t="s">
        <v>336</v>
      </c>
      <c r="C48" s="101" t="s">
        <v>337</v>
      </c>
      <c r="D48" s="402" t="s">
        <v>89</v>
      </c>
      <c r="E48" s="401">
        <v>6.3499999999999997E-3</v>
      </c>
      <c r="F48" s="250">
        <v>6.3499999999999997E-3</v>
      </c>
      <c r="G48" s="102">
        <v>6.3499999999999997E-3</v>
      </c>
      <c r="H48" s="102">
        <v>6.3499999999999997E-3</v>
      </c>
      <c r="I48" s="103">
        <v>6.3499999999999997E-3</v>
      </c>
      <c r="J48" s="260"/>
      <c r="K48" s="514"/>
      <c r="L48" s="515"/>
      <c r="M48" s="514"/>
      <c r="N48" s="514"/>
      <c r="O48" s="514"/>
      <c r="P48" s="104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2"/>
      <c r="CB48" s="62"/>
      <c r="CC48" s="62"/>
      <c r="CD48" s="62"/>
      <c r="CE48" s="62"/>
      <c r="CF48" s="62"/>
      <c r="CG48" s="62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  <c r="EA48" s="62"/>
      <c r="EB48" s="62"/>
      <c r="EC48" s="62"/>
      <c r="ED48" s="62"/>
      <c r="EE48" s="62"/>
      <c r="EF48" s="62"/>
      <c r="EG48" s="62"/>
      <c r="EH48" s="62"/>
    </row>
    <row r="49" spans="1:138" thickBot="1" x14ac:dyDescent="0.3">
      <c r="A49" s="62"/>
      <c r="B49" s="532" t="s">
        <v>164</v>
      </c>
      <c r="C49" s="533"/>
      <c r="D49" s="533"/>
      <c r="E49" s="533"/>
      <c r="F49" s="533"/>
      <c r="G49" s="533"/>
      <c r="H49" s="533"/>
      <c r="I49" s="534"/>
      <c r="J49" s="260"/>
      <c r="K49" s="514"/>
      <c r="L49" s="515">
        <v>39.207000000000001</v>
      </c>
      <c r="M49" s="514">
        <f>1.767+0.866+0.0157+0.793+0.72+0.242+0.546+0.642</f>
        <v>5.5917000000000003</v>
      </c>
      <c r="N49" s="514">
        <f>+L49-M49</f>
        <v>33.615299999999998</v>
      </c>
      <c r="O49" s="514"/>
      <c r="P49" s="104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2"/>
      <c r="CB49" s="62"/>
      <c r="CC49" s="62"/>
      <c r="CD49" s="62"/>
      <c r="CE49" s="62"/>
      <c r="CF49" s="62"/>
      <c r="CG49" s="62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  <c r="EA49" s="62"/>
      <c r="EB49" s="62"/>
      <c r="EC49" s="62"/>
      <c r="ED49" s="62"/>
      <c r="EE49" s="62"/>
      <c r="EF49" s="62"/>
      <c r="EG49" s="62"/>
      <c r="EH49" s="62"/>
    </row>
    <row r="50" spans="1:138" thickBot="1" x14ac:dyDescent="0.3">
      <c r="A50" s="571" t="s">
        <v>403</v>
      </c>
      <c r="B50" s="423" t="s">
        <v>149</v>
      </c>
      <c r="C50" s="424" t="s">
        <v>150</v>
      </c>
      <c r="D50" s="425" t="s">
        <v>39</v>
      </c>
      <c r="E50" s="426">
        <v>0.42399999999999999</v>
      </c>
      <c r="F50" s="427">
        <v>0.27300000000000002</v>
      </c>
      <c r="G50" s="428">
        <v>0.26500000000000001</v>
      </c>
      <c r="H50" s="428">
        <v>0.28199999999999997</v>
      </c>
      <c r="I50" s="429">
        <v>0.23100000000000001</v>
      </c>
      <c r="J50" s="260"/>
      <c r="K50" s="514"/>
      <c r="L50" s="515"/>
      <c r="M50" s="514"/>
      <c r="N50" s="514"/>
      <c r="O50" s="514"/>
      <c r="P50" s="104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2"/>
      <c r="CB50" s="62"/>
      <c r="CC50" s="62"/>
      <c r="CD50" s="62"/>
      <c r="CE50" s="62"/>
      <c r="CF50" s="62"/>
      <c r="CG50" s="62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  <c r="EA50" s="62"/>
      <c r="EB50" s="62"/>
      <c r="EC50" s="62"/>
      <c r="ED50" s="62"/>
      <c r="EE50" s="62"/>
      <c r="EF50" s="62"/>
      <c r="EG50" s="62"/>
      <c r="EH50" s="62"/>
    </row>
    <row r="51" spans="1:138" thickBot="1" x14ac:dyDescent="0.3">
      <c r="A51" s="571"/>
      <c r="B51" s="430" t="s">
        <v>151</v>
      </c>
      <c r="C51" s="431" t="s">
        <v>152</v>
      </c>
      <c r="D51" s="432" t="s">
        <v>89</v>
      </c>
      <c r="E51" s="433">
        <v>2.173</v>
      </c>
      <c r="F51" s="434">
        <v>2.4430000000000001</v>
      </c>
      <c r="G51" s="435">
        <v>4.7670000000000003</v>
      </c>
      <c r="H51" s="435">
        <v>4.8310000000000004</v>
      </c>
      <c r="I51" s="436">
        <v>3.99</v>
      </c>
      <c r="J51" s="260"/>
      <c r="K51" s="514"/>
      <c r="L51" s="515"/>
      <c r="M51" s="514"/>
      <c r="N51" s="514"/>
      <c r="O51" s="514"/>
      <c r="P51" s="104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2"/>
      <c r="CB51" s="62"/>
      <c r="CC51" s="62"/>
      <c r="CD51" s="62"/>
      <c r="CE51" s="62"/>
      <c r="CF51" s="62"/>
      <c r="CG51" s="62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</row>
    <row r="52" spans="1:138" thickBot="1" x14ac:dyDescent="0.3">
      <c r="A52" s="571"/>
      <c r="B52" s="430" t="s">
        <v>155</v>
      </c>
      <c r="C52" s="431" t="s">
        <v>156</v>
      </c>
      <c r="D52" s="432" t="s">
        <v>89</v>
      </c>
      <c r="E52" s="437">
        <v>0.39439999999999997</v>
      </c>
      <c r="F52" s="438">
        <v>0.3256</v>
      </c>
      <c r="G52" s="439">
        <v>0.2666</v>
      </c>
      <c r="H52" s="439">
        <v>0.35549999999999998</v>
      </c>
      <c r="I52" s="440">
        <v>0.39510000000000001</v>
      </c>
      <c r="J52" s="260"/>
      <c r="K52" s="514">
        <f>+E53+E54</f>
        <v>1.871</v>
      </c>
      <c r="L52" s="515">
        <f>+F53+F54</f>
        <v>2.4479999999999995</v>
      </c>
      <c r="M52" s="514">
        <f>+G53+G54</f>
        <v>4.7549999999999999</v>
      </c>
      <c r="N52" s="514">
        <f>+H53+H54</f>
        <v>2.8879999999999999</v>
      </c>
      <c r="O52" s="514">
        <f>+I53+I54</f>
        <v>1.8679999999999999</v>
      </c>
      <c r="P52" s="104">
        <f>+K52+L52+M52+N52+O52+(15.941+0.637+2.093+0.326*2)</f>
        <v>33.152999999999999</v>
      </c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2"/>
      <c r="CB52" s="62"/>
      <c r="CC52" s="62"/>
      <c r="CD52" s="62"/>
      <c r="CE52" s="62"/>
      <c r="CF52" s="62"/>
      <c r="CG52" s="62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  <c r="EA52" s="62"/>
      <c r="EB52" s="62"/>
      <c r="EC52" s="62"/>
      <c r="ED52" s="62"/>
      <c r="EE52" s="62"/>
      <c r="EF52" s="62"/>
      <c r="EG52" s="62"/>
      <c r="EH52" s="62"/>
    </row>
    <row r="53" spans="1:138" thickBot="1" x14ac:dyDescent="0.3">
      <c r="A53" s="571"/>
      <c r="B53" s="451" t="s">
        <v>157</v>
      </c>
      <c r="C53" s="77" t="s">
        <v>158</v>
      </c>
      <c r="D53" s="78" t="s">
        <v>39</v>
      </c>
      <c r="E53" s="76">
        <f>+(0.211+0.405+0.101)*2</f>
        <v>1.4339999999999999</v>
      </c>
      <c r="F53" s="251">
        <f>2*(0.311+0.115+0.258)</f>
        <v>1.3679999999999999</v>
      </c>
      <c r="G53" s="77">
        <f>2*(0.652+0.203+0.017+0.199+0.081)</f>
        <v>2.3039999999999998</v>
      </c>
      <c r="H53" s="77">
        <f>2*(0.076+0.508)</f>
        <v>1.1679999999999999</v>
      </c>
      <c r="I53" s="78">
        <f>2*(0.456+0.03)</f>
        <v>0.97199999999999998</v>
      </c>
      <c r="J53" s="260"/>
      <c r="K53" s="514">
        <f>+K52/$P$52</f>
        <v>5.6435315054444546E-2</v>
      </c>
      <c r="L53" s="515">
        <f t="shared" ref="L53:O53" si="0">+L52/$P$52</f>
        <v>7.3839471541036997E-2</v>
      </c>
      <c r="M53" s="514">
        <f t="shared" si="0"/>
        <v>0.14342593430458783</v>
      </c>
      <c r="N53" s="514">
        <f t="shared" si="0"/>
        <v>8.7111271981419477E-2</v>
      </c>
      <c r="O53" s="514">
        <f t="shared" si="0"/>
        <v>5.6344825505987392E-2</v>
      </c>
      <c r="P53" s="104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2"/>
      <c r="CB53" s="62"/>
      <c r="CC53" s="62"/>
      <c r="CD53" s="62"/>
      <c r="CE53" s="62"/>
      <c r="CF53" s="62"/>
      <c r="CG53" s="62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  <c r="EA53" s="62"/>
      <c r="EB53" s="62"/>
      <c r="EC53" s="62"/>
      <c r="ED53" s="62"/>
      <c r="EE53" s="62"/>
      <c r="EF53" s="62"/>
      <c r="EG53" s="62"/>
      <c r="EH53" s="62"/>
    </row>
    <row r="54" spans="1:138" thickBot="1" x14ac:dyDescent="0.3">
      <c r="A54" s="571"/>
      <c r="B54" s="451" t="s">
        <v>394</v>
      </c>
      <c r="C54" s="77" t="s">
        <v>159</v>
      </c>
      <c r="D54" s="78" t="s">
        <v>39</v>
      </c>
      <c r="E54" s="76">
        <f>0.369+0.068</f>
        <v>0.437</v>
      </c>
      <c r="F54" s="251">
        <f>0.353+0.333+0.085+0.309</f>
        <v>1.0799999999999998</v>
      </c>
      <c r="G54" s="77">
        <f>0.939+0.202+0.448+0.446+0.416</f>
        <v>2.4510000000000001</v>
      </c>
      <c r="H54" s="77">
        <f>1.128+0.237+0.157+0.198</f>
        <v>1.7199999999999998</v>
      </c>
      <c r="I54" s="78">
        <f>0.866+0.03</f>
        <v>0.89600000000000002</v>
      </c>
      <c r="J54" s="260"/>
      <c r="K54" s="514"/>
      <c r="L54" s="515"/>
      <c r="M54" s="514"/>
      <c r="N54" s="514"/>
      <c r="O54" s="514"/>
      <c r="P54" s="104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  <c r="CG54" s="62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  <c r="EA54" s="62"/>
      <c r="EB54" s="62"/>
      <c r="EC54" s="62"/>
      <c r="ED54" s="62"/>
      <c r="EE54" s="62"/>
      <c r="EF54" s="62"/>
      <c r="EG54" s="62"/>
      <c r="EH54" s="62"/>
    </row>
    <row r="55" spans="1:138" thickBot="1" x14ac:dyDescent="0.3">
      <c r="A55" s="571"/>
      <c r="B55" s="430" t="s">
        <v>398</v>
      </c>
      <c r="C55" s="431" t="s">
        <v>398</v>
      </c>
      <c r="D55" s="440" t="s">
        <v>39</v>
      </c>
      <c r="E55" s="441">
        <v>0.66100000000000003</v>
      </c>
      <c r="F55" s="442">
        <v>0.31900000000000001</v>
      </c>
      <c r="G55" s="443">
        <v>0.98399999999999999</v>
      </c>
      <c r="H55" s="443">
        <v>0.94523999999999997</v>
      </c>
      <c r="I55" s="444">
        <v>0.36699999999999999</v>
      </c>
      <c r="J55" s="260"/>
      <c r="K55" s="514"/>
      <c r="L55" s="515"/>
      <c r="M55" s="514"/>
      <c r="N55" s="514"/>
      <c r="O55" s="514"/>
      <c r="P55" s="104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2"/>
      <c r="CB55" s="62"/>
      <c r="CC55" s="62"/>
      <c r="CD55" s="62"/>
      <c r="CE55" s="62"/>
      <c r="CF55" s="62"/>
      <c r="CG55" s="62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  <c r="EA55" s="62"/>
      <c r="EB55" s="62"/>
      <c r="EC55" s="62"/>
      <c r="ED55" s="62"/>
      <c r="EE55" s="62"/>
      <c r="EF55" s="62"/>
      <c r="EG55" s="62"/>
      <c r="EH55" s="62"/>
    </row>
    <row r="56" spans="1:138" thickBot="1" x14ac:dyDescent="0.3">
      <c r="A56" s="571"/>
      <c r="B56" s="445" t="s">
        <v>397</v>
      </c>
      <c r="C56" s="446" t="s">
        <v>161</v>
      </c>
      <c r="D56" s="447" t="s">
        <v>39</v>
      </c>
      <c r="E56" s="448">
        <f>+E55</f>
        <v>0.66100000000000003</v>
      </c>
      <c r="F56" s="449">
        <f>+F55</f>
        <v>0.31900000000000001</v>
      </c>
      <c r="G56" s="450">
        <f>+G55+2.02</f>
        <v>3.004</v>
      </c>
      <c r="H56" s="450">
        <f>+H55+2.4436</f>
        <v>3.3888400000000001</v>
      </c>
      <c r="I56" s="447">
        <f>+I55+1.216</f>
        <v>1.583</v>
      </c>
      <c r="J56" s="260"/>
      <c r="K56" s="514"/>
      <c r="L56" s="515"/>
      <c r="M56" s="514"/>
      <c r="N56" s="514"/>
      <c r="O56" s="514"/>
      <c r="P56" s="104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2"/>
      <c r="CB56" s="62"/>
      <c r="CC56" s="62"/>
      <c r="CD56" s="62"/>
      <c r="CE56" s="62"/>
      <c r="CF56" s="62"/>
      <c r="CG56" s="62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  <c r="EA56" s="62"/>
      <c r="EB56" s="62"/>
      <c r="EC56" s="62"/>
      <c r="ED56" s="62"/>
      <c r="EE56" s="62"/>
      <c r="EF56" s="62"/>
      <c r="EG56" s="62"/>
      <c r="EH56" s="62"/>
    </row>
    <row r="57" spans="1:138" thickBot="1" x14ac:dyDescent="0.3">
      <c r="A57" s="62"/>
      <c r="B57" s="69"/>
      <c r="C57" s="69"/>
      <c r="D57" s="109"/>
      <c r="E57" s="69"/>
      <c r="F57" s="247"/>
      <c r="G57" s="69"/>
      <c r="H57" s="69"/>
      <c r="I57" s="69"/>
      <c r="J57" s="260"/>
      <c r="K57" s="104"/>
      <c r="L57" s="260"/>
      <c r="M57" s="104"/>
      <c r="N57" s="104"/>
      <c r="O57" s="104"/>
      <c r="P57" s="104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2"/>
      <c r="CB57" s="62"/>
      <c r="CC57" s="62"/>
      <c r="CD57" s="62"/>
      <c r="CE57" s="62"/>
      <c r="CF57" s="62"/>
      <c r="CG57" s="62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  <c r="EA57" s="62"/>
      <c r="EB57" s="62"/>
      <c r="EC57" s="62"/>
      <c r="ED57" s="62"/>
      <c r="EE57" s="62"/>
      <c r="EF57" s="62"/>
      <c r="EG57" s="62"/>
      <c r="EH57" s="62"/>
    </row>
    <row r="58" spans="1:138" thickBot="1" x14ac:dyDescent="0.3">
      <c r="A58" s="529" t="s">
        <v>401</v>
      </c>
      <c r="B58" s="530"/>
      <c r="C58" s="530"/>
      <c r="D58" s="530"/>
      <c r="E58" s="530"/>
      <c r="F58" s="530"/>
      <c r="G58" s="530"/>
      <c r="H58" s="530"/>
      <c r="I58" s="530"/>
      <c r="J58" s="530"/>
      <c r="K58" s="530"/>
      <c r="L58" s="530"/>
      <c r="M58" s="530"/>
      <c r="N58" s="530"/>
      <c r="O58" s="530"/>
      <c r="P58" s="531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2"/>
      <c r="CB58" s="62"/>
      <c r="CC58" s="62"/>
      <c r="CD58" s="62"/>
      <c r="CE58" s="62"/>
      <c r="CF58" s="62"/>
      <c r="CG58" s="62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  <c r="EA58" s="62"/>
      <c r="EB58" s="62"/>
      <c r="EC58" s="62"/>
      <c r="ED58" s="62"/>
      <c r="EE58" s="62"/>
      <c r="EF58" s="62"/>
      <c r="EG58" s="62"/>
      <c r="EH58" s="62"/>
    </row>
    <row r="59" spans="1:138" thickBot="1" x14ac:dyDescent="0.3">
      <c r="A59" s="109"/>
      <c r="B59" s="109"/>
      <c r="C59" s="109"/>
      <c r="D59" s="109"/>
      <c r="E59" s="109"/>
      <c r="F59" s="252"/>
      <c r="G59" s="109"/>
      <c r="H59" s="109"/>
      <c r="I59" s="109"/>
      <c r="J59" s="288"/>
      <c r="K59" s="161"/>
      <c r="L59" s="288"/>
      <c r="M59" s="161"/>
      <c r="N59" s="161"/>
      <c r="O59" s="161"/>
      <c r="P59" s="161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2"/>
      <c r="CB59" s="62"/>
      <c r="CC59" s="62"/>
      <c r="CD59" s="62"/>
      <c r="CE59" s="62"/>
      <c r="CF59" s="62"/>
      <c r="CG59" s="62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  <c r="EA59" s="62"/>
      <c r="EB59" s="62"/>
      <c r="EC59" s="62"/>
      <c r="ED59" s="62"/>
      <c r="EE59" s="62"/>
      <c r="EF59" s="62"/>
      <c r="EG59" s="62"/>
      <c r="EH59" s="62"/>
    </row>
    <row r="60" spans="1:138" thickBot="1" x14ac:dyDescent="0.3">
      <c r="A60" s="109"/>
      <c r="B60" s="163" t="s">
        <v>165</v>
      </c>
      <c r="C60" s="164" t="s">
        <v>166</v>
      </c>
      <c r="D60" s="164" t="s">
        <v>63</v>
      </c>
      <c r="E60" s="164">
        <v>3</v>
      </c>
      <c r="F60" s="253">
        <v>4</v>
      </c>
      <c r="G60" s="164">
        <v>2</v>
      </c>
      <c r="H60" s="164">
        <v>1</v>
      </c>
      <c r="I60" s="165" t="s">
        <v>236</v>
      </c>
      <c r="J60" s="288"/>
      <c r="K60" s="161"/>
      <c r="L60" s="288"/>
      <c r="M60" s="161"/>
      <c r="N60" s="161"/>
      <c r="O60" s="161"/>
      <c r="P60" s="161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2"/>
      <c r="CB60" s="62"/>
      <c r="CC60" s="62"/>
      <c r="CD60" s="62"/>
      <c r="CE60" s="62"/>
      <c r="CF60" s="62"/>
      <c r="CG60" s="62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  <c r="EA60" s="62"/>
      <c r="EB60" s="62"/>
      <c r="EC60" s="62"/>
      <c r="ED60" s="62"/>
      <c r="EE60" s="62"/>
      <c r="EF60" s="62"/>
      <c r="EG60" s="62"/>
      <c r="EH60" s="62"/>
    </row>
    <row r="61" spans="1:138" thickBot="1" x14ac:dyDescent="0.3">
      <c r="A61" s="109"/>
      <c r="B61" s="120" t="s">
        <v>167</v>
      </c>
      <c r="C61" s="121" t="s">
        <v>183</v>
      </c>
      <c r="D61" s="121" t="s">
        <v>168</v>
      </c>
      <c r="E61" s="122">
        <f>+G62</f>
        <v>32.408464037388313</v>
      </c>
      <c r="F61" s="254">
        <f>+E62</f>
        <v>75</v>
      </c>
      <c r="G61" s="122">
        <f>+H62</f>
        <v>22</v>
      </c>
      <c r="H61" s="122">
        <f>D8</f>
        <v>17</v>
      </c>
      <c r="I61" s="123">
        <v>22</v>
      </c>
      <c r="J61" s="288"/>
      <c r="K61" s="161"/>
      <c r="L61" s="288"/>
      <c r="M61" s="161"/>
      <c r="N61" s="161"/>
      <c r="O61" s="161"/>
      <c r="P61" s="161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2"/>
      <c r="CB61" s="62"/>
      <c r="CC61" s="62"/>
      <c r="CD61" s="62"/>
      <c r="CE61" s="62"/>
      <c r="CF61" s="62"/>
      <c r="CG61" s="62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  <c r="EA61" s="62"/>
      <c r="EB61" s="62"/>
      <c r="EC61" s="62"/>
      <c r="ED61" s="62"/>
      <c r="EE61" s="62"/>
      <c r="EF61" s="62"/>
      <c r="EG61" s="62"/>
      <c r="EH61" s="62"/>
    </row>
    <row r="62" spans="1:138" thickBot="1" x14ac:dyDescent="0.3">
      <c r="A62" s="109"/>
      <c r="B62" s="120" t="s">
        <v>169</v>
      </c>
      <c r="C62" s="121" t="s">
        <v>184</v>
      </c>
      <c r="D62" s="121" t="s">
        <v>168</v>
      </c>
      <c r="E62" s="122">
        <v>75</v>
      </c>
      <c r="F62" s="254">
        <f>+D12</f>
        <v>93.4</v>
      </c>
      <c r="G62" s="122">
        <v>32.408464037388313</v>
      </c>
      <c r="H62" s="122">
        <v>22</v>
      </c>
      <c r="I62" s="123">
        <v>40</v>
      </c>
      <c r="J62" s="288"/>
      <c r="K62" s="161"/>
      <c r="L62" s="288"/>
      <c r="M62" s="161"/>
      <c r="N62" s="161"/>
      <c r="O62" s="161"/>
      <c r="P62" s="161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2"/>
      <c r="CB62" s="62"/>
      <c r="CC62" s="62"/>
      <c r="CD62" s="62"/>
      <c r="CE62" s="62"/>
      <c r="CF62" s="62"/>
      <c r="CG62" s="62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  <c r="EA62" s="62"/>
      <c r="EB62" s="62"/>
      <c r="EC62" s="62"/>
      <c r="ED62" s="62"/>
      <c r="EE62" s="62"/>
      <c r="EF62" s="62"/>
      <c r="EG62" s="62"/>
      <c r="EH62" s="62"/>
    </row>
    <row r="63" spans="1:138" thickBot="1" x14ac:dyDescent="0.3">
      <c r="A63" s="109"/>
      <c r="B63" s="166" t="s">
        <v>170</v>
      </c>
      <c r="C63" s="167" t="s">
        <v>185</v>
      </c>
      <c r="D63" s="167" t="s">
        <v>168</v>
      </c>
      <c r="E63" s="167">
        <f>(E61+E62)/2</f>
        <v>53.704232018694157</v>
      </c>
      <c r="F63" s="255">
        <f>(F61+F62)/2</f>
        <v>84.2</v>
      </c>
      <c r="G63" s="167">
        <f>(G61+G62)/2</f>
        <v>27.204232018694157</v>
      </c>
      <c r="H63" s="167">
        <f>(H61+H62)/2</f>
        <v>19.5</v>
      </c>
      <c r="I63" s="168">
        <f>(I61+I62)/2</f>
        <v>31</v>
      </c>
      <c r="J63" s="288"/>
      <c r="K63" s="161"/>
      <c r="L63" s="288">
        <f>+F64</f>
        <v>51.435489882352933</v>
      </c>
      <c r="M63" s="161"/>
      <c r="N63" s="161"/>
      <c r="O63" s="161"/>
      <c r="P63" s="161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2"/>
      <c r="CB63" s="62"/>
      <c r="CC63" s="62"/>
      <c r="CD63" s="62"/>
      <c r="CE63" s="62"/>
      <c r="CF63" s="62"/>
      <c r="CG63" s="62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  <c r="EA63" s="62"/>
      <c r="EB63" s="62"/>
      <c r="EC63" s="62"/>
      <c r="ED63" s="62"/>
      <c r="EE63" s="62"/>
      <c r="EF63" s="62"/>
      <c r="EG63" s="62"/>
      <c r="EH63" s="62"/>
    </row>
    <row r="64" spans="1:138" thickBot="1" x14ac:dyDescent="0.3">
      <c r="A64" s="109"/>
      <c r="B64" s="166" t="s">
        <v>369</v>
      </c>
      <c r="C64" s="167" t="s">
        <v>171</v>
      </c>
      <c r="D64" s="167" t="s">
        <v>55</v>
      </c>
      <c r="E64" s="167">
        <f>+(G64*G61)/E61</f>
        <v>119.03253843582479</v>
      </c>
      <c r="F64" s="255">
        <f>+(E64*E61)/F61</f>
        <v>51.435489882352933</v>
      </c>
      <c r="G64" s="167">
        <f>+((H64*H61)/G61-D6*H64)</f>
        <v>175.34826096256683</v>
      </c>
      <c r="H64" s="169">
        <f>I4</f>
        <v>232.95058823529411</v>
      </c>
      <c r="I64" s="170">
        <f>5%*I9</f>
        <v>10.948677647058823</v>
      </c>
      <c r="J64" s="288"/>
      <c r="K64" s="161"/>
      <c r="L64" s="288">
        <f>+L63*F61/F62</f>
        <v>41.30258823529411</v>
      </c>
      <c r="M64" s="161"/>
      <c r="N64" s="161"/>
      <c r="O64" s="161"/>
      <c r="P64" s="161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</row>
    <row r="65" spans="1:138" thickBot="1" x14ac:dyDescent="0.3">
      <c r="A65" s="109"/>
      <c r="B65" s="166" t="s">
        <v>172</v>
      </c>
      <c r="C65" s="167" t="s">
        <v>173</v>
      </c>
      <c r="D65" s="167" t="s">
        <v>71</v>
      </c>
      <c r="E65" s="167">
        <f>4.18*(1-0.006*E63)</f>
        <v>2.8330978609711504</v>
      </c>
      <c r="F65" s="255">
        <f>4.18*(1-0.006*F63)</f>
        <v>2.0682640000000001</v>
      </c>
      <c r="G65" s="167">
        <f>4.18*(1-0.006*G63)</f>
        <v>3.4977178609711506</v>
      </c>
      <c r="H65" s="167">
        <f>4.18*(1-0.006*H63)</f>
        <v>3.6909399999999999</v>
      </c>
      <c r="I65" s="168">
        <f>4.18*(1-0.006*I63)</f>
        <v>3.40252</v>
      </c>
      <c r="J65" s="288"/>
      <c r="K65" s="161"/>
      <c r="L65" s="288">
        <f>+L63-L64</f>
        <v>10.132901647058823</v>
      </c>
      <c r="M65" s="161"/>
      <c r="N65" s="161"/>
      <c r="O65" s="161"/>
      <c r="P65" s="161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2"/>
      <c r="CB65" s="62"/>
      <c r="CC65" s="62"/>
      <c r="CD65" s="62"/>
      <c r="CE65" s="62"/>
      <c r="CF65" s="62"/>
      <c r="CG65" s="62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  <c r="EA65" s="62"/>
      <c r="EB65" s="62"/>
      <c r="EC65" s="62"/>
      <c r="ED65" s="62"/>
      <c r="EE65" s="62"/>
      <c r="EF65" s="62"/>
      <c r="EG65" s="62"/>
      <c r="EH65" s="62"/>
    </row>
    <row r="66" spans="1:138" thickBot="1" x14ac:dyDescent="0.3">
      <c r="A66" s="109"/>
      <c r="B66" s="166" t="s">
        <v>174</v>
      </c>
      <c r="C66" s="167" t="s">
        <v>175</v>
      </c>
      <c r="D66" s="167" t="s">
        <v>176</v>
      </c>
      <c r="E66" s="167">
        <f>$D$25+0.2209*EXP(0.0557*E63)</f>
        <v>99.246273112282253</v>
      </c>
      <c r="F66" s="255">
        <f>$D$25+0.2209*EXP(0.0557*F63)</f>
        <v>118.89192314264594</v>
      </c>
      <c r="G66" s="167">
        <f>$D$25+0.2209*EXP(0.0557*G63)</f>
        <v>95.852942678070391</v>
      </c>
      <c r="H66" s="167">
        <f>$D$25+0.2209*EXP(0.0557*H63)</f>
        <v>95.502190909656974</v>
      </c>
      <c r="I66" s="168">
        <f>$D$25+0.2209*EXP(0.0557*I63)</f>
        <v>96.089613777968211</v>
      </c>
      <c r="J66" s="288"/>
      <c r="K66" s="161"/>
      <c r="L66" s="288"/>
      <c r="M66" s="161"/>
      <c r="N66" s="161"/>
      <c r="O66" s="161"/>
      <c r="P66" s="161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2"/>
      <c r="CB66" s="62"/>
      <c r="CC66" s="62"/>
      <c r="CD66" s="62"/>
      <c r="CE66" s="62"/>
      <c r="CF66" s="62"/>
      <c r="CG66" s="62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  <c r="EA66" s="62"/>
      <c r="EB66" s="62"/>
      <c r="EC66" s="62"/>
      <c r="ED66" s="62"/>
      <c r="EE66" s="62"/>
      <c r="EF66" s="62"/>
      <c r="EG66" s="62"/>
      <c r="EH66" s="62"/>
    </row>
    <row r="67" spans="1:138" thickBot="1" x14ac:dyDescent="0.3">
      <c r="A67" s="109"/>
      <c r="B67" s="166" t="s">
        <v>177</v>
      </c>
      <c r="C67" s="171" t="s">
        <v>178</v>
      </c>
      <c r="D67" s="167" t="s">
        <v>47</v>
      </c>
      <c r="E67" s="167">
        <f>2492.9-2.0523*E66-0.0030752*E66^2</f>
        <v>2258.9266988425838</v>
      </c>
      <c r="F67" s="255">
        <f>2492.9-2.0523*F66-0.0030752*F66^2</f>
        <v>2205.429264206658</v>
      </c>
      <c r="G67" s="167">
        <f>2492.9-2.0523*G66-0.0030752*G66^2</f>
        <v>2267.9267243278323</v>
      </c>
      <c r="H67" s="167">
        <f>2492.9-2.0523*H66-0.0030752*H66^2</f>
        <v>2268.8529739216428</v>
      </c>
      <c r="I67" s="168">
        <f>2492.9-2.0523*I66-0.0030752*I66^2</f>
        <v>2267.3013063320036</v>
      </c>
      <c r="J67" s="288"/>
      <c r="K67" s="161"/>
      <c r="L67" s="288"/>
      <c r="M67" s="161"/>
      <c r="N67" s="161"/>
      <c r="O67" s="161"/>
      <c r="P67" s="161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2"/>
      <c r="CB67" s="62"/>
      <c r="CC67" s="62"/>
      <c r="CD67" s="62"/>
      <c r="CE67" s="62"/>
      <c r="CF67" s="62"/>
      <c r="CG67" s="62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  <c r="EA67" s="62"/>
      <c r="EB67" s="62"/>
      <c r="EC67" s="62"/>
      <c r="ED67" s="62"/>
      <c r="EE67" s="62"/>
      <c r="EF67" s="62"/>
      <c r="EG67" s="62"/>
      <c r="EH67" s="62"/>
    </row>
    <row r="68" spans="1:138" thickBot="1" x14ac:dyDescent="0.3">
      <c r="A68" s="109"/>
      <c r="B68" s="172" t="s">
        <v>179</v>
      </c>
      <c r="C68" s="173" t="s">
        <v>180</v>
      </c>
      <c r="D68" s="173" t="s">
        <v>55</v>
      </c>
      <c r="E68" s="174">
        <f>+E64-F64</f>
        <v>67.597048553471865</v>
      </c>
      <c r="F68" s="256">
        <f>+F64-(F64*F61/F62)</f>
        <v>10.132901647058823</v>
      </c>
      <c r="G68" s="173">
        <f>+G64-E64</f>
        <v>56.315722526742036</v>
      </c>
      <c r="H68" s="174">
        <f>+H64-G64</f>
        <v>57.60232727272728</v>
      </c>
      <c r="I68" s="175">
        <f>+I64-I64*I63/I62</f>
        <v>2.4634524705882352</v>
      </c>
      <c r="J68" s="289"/>
      <c r="K68" s="161"/>
      <c r="L68" s="288"/>
      <c r="M68" s="161"/>
      <c r="N68" s="161"/>
      <c r="O68" s="161"/>
      <c r="P68" s="161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2"/>
      <c r="CB68" s="62"/>
      <c r="CC68" s="62"/>
      <c r="CD68" s="62"/>
      <c r="CE68" s="62"/>
      <c r="CF68" s="62"/>
      <c r="CG68" s="62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  <c r="EA68" s="62"/>
      <c r="EB68" s="62"/>
      <c r="EC68" s="62"/>
      <c r="ED68" s="62"/>
      <c r="EE68" s="62"/>
      <c r="EF68" s="62"/>
      <c r="EG68" s="62"/>
      <c r="EH68" s="62"/>
    </row>
    <row r="69" spans="1:138" thickBot="1" x14ac:dyDescent="0.3">
      <c r="A69" s="109"/>
      <c r="B69" s="176" t="s">
        <v>181</v>
      </c>
      <c r="C69" s="177" t="s">
        <v>182</v>
      </c>
      <c r="D69" s="177" t="s">
        <v>27</v>
      </c>
      <c r="E69" s="177">
        <f>(E64*E65*(E66- G66)+E68*E67)/3600</f>
        <v>42.733642605357311</v>
      </c>
      <c r="F69" s="257">
        <f>(F64*F65*(F66-E66)+F68*F67)/3600</f>
        <v>6.7881513181215869</v>
      </c>
      <c r="G69" s="177">
        <f>(G64*G65*(G66-H66)+G68*G67)/3600</f>
        <v>35.537515208994201</v>
      </c>
      <c r="H69" s="177">
        <f>(H64*H65*(H66-D19)+H68*H67)/3600</f>
        <v>53.141517696713265</v>
      </c>
      <c r="I69" s="178">
        <f>(I64*I65*(I66-D19)+I68*I67)/3600</f>
        <v>2.2871380879473042</v>
      </c>
      <c r="J69" s="288">
        <f>+E69+F69+G69+H69</f>
        <v>138.20082682918635</v>
      </c>
      <c r="K69" s="161"/>
      <c r="L69" s="288"/>
      <c r="M69" s="161"/>
      <c r="N69" s="161"/>
      <c r="O69" s="161"/>
      <c r="P69" s="161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2"/>
      <c r="CB69" s="62"/>
      <c r="CC69" s="62"/>
      <c r="CD69" s="62"/>
      <c r="CE69" s="62"/>
      <c r="CF69" s="62"/>
      <c r="CG69" s="62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  <c r="EA69" s="62"/>
      <c r="EB69" s="62"/>
      <c r="EC69" s="62"/>
      <c r="ED69" s="62"/>
      <c r="EE69" s="62"/>
      <c r="EF69" s="62"/>
      <c r="EG69" s="62"/>
      <c r="EH69" s="62"/>
    </row>
    <row r="70" spans="1:138" thickBot="1" x14ac:dyDescent="0.3">
      <c r="A70" s="109"/>
      <c r="B70" s="62"/>
      <c r="C70" s="62"/>
      <c r="D70" s="106"/>
      <c r="E70" s="62"/>
      <c r="F70" s="115"/>
      <c r="G70" s="62"/>
      <c r="H70" s="62"/>
      <c r="I70" s="62"/>
      <c r="J70" s="288"/>
      <c r="K70" s="161"/>
      <c r="L70" s="288"/>
      <c r="M70" s="161"/>
      <c r="N70" s="161"/>
      <c r="O70" s="161"/>
      <c r="P70" s="161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2"/>
      <c r="CB70" s="62"/>
      <c r="CC70" s="62"/>
      <c r="CD70" s="62"/>
      <c r="CE70" s="62"/>
      <c r="CF70" s="62"/>
      <c r="CG70" s="62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  <c r="EA70" s="62"/>
      <c r="EB70" s="62"/>
      <c r="EC70" s="62"/>
      <c r="ED70" s="62"/>
      <c r="EE70" s="62"/>
      <c r="EF70" s="62"/>
      <c r="EG70" s="62"/>
      <c r="EH70" s="62"/>
    </row>
    <row r="71" spans="1:138" thickBot="1" x14ac:dyDescent="0.3">
      <c r="A71" s="529" t="s">
        <v>368</v>
      </c>
      <c r="B71" s="530"/>
      <c r="C71" s="530"/>
      <c r="D71" s="530"/>
      <c r="E71" s="530"/>
      <c r="F71" s="530"/>
      <c r="G71" s="530"/>
      <c r="H71" s="530"/>
      <c r="I71" s="530"/>
      <c r="J71" s="530"/>
      <c r="K71" s="530"/>
      <c r="L71" s="530"/>
      <c r="M71" s="530"/>
      <c r="N71" s="530"/>
      <c r="O71" s="530"/>
      <c r="P71" s="531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  <c r="EA71" s="62"/>
      <c r="EB71" s="62"/>
      <c r="EC71" s="62"/>
      <c r="ED71" s="62"/>
      <c r="EE71" s="62"/>
      <c r="EF71" s="62"/>
      <c r="EG71" s="62"/>
      <c r="EH71" s="62"/>
    </row>
    <row r="72" spans="1:138" thickBot="1" x14ac:dyDescent="0.3">
      <c r="A72" s="109"/>
      <c r="B72" s="62"/>
      <c r="C72" s="62"/>
      <c r="D72" s="106"/>
      <c r="E72" s="62"/>
      <c r="F72" s="115"/>
      <c r="G72" s="62"/>
      <c r="H72" s="62"/>
      <c r="I72" s="62"/>
      <c r="J72" s="252"/>
      <c r="K72" s="109"/>
      <c r="L72" s="252"/>
      <c r="M72" s="109"/>
      <c r="N72" s="109"/>
      <c r="O72" s="109"/>
      <c r="P72" s="109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2"/>
      <c r="CB72" s="62"/>
      <c r="CC72" s="62"/>
      <c r="CD72" s="62"/>
      <c r="CE72" s="62"/>
      <c r="CF72" s="62"/>
      <c r="CG72" s="62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  <c r="EA72" s="62"/>
      <c r="EB72" s="62"/>
      <c r="EC72" s="62"/>
      <c r="ED72" s="62"/>
      <c r="EE72" s="62"/>
      <c r="EF72" s="62"/>
      <c r="EG72" s="62"/>
      <c r="EH72" s="62"/>
    </row>
    <row r="73" spans="1:138" thickBot="1" x14ac:dyDescent="0.3">
      <c r="A73" s="62"/>
      <c r="B73" s="376" t="s">
        <v>165</v>
      </c>
      <c r="C73" s="377" t="s">
        <v>166</v>
      </c>
      <c r="D73" s="379" t="s">
        <v>63</v>
      </c>
      <c r="E73" s="389">
        <v>3</v>
      </c>
      <c r="F73" s="378">
        <v>4</v>
      </c>
      <c r="G73" s="377">
        <v>2</v>
      </c>
      <c r="H73" s="377">
        <v>1</v>
      </c>
      <c r="I73" s="379" t="s">
        <v>236</v>
      </c>
      <c r="J73" s="298"/>
      <c r="K73" s="162"/>
      <c r="L73" s="298"/>
      <c r="M73" s="162"/>
      <c r="N73" s="162"/>
      <c r="O73" s="162"/>
      <c r="P73" s="104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2"/>
      <c r="CB73" s="62"/>
      <c r="CC73" s="62"/>
      <c r="CD73" s="62"/>
      <c r="CE73" s="62"/>
      <c r="CF73" s="62"/>
      <c r="CG73" s="62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  <c r="EA73" s="62"/>
      <c r="EB73" s="62"/>
      <c r="EC73" s="62"/>
      <c r="ED73" s="62"/>
      <c r="EE73" s="62"/>
      <c r="EF73" s="62"/>
      <c r="EG73" s="62"/>
      <c r="EH73" s="62"/>
    </row>
    <row r="74" spans="1:138" thickBot="1" x14ac:dyDescent="0.3">
      <c r="A74" s="62"/>
      <c r="B74" s="380" t="s">
        <v>361</v>
      </c>
      <c r="C74" s="112" t="s">
        <v>362</v>
      </c>
      <c r="D74" s="393" t="s">
        <v>233</v>
      </c>
      <c r="E74" s="390">
        <f>+E114</f>
        <v>36.182615318474419</v>
      </c>
      <c r="F74" s="258">
        <f>+F114</f>
        <v>15.211039540602119</v>
      </c>
      <c r="G74" s="124">
        <f>+G114</f>
        <v>52.349343189856725</v>
      </c>
      <c r="H74" s="124">
        <f>+H114</f>
        <v>30.441445840839897</v>
      </c>
      <c r="I74" s="381">
        <f>+I114</f>
        <v>12.767456735139376</v>
      </c>
      <c r="J74" s="482">
        <f>+E74+F74+G74+H74</f>
        <v>134.18444388977315</v>
      </c>
      <c r="K74" s="162"/>
      <c r="L74" s="298"/>
      <c r="M74" s="162"/>
      <c r="N74" s="162"/>
      <c r="O74" s="162"/>
      <c r="P74" s="104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2"/>
      <c r="EF74" s="62"/>
      <c r="EG74" s="62"/>
      <c r="EH74" s="62"/>
    </row>
    <row r="75" spans="1:138" thickBot="1" x14ac:dyDescent="0.3">
      <c r="A75" s="62"/>
      <c r="B75" s="380" t="s">
        <v>167</v>
      </c>
      <c r="C75" s="112" t="s">
        <v>183</v>
      </c>
      <c r="D75" s="393" t="s">
        <v>168</v>
      </c>
      <c r="E75" s="390">
        <f>+G76</f>
        <v>31.324240909697757</v>
      </c>
      <c r="F75" s="258">
        <f>+E76</f>
        <v>59.835949709479628</v>
      </c>
      <c r="G75" s="124">
        <f>+H76</f>
        <v>18.476863816036381</v>
      </c>
      <c r="H75" s="124">
        <f>+D8</f>
        <v>17</v>
      </c>
      <c r="I75" s="381">
        <v>0</v>
      </c>
      <c r="J75" s="298"/>
      <c r="K75" s="162"/>
      <c r="L75" s="298"/>
      <c r="M75" s="162"/>
      <c r="N75" s="162"/>
      <c r="O75" s="162"/>
      <c r="P75" s="104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2"/>
      <c r="CB75" s="62"/>
      <c r="CC75" s="62"/>
      <c r="CD75" s="62"/>
      <c r="CE75" s="62"/>
      <c r="CF75" s="62"/>
      <c r="CG75" s="62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  <c r="EA75" s="62"/>
      <c r="EB75" s="62"/>
      <c r="EC75" s="62"/>
      <c r="ED75" s="62"/>
      <c r="EE75" s="62"/>
      <c r="EF75" s="62"/>
      <c r="EG75" s="62"/>
      <c r="EH75" s="62"/>
    </row>
    <row r="76" spans="1:138" thickBot="1" x14ac:dyDescent="0.3">
      <c r="A76" s="62"/>
      <c r="B76" s="380" t="s">
        <v>169</v>
      </c>
      <c r="C76" s="113" t="s">
        <v>184</v>
      </c>
      <c r="D76" s="393" t="s">
        <v>168</v>
      </c>
      <c r="E76" s="396">
        <f t="shared" ref="E76:F76" si="1">+XbrixCl(E78,E75,0,E74,E74,$D$22/760,$D$25)</f>
        <v>59.835949709479628</v>
      </c>
      <c r="F76" s="372">
        <f t="shared" si="1"/>
        <v>93.400000062253639</v>
      </c>
      <c r="G76" s="371">
        <f>+XbrixCl(G78,G75,0,G74,G74,$D$22/760,$D$25)</f>
        <v>31.324240909697757</v>
      </c>
      <c r="H76" s="371">
        <f>+XbrixCl(H78,H75,D7,H74,H74,D22/760,D19)</f>
        <v>18.476863816036381</v>
      </c>
      <c r="I76" s="397">
        <f>+I75</f>
        <v>0</v>
      </c>
      <c r="J76" s="298"/>
      <c r="K76" s="162"/>
      <c r="L76" s="298"/>
      <c r="M76" s="162"/>
      <c r="N76" s="162"/>
      <c r="O76" s="162"/>
      <c r="P76" s="104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2"/>
      <c r="CB76" s="62"/>
      <c r="CC76" s="62"/>
      <c r="CD76" s="62"/>
      <c r="CE76" s="62"/>
      <c r="CF76" s="62"/>
      <c r="CG76" s="62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  <c r="EA76" s="62"/>
      <c r="EB76" s="62"/>
      <c r="EC76" s="62"/>
      <c r="ED76" s="62"/>
      <c r="EE76" s="62"/>
      <c r="EF76" s="62"/>
      <c r="EG76" s="62"/>
      <c r="EH76" s="62"/>
    </row>
    <row r="77" spans="1:138" thickBot="1" x14ac:dyDescent="0.3">
      <c r="A77" s="62"/>
      <c r="B77" s="380" t="s">
        <v>170</v>
      </c>
      <c r="C77" s="113" t="s">
        <v>185</v>
      </c>
      <c r="D77" s="393" t="s">
        <v>168</v>
      </c>
      <c r="E77" s="391">
        <f t="shared" ref="E77:G77" si="2">+AVERAGE(E75:E76)</f>
        <v>45.580095309588692</v>
      </c>
      <c r="F77" s="374">
        <f t="shared" si="2"/>
        <v>76.61797488586663</v>
      </c>
      <c r="G77" s="373">
        <f t="shared" si="2"/>
        <v>24.900552362867067</v>
      </c>
      <c r="H77" s="373">
        <f>+AVERAGE(H75:H76)</f>
        <v>17.738431908018192</v>
      </c>
      <c r="I77" s="382">
        <f>+AVERAGE(I75:I76)</f>
        <v>0</v>
      </c>
      <c r="J77" s="298"/>
      <c r="K77" s="162"/>
      <c r="L77" s="298">
        <f>+(F76-D12)*100000</f>
        <v>6.225363335943257E-3</v>
      </c>
      <c r="M77" s="162"/>
      <c r="N77" s="162"/>
      <c r="O77" s="162"/>
      <c r="P77" s="104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2"/>
      <c r="CB77" s="62"/>
      <c r="CC77" s="62"/>
      <c r="CD77" s="62"/>
      <c r="CE77" s="62"/>
      <c r="CF77" s="62"/>
      <c r="CG77" s="62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  <c r="EA77" s="62"/>
      <c r="EB77" s="62"/>
      <c r="EC77" s="62"/>
      <c r="ED77" s="62"/>
      <c r="EE77" s="62"/>
      <c r="EF77" s="62"/>
      <c r="EG77" s="62"/>
      <c r="EH77" s="62"/>
    </row>
    <row r="78" spans="1:138" thickBot="1" x14ac:dyDescent="0.3">
      <c r="A78" s="62"/>
      <c r="B78" s="380" t="s">
        <v>363</v>
      </c>
      <c r="C78" s="112" t="s">
        <v>365</v>
      </c>
      <c r="D78" s="394" t="s">
        <v>55</v>
      </c>
      <c r="E78" s="391">
        <f>G78*G75/G76</f>
        <v>119.26865237597383</v>
      </c>
      <c r="F78" s="374">
        <f>+E75*E78/E76</f>
        <v>62.437381175352463</v>
      </c>
      <c r="G78" s="373">
        <f>+H78*H75/H76</f>
        <v>202.19881670381002</v>
      </c>
      <c r="H78" s="373">
        <f>+J3</f>
        <v>219.76470588235293</v>
      </c>
      <c r="I78" s="382">
        <f>+H78*0.04</f>
        <v>8.790588235294118</v>
      </c>
      <c r="J78" s="298"/>
      <c r="K78" s="162"/>
      <c r="L78" s="298"/>
      <c r="M78" s="162"/>
      <c r="N78" s="162"/>
      <c r="O78" s="162"/>
      <c r="P78" s="104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  <c r="EA78" s="62"/>
      <c r="EB78" s="62"/>
      <c r="EC78" s="62"/>
      <c r="ED78" s="62"/>
      <c r="EE78" s="62"/>
      <c r="EF78" s="62"/>
      <c r="EG78" s="62"/>
      <c r="EH78" s="62"/>
    </row>
    <row r="79" spans="1:138" thickBot="1" x14ac:dyDescent="0.3">
      <c r="A79" s="62"/>
      <c r="B79" s="380" t="s">
        <v>366</v>
      </c>
      <c r="C79" s="112" t="s">
        <v>367</v>
      </c>
      <c r="D79" s="394" t="s">
        <v>176</v>
      </c>
      <c r="E79" s="391">
        <f>+Tjugo($D$22/760,E77)</f>
        <v>97.365725053046262</v>
      </c>
      <c r="F79" s="374">
        <f t="shared" ref="F79:G79" si="3">+Tjugo($D$22/760,F77)</f>
        <v>110.32970423286058</v>
      </c>
      <c r="G79" s="373">
        <f t="shared" si="3"/>
        <v>95.452302241740497</v>
      </c>
      <c r="H79" s="373">
        <f>+Tfinal_jugo(H75,$D$22/760,$D$19,H78,H74,D7)</f>
        <v>95.208382757354016</v>
      </c>
      <c r="I79" s="382">
        <f>+Tjugo(D25/760,I77)</f>
        <v>50.399354648379131</v>
      </c>
      <c r="J79" s="298"/>
      <c r="K79" s="162"/>
      <c r="L79" s="298"/>
      <c r="M79" s="162"/>
      <c r="N79" s="162"/>
      <c r="O79" s="162"/>
      <c r="P79" s="104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2"/>
      <c r="CB79" s="62"/>
      <c r="CC79" s="62"/>
      <c r="CD79" s="62"/>
      <c r="CE79" s="62"/>
      <c r="CF79" s="62"/>
      <c r="CG79" s="62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  <c r="EA79" s="62"/>
      <c r="EB79" s="62"/>
      <c r="EC79" s="62"/>
      <c r="ED79" s="62"/>
      <c r="EE79" s="62"/>
      <c r="EF79" s="62"/>
      <c r="EG79" s="62"/>
      <c r="EH79" s="62"/>
    </row>
    <row r="80" spans="1:138" thickBot="1" x14ac:dyDescent="0.3">
      <c r="A80" s="62"/>
      <c r="B80" s="380" t="s">
        <v>316</v>
      </c>
      <c r="C80" s="112" t="s">
        <v>319</v>
      </c>
      <c r="D80" s="393" t="s">
        <v>317</v>
      </c>
      <c r="E80" s="420">
        <f>+(EXP(-11.229+(3257.5/(E79+273.15))+(0.07572*E77)))/1000</f>
        <v>2.7569483780105256E-3</v>
      </c>
      <c r="F80" s="421">
        <f t="shared" ref="F80:I80" si="4">+(EXP(-11.229+(3257.5/(F79+273.15))+(0.07572*F77)))/1000</f>
        <v>2.1479427107318198E-2</v>
      </c>
      <c r="G80" s="421">
        <f t="shared" si="4"/>
        <v>6.02846813397023E-4</v>
      </c>
      <c r="H80" s="421">
        <f t="shared" si="4"/>
        <v>3.5255242544182669E-4</v>
      </c>
      <c r="I80" s="422">
        <f t="shared" si="4"/>
        <v>3.1317778535360277E-4</v>
      </c>
      <c r="J80" s="298"/>
      <c r="K80" s="162"/>
      <c r="L80" s="298"/>
      <c r="M80" s="162"/>
      <c r="N80" s="162"/>
      <c r="O80" s="162"/>
      <c r="P80" s="104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2"/>
      <c r="CB80" s="62"/>
      <c r="CC80" s="62"/>
      <c r="CD80" s="62"/>
      <c r="CE80" s="62"/>
      <c r="CF80" s="62"/>
      <c r="CG80" s="62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  <c r="EA80" s="62"/>
      <c r="EB80" s="62"/>
      <c r="EC80" s="62"/>
      <c r="ED80" s="62"/>
      <c r="EE80" s="62"/>
      <c r="EF80" s="62"/>
      <c r="EG80" s="62"/>
      <c r="EH80" s="62"/>
    </row>
    <row r="81" spans="1:138" thickBot="1" x14ac:dyDescent="0.3">
      <c r="A81" s="62"/>
      <c r="B81" s="383" t="s">
        <v>318</v>
      </c>
      <c r="C81" s="112" t="s">
        <v>320</v>
      </c>
      <c r="D81" s="393" t="s">
        <v>321</v>
      </c>
      <c r="E81" s="390">
        <v>5.5460000000000002E-2</v>
      </c>
      <c r="F81" s="258">
        <v>5.5460000000000002E-2</v>
      </c>
      <c r="G81" s="124">
        <v>5.5460000000000002E-2</v>
      </c>
      <c r="H81" s="124">
        <v>5.5460000000000002E-2</v>
      </c>
      <c r="I81" s="381">
        <v>5.5460000000000002E-2</v>
      </c>
      <c r="J81" s="298"/>
      <c r="K81" s="162"/>
      <c r="L81" s="298"/>
      <c r="M81" s="162"/>
      <c r="N81" s="162"/>
      <c r="O81" s="162"/>
      <c r="P81" s="104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2"/>
      <c r="CB81" s="62"/>
      <c r="CC81" s="62"/>
      <c r="CD81" s="62"/>
      <c r="CE81" s="62"/>
      <c r="CF81" s="62"/>
      <c r="CG81" s="62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  <c r="EA81" s="62"/>
      <c r="EB81" s="62"/>
      <c r="EC81" s="62"/>
      <c r="ED81" s="62"/>
      <c r="EE81" s="62"/>
      <c r="EF81" s="62"/>
      <c r="EG81" s="62"/>
      <c r="EH81" s="62"/>
    </row>
    <row r="82" spans="1:138" thickBot="1" x14ac:dyDescent="0.3">
      <c r="A82" s="62"/>
      <c r="B82" s="383" t="s">
        <v>244</v>
      </c>
      <c r="C82" s="112" t="s">
        <v>323</v>
      </c>
      <c r="D82" s="393" t="s">
        <v>322</v>
      </c>
      <c r="E82" s="390">
        <f>1043+4.854*E77-1.07*E79</f>
        <v>1160.0644568259841</v>
      </c>
      <c r="F82" s="258">
        <f t="shared" ref="F82:I82" si="5">1043+4.854*F77-1.07*F79</f>
        <v>1296.850866566836</v>
      </c>
      <c r="G82" s="124">
        <f t="shared" si="5"/>
        <v>1061.7333177706946</v>
      </c>
      <c r="H82" s="124">
        <f t="shared" si="5"/>
        <v>1027.2293789311514</v>
      </c>
      <c r="I82" s="381">
        <f t="shared" si="5"/>
        <v>989.07269052623428</v>
      </c>
      <c r="J82" s="298"/>
      <c r="K82" s="162"/>
      <c r="L82" s="298"/>
      <c r="M82" s="162"/>
      <c r="N82" s="162"/>
      <c r="O82" s="162"/>
      <c r="P82" s="104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2"/>
      <c r="CB82" s="62"/>
      <c r="CC82" s="62"/>
      <c r="CD82" s="62"/>
      <c r="CE82" s="62"/>
      <c r="CF82" s="62"/>
      <c r="CG82" s="62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  <c r="EA82" s="62"/>
      <c r="EB82" s="62"/>
      <c r="EC82" s="62"/>
      <c r="ED82" s="62"/>
      <c r="EE82" s="62"/>
      <c r="EF82" s="62"/>
      <c r="EG82" s="62"/>
      <c r="EH82" s="62"/>
    </row>
    <row r="83" spans="1:138" thickBot="1" x14ac:dyDescent="0.3">
      <c r="A83" s="62"/>
      <c r="B83" s="380" t="s">
        <v>172</v>
      </c>
      <c r="C83" s="112" t="s">
        <v>173</v>
      </c>
      <c r="D83" s="393" t="s">
        <v>71</v>
      </c>
      <c r="E83" s="391">
        <f>4.18*(1-0.006*E77)</f>
        <v>3.0368512096355151</v>
      </c>
      <c r="F83" s="373">
        <f t="shared" ref="F83:I83" si="6">4.18*(1-0.006*F77)</f>
        <v>2.2584211898624647</v>
      </c>
      <c r="G83" s="373">
        <f t="shared" si="6"/>
        <v>3.5554941467392935</v>
      </c>
      <c r="H83" s="373">
        <f t="shared" si="6"/>
        <v>3.7351201277469035</v>
      </c>
      <c r="I83" s="382">
        <f t="shared" si="6"/>
        <v>4.18</v>
      </c>
      <c r="J83" s="298"/>
      <c r="K83" s="162"/>
      <c r="L83" s="298"/>
      <c r="M83" s="162"/>
      <c r="N83" s="162"/>
      <c r="O83" s="162"/>
      <c r="P83" s="104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2"/>
      <c r="CB83" s="62"/>
      <c r="CC83" s="62"/>
      <c r="CD83" s="62"/>
      <c r="CE83" s="62"/>
      <c r="CF83" s="62"/>
      <c r="CG83" s="62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  <c r="EA83" s="62"/>
      <c r="EB83" s="62"/>
      <c r="EC83" s="62"/>
      <c r="ED83" s="62"/>
      <c r="EE83" s="62"/>
      <c r="EF83" s="62"/>
      <c r="EG83" s="62"/>
      <c r="EH83" s="62"/>
    </row>
    <row r="84" spans="1:138" thickBot="1" x14ac:dyDescent="0.3">
      <c r="A84" s="62"/>
      <c r="B84" s="380" t="s">
        <v>177</v>
      </c>
      <c r="C84" s="375" t="s">
        <v>178</v>
      </c>
      <c r="D84" s="393" t="s">
        <v>47</v>
      </c>
      <c r="E84" s="391">
        <f>2492.9-2.0523*E79-0.0030752*E79^2</f>
        <v>2263.9231668803013</v>
      </c>
      <c r="F84" s="373">
        <f t="shared" ref="F84:I84" si="7">2492.9-2.0523*F79-0.0030752*F79^2</f>
        <v>2229.0370342931333</v>
      </c>
      <c r="G84" s="373">
        <f t="shared" si="7"/>
        <v>2268.9846562208863</v>
      </c>
      <c r="H84" s="373">
        <f t="shared" si="7"/>
        <v>2269.6282669869952</v>
      </c>
      <c r="I84" s="382">
        <f t="shared" si="7"/>
        <v>2381.6541044680498</v>
      </c>
      <c r="J84" s="298"/>
      <c r="K84" s="162"/>
      <c r="L84" s="298"/>
      <c r="M84" s="162"/>
      <c r="N84" s="162"/>
      <c r="O84" s="162"/>
      <c r="P84" s="104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2"/>
      <c r="CB84" s="62"/>
      <c r="CC84" s="62"/>
      <c r="CD84" s="62"/>
      <c r="CE84" s="62"/>
      <c r="CF84" s="62"/>
      <c r="CG84" s="62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  <c r="EA84" s="62"/>
      <c r="EB84" s="62"/>
      <c r="EC84" s="62"/>
      <c r="ED84" s="62"/>
      <c r="EE84" s="62"/>
      <c r="EF84" s="62"/>
      <c r="EG84" s="62"/>
      <c r="EH84" s="62"/>
    </row>
    <row r="85" spans="1:138" thickBot="1" x14ac:dyDescent="0.3">
      <c r="A85" s="62"/>
      <c r="B85" s="383" t="s">
        <v>393</v>
      </c>
      <c r="C85" s="112" t="s">
        <v>364</v>
      </c>
      <c r="D85" s="393" t="s">
        <v>324</v>
      </c>
      <c r="E85" s="390">
        <f>0.3815-0.0051*E77+0.001866*E79</f>
        <v>0.33072595687008199</v>
      </c>
      <c r="F85" s="258">
        <f>0.3815-0.0051*F77+0.001866*F79</f>
        <v>0.19662355618059804</v>
      </c>
      <c r="G85" s="124">
        <f>0.3815-0.0051*G77+0.001866*G79</f>
        <v>0.43262117893246577</v>
      </c>
      <c r="H85" s="124">
        <f>0.3815-0.0051*H77+0.001866*H79</f>
        <v>0.46869283949432983</v>
      </c>
      <c r="I85" s="381">
        <f>0.3815-0.0051*I77+0.001866*I79</f>
        <v>0.47554519577387544</v>
      </c>
      <c r="J85" s="298"/>
      <c r="K85" s="162"/>
      <c r="L85" s="298"/>
      <c r="M85" s="162"/>
      <c r="N85" s="162"/>
      <c r="O85" s="162"/>
      <c r="P85" s="104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2"/>
      <c r="CB85" s="62"/>
      <c r="CC85" s="62"/>
      <c r="CD85" s="62"/>
      <c r="CE85" s="62"/>
      <c r="CF85" s="62"/>
      <c r="CG85" s="62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  <c r="EA85" s="62"/>
      <c r="EB85" s="62"/>
      <c r="EC85" s="62"/>
      <c r="ED85" s="62"/>
      <c r="EE85" s="62"/>
      <c r="EF85" s="62"/>
      <c r="EG85" s="62"/>
      <c r="EH85" s="62"/>
    </row>
    <row r="86" spans="1:138" thickBot="1" x14ac:dyDescent="0.3">
      <c r="A86" s="62"/>
      <c r="B86" s="380" t="s">
        <v>328</v>
      </c>
      <c r="C86" s="112" t="s">
        <v>330</v>
      </c>
      <c r="D86" s="393" t="s">
        <v>39</v>
      </c>
      <c r="E86" s="390">
        <v>0.78539816339744795</v>
      </c>
      <c r="F86" s="258">
        <v>0.58119464091411177</v>
      </c>
      <c r="G86" s="124">
        <v>1.1036076228478182</v>
      </c>
      <c r="H86" s="124">
        <v>0.78</v>
      </c>
      <c r="I86" s="381">
        <v>0.42</v>
      </c>
      <c r="J86" s="298"/>
      <c r="K86" s="162"/>
      <c r="L86" s="298"/>
      <c r="M86" s="162"/>
      <c r="N86" s="162"/>
      <c r="O86" s="162"/>
      <c r="P86" s="104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  <c r="EA86" s="62"/>
      <c r="EB86" s="62"/>
      <c r="EC86" s="62"/>
      <c r="ED86" s="62"/>
      <c r="EE86" s="62"/>
      <c r="EF86" s="62"/>
      <c r="EG86" s="62"/>
      <c r="EH86" s="62"/>
    </row>
    <row r="87" spans="1:138" thickBot="1" x14ac:dyDescent="0.3">
      <c r="A87" s="62"/>
      <c r="B87" s="380" t="s">
        <v>327</v>
      </c>
      <c r="C87" s="112" t="s">
        <v>329</v>
      </c>
      <c r="D87" s="393" t="s">
        <v>331</v>
      </c>
      <c r="E87" s="390">
        <f>+E74/E86*1000</f>
        <v>46069.136655421913</v>
      </c>
      <c r="F87" s="258">
        <f>+F74/F86*1000</f>
        <v>26172.023053547025</v>
      </c>
      <c r="G87" s="124">
        <f>+G74/G86*1000</f>
        <v>47434.742299777885</v>
      </c>
      <c r="H87" s="124">
        <f>+H74/H86*1000</f>
        <v>39027.494667743456</v>
      </c>
      <c r="I87" s="381">
        <f>+I74/I86*1000</f>
        <v>30398.706512236611</v>
      </c>
      <c r="J87" s="298"/>
      <c r="K87" s="162"/>
      <c r="L87" s="298"/>
      <c r="M87" s="162"/>
      <c r="N87" s="162"/>
      <c r="O87" s="162"/>
      <c r="P87" s="104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2"/>
      <c r="CB87" s="62"/>
      <c r="CC87" s="62"/>
      <c r="CD87" s="62"/>
      <c r="CE87" s="62"/>
      <c r="CF87" s="62"/>
      <c r="CG87" s="62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  <c r="EA87" s="62"/>
      <c r="EB87" s="62"/>
      <c r="EC87" s="62"/>
      <c r="ED87" s="62"/>
      <c r="EE87" s="62"/>
      <c r="EF87" s="62"/>
      <c r="EG87" s="62"/>
      <c r="EH87" s="62"/>
    </row>
    <row r="88" spans="1:138" thickBot="1" x14ac:dyDescent="0.3">
      <c r="A88" s="62"/>
      <c r="B88" s="380" t="s">
        <v>325</v>
      </c>
      <c r="C88" s="112" t="s">
        <v>326</v>
      </c>
      <c r="D88" s="393" t="s">
        <v>176</v>
      </c>
      <c r="E88" s="390">
        <f>+tw(E87,E80,E84,E81,E82,E83,E85,E79)</f>
        <v>117.12704899877464</v>
      </c>
      <c r="F88" s="124">
        <f>+tw(F87,F80,F84,F81,F82,F83,F85,F79)</f>
        <v>215.43377338596071</v>
      </c>
      <c r="G88" s="124">
        <f t="shared" ref="G88:I88" si="8">+tw(G87,G80,G84,G81,G82,G83,G85,G79)</f>
        <v>101.07983852672757</v>
      </c>
      <c r="H88" s="124">
        <f t="shared" si="8"/>
        <v>98.631708893157636</v>
      </c>
      <c r="I88" s="381">
        <f t="shared" si="8"/>
        <v>53.380444238178917</v>
      </c>
      <c r="J88" s="260"/>
      <c r="K88" s="104"/>
      <c r="L88" s="260"/>
      <c r="M88" s="104"/>
      <c r="N88" s="104"/>
      <c r="O88" s="104"/>
      <c r="P88" s="104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  <c r="EA88" s="62"/>
      <c r="EB88" s="62"/>
      <c r="EC88" s="62"/>
      <c r="ED88" s="62"/>
      <c r="EE88" s="62"/>
      <c r="EF88" s="62"/>
      <c r="EG88" s="62"/>
      <c r="EH88" s="62"/>
    </row>
    <row r="89" spans="1:138" thickBot="1" x14ac:dyDescent="0.3">
      <c r="A89" s="62"/>
      <c r="B89" s="384" t="s">
        <v>338</v>
      </c>
      <c r="C89" s="385" t="s">
        <v>339</v>
      </c>
      <c r="D89" s="395" t="s">
        <v>176</v>
      </c>
      <c r="E89" s="392">
        <f>+twg(E48,E87,E88)</f>
        <v>130.73351494118995</v>
      </c>
      <c r="F89" s="387">
        <f>+twg(F48,F87,F88)</f>
        <v>223.16364996224087</v>
      </c>
      <c r="G89" s="386">
        <f>+twg(G48,G87,G88)</f>
        <v>115.08963450828988</v>
      </c>
      <c r="H89" s="386">
        <f>+twg(H48,H87,H88)</f>
        <v>110.15843406246792</v>
      </c>
      <c r="I89" s="388">
        <f>+twg(I48,I87,I88)</f>
        <v>62.358666859234845</v>
      </c>
      <c r="J89" s="260"/>
      <c r="K89" s="104"/>
      <c r="L89" s="260"/>
      <c r="M89" s="104"/>
      <c r="N89" s="104"/>
      <c r="O89" s="104"/>
      <c r="P89" s="104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2"/>
      <c r="CB89" s="62"/>
      <c r="CC89" s="62"/>
      <c r="CD89" s="62"/>
      <c r="CE89" s="62"/>
      <c r="CF89" s="62"/>
      <c r="CG89" s="62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  <c r="EA89" s="62"/>
      <c r="EB89" s="62"/>
      <c r="EC89" s="62"/>
      <c r="ED89" s="62"/>
      <c r="EE89" s="62"/>
      <c r="EF89" s="62"/>
      <c r="EG89" s="62"/>
      <c r="EH89" s="62"/>
    </row>
    <row r="90" spans="1:138" thickBot="1" x14ac:dyDescent="0.3">
      <c r="A90" s="62"/>
      <c r="B90" s="62"/>
      <c r="C90" s="62"/>
      <c r="D90" s="106"/>
      <c r="E90" s="62"/>
      <c r="F90" s="115"/>
      <c r="G90" s="62"/>
      <c r="H90" s="62"/>
      <c r="I90" s="62"/>
      <c r="J90" s="115"/>
      <c r="K90" s="62"/>
      <c r="L90" s="115"/>
      <c r="M90" s="62"/>
      <c r="N90" s="62"/>
      <c r="O90" s="62"/>
      <c r="P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  <c r="EA90" s="62"/>
      <c r="EB90" s="62"/>
      <c r="EC90" s="62"/>
      <c r="ED90" s="62"/>
      <c r="EE90" s="62"/>
      <c r="EF90" s="62"/>
      <c r="EG90" s="62"/>
      <c r="EH90" s="62"/>
    </row>
    <row r="91" spans="1:138" thickBot="1" x14ac:dyDescent="0.3">
      <c r="A91" s="529" t="s">
        <v>186</v>
      </c>
      <c r="B91" s="530"/>
      <c r="C91" s="530"/>
      <c r="D91" s="530"/>
      <c r="E91" s="530"/>
      <c r="F91" s="530"/>
      <c r="G91" s="530"/>
      <c r="H91" s="530"/>
      <c r="I91" s="530"/>
      <c r="J91" s="530"/>
      <c r="K91" s="530"/>
      <c r="L91" s="530"/>
      <c r="M91" s="530"/>
      <c r="N91" s="530"/>
      <c r="O91" s="530"/>
      <c r="P91" s="531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2"/>
      <c r="CB91" s="62"/>
      <c r="CC91" s="62"/>
      <c r="CD91" s="62"/>
      <c r="CE91" s="62"/>
      <c r="CF91" s="62"/>
      <c r="CG91" s="62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  <c r="EA91" s="62"/>
      <c r="EB91" s="62"/>
      <c r="EC91" s="62"/>
      <c r="ED91" s="62"/>
      <c r="EE91" s="62"/>
      <c r="EF91" s="62"/>
      <c r="EG91" s="62"/>
      <c r="EH91" s="62"/>
    </row>
    <row r="92" spans="1:138" thickBot="1" x14ac:dyDescent="0.3">
      <c r="A92" s="301"/>
      <c r="B92" s="332"/>
      <c r="C92" s="332"/>
      <c r="D92" s="349"/>
      <c r="E92" s="301"/>
      <c r="F92" s="331"/>
      <c r="G92" s="332"/>
      <c r="H92" s="332"/>
      <c r="I92" s="301"/>
      <c r="J92" s="331"/>
      <c r="K92" s="332"/>
      <c r="L92" s="331"/>
      <c r="M92" s="301"/>
      <c r="N92" s="301"/>
      <c r="O92" s="301"/>
      <c r="P92" s="301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2"/>
      <c r="CB92" s="62"/>
      <c r="CC92" s="62"/>
      <c r="CD92" s="62"/>
      <c r="CE92" s="62"/>
      <c r="CF92" s="62"/>
      <c r="CG92" s="62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  <c r="EA92" s="62"/>
      <c r="EB92" s="62"/>
      <c r="EC92" s="62"/>
      <c r="ED92" s="62"/>
      <c r="EE92" s="62"/>
      <c r="EF92" s="62"/>
      <c r="EG92" s="62"/>
      <c r="EH92" s="62"/>
    </row>
    <row r="93" spans="1:138" thickBot="1" x14ac:dyDescent="0.3">
      <c r="A93" s="301"/>
      <c r="B93" s="302" t="s">
        <v>187</v>
      </c>
      <c r="C93" s="303">
        <f>+D3*D4</f>
        <v>121.19999999999999</v>
      </c>
      <c r="D93" s="304" t="s">
        <v>44</v>
      </c>
      <c r="E93" s="301"/>
      <c r="F93" s="559" t="s">
        <v>211</v>
      </c>
      <c r="G93" s="560"/>
      <c r="H93" s="561"/>
      <c r="I93" s="301"/>
      <c r="J93" s="305" t="s">
        <v>222</v>
      </c>
      <c r="K93" s="303">
        <f>(C107*G103)/1000</f>
        <v>138.80344276936395</v>
      </c>
      <c r="L93" s="306" t="s">
        <v>44</v>
      </c>
      <c r="M93" s="301"/>
      <c r="N93" s="301"/>
      <c r="O93" s="301"/>
      <c r="P93" s="301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2"/>
      <c r="CB93" s="62"/>
      <c r="CC93" s="62"/>
      <c r="CD93" s="62"/>
      <c r="CE93" s="62"/>
      <c r="CF93" s="62"/>
      <c r="CG93" s="62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  <c r="EA93" s="62"/>
      <c r="EB93" s="62"/>
      <c r="EC93" s="62"/>
      <c r="ED93" s="62"/>
      <c r="EE93" s="62"/>
      <c r="EF93" s="62"/>
      <c r="EG93" s="62"/>
      <c r="EH93" s="62"/>
    </row>
    <row r="94" spans="1:138" thickBot="1" x14ac:dyDescent="0.3">
      <c r="A94" s="301"/>
      <c r="B94" s="307" t="s">
        <v>188</v>
      </c>
      <c r="C94" s="308">
        <v>0.95</v>
      </c>
      <c r="D94" s="309" t="s">
        <v>8</v>
      </c>
      <c r="E94" s="301"/>
      <c r="F94" s="310" t="s">
        <v>212</v>
      </c>
      <c r="G94" s="311">
        <f>C104*D100/C105</f>
        <v>3.3199397204159617</v>
      </c>
      <c r="H94" s="312" t="s">
        <v>213</v>
      </c>
      <c r="I94" s="301"/>
      <c r="J94" s="313" t="s">
        <v>224</v>
      </c>
      <c r="K94" s="311">
        <f>(C108*G104)/1000</f>
        <v>4.649592178141166</v>
      </c>
      <c r="L94" s="314" t="s">
        <v>44</v>
      </c>
      <c r="M94" s="301"/>
      <c r="N94" s="301"/>
      <c r="O94" s="301"/>
      <c r="P94" s="301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2"/>
      <c r="CB94" s="62"/>
      <c r="CC94" s="62"/>
      <c r="CD94" s="62"/>
      <c r="CE94" s="62"/>
      <c r="CF94" s="62"/>
      <c r="CG94" s="62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  <c r="EA94" s="62"/>
      <c r="EB94" s="62"/>
      <c r="EC94" s="62"/>
      <c r="ED94" s="62"/>
      <c r="EE94" s="62"/>
      <c r="EF94" s="62"/>
      <c r="EG94" s="62"/>
      <c r="EH94" s="62"/>
    </row>
    <row r="95" spans="1:138" thickBot="1" x14ac:dyDescent="0.3">
      <c r="A95" s="301"/>
      <c r="B95" s="315" t="s">
        <v>189</v>
      </c>
      <c r="C95" s="316">
        <f>+D14</f>
        <v>0.3</v>
      </c>
      <c r="D95" s="312" t="s">
        <v>8</v>
      </c>
      <c r="E95" s="301"/>
      <c r="F95" s="310" t="s">
        <v>214</v>
      </c>
      <c r="G95" s="311">
        <f>D101*C104/C106</f>
        <v>2.7355794987796891</v>
      </c>
      <c r="H95" s="312" t="s">
        <v>213</v>
      </c>
      <c r="I95" s="301"/>
      <c r="J95" s="313" t="s">
        <v>226</v>
      </c>
      <c r="K95" s="311">
        <f>(C109*G106)/1000</f>
        <v>86.512629084729227</v>
      </c>
      <c r="L95" s="314" t="s">
        <v>44</v>
      </c>
      <c r="M95" s="301"/>
      <c r="N95" s="301"/>
      <c r="O95" s="301"/>
      <c r="P95" s="301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2"/>
      <c r="CB95" s="62"/>
      <c r="CC95" s="62"/>
      <c r="CD95" s="62"/>
      <c r="CE95" s="62"/>
      <c r="CF95" s="62"/>
      <c r="CG95" s="62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  <c r="EA95" s="62"/>
      <c r="EB95" s="62"/>
      <c r="EC95" s="62"/>
      <c r="ED95" s="62"/>
      <c r="EE95" s="62"/>
      <c r="EF95" s="62"/>
      <c r="EG95" s="62"/>
      <c r="EH95" s="62"/>
    </row>
    <row r="96" spans="1:138" thickBot="1" x14ac:dyDescent="0.3">
      <c r="A96" s="301"/>
      <c r="B96" s="315" t="s">
        <v>190</v>
      </c>
      <c r="C96" s="311">
        <v>1.8</v>
      </c>
      <c r="D96" s="312" t="s">
        <v>163</v>
      </c>
      <c r="E96" s="301"/>
      <c r="F96" s="310" t="s">
        <v>215</v>
      </c>
      <c r="G96" s="311">
        <f>D102*C104/C110</f>
        <v>1.1665937472655223</v>
      </c>
      <c r="H96" s="312" t="s">
        <v>213</v>
      </c>
      <c r="I96" s="301"/>
      <c r="J96" s="313" t="s">
        <v>227</v>
      </c>
      <c r="K96" s="311">
        <f>(C110*G107)/1000</f>
        <v>92.793546384878795</v>
      </c>
      <c r="L96" s="314" t="s">
        <v>44</v>
      </c>
      <c r="M96" s="301"/>
      <c r="N96" s="301"/>
      <c r="O96" s="301"/>
      <c r="P96" s="301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2"/>
      <c r="CB96" s="62"/>
      <c r="CC96" s="62"/>
      <c r="CD96" s="62"/>
      <c r="CE96" s="62"/>
      <c r="CF96" s="62"/>
      <c r="CG96" s="62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  <c r="EA96" s="62"/>
      <c r="EB96" s="62"/>
      <c r="EC96" s="62"/>
      <c r="ED96" s="62"/>
      <c r="EE96" s="62"/>
      <c r="EF96" s="62"/>
      <c r="EG96" s="62"/>
      <c r="EH96" s="62"/>
    </row>
    <row r="97" spans="1:138" thickBot="1" x14ac:dyDescent="0.3">
      <c r="A97" s="301"/>
      <c r="B97" s="315" t="s">
        <v>191</v>
      </c>
      <c r="C97" s="311">
        <v>1E-3</v>
      </c>
      <c r="D97" s="314" t="s">
        <v>400</v>
      </c>
      <c r="E97" s="301"/>
      <c r="F97" s="310" t="s">
        <v>216</v>
      </c>
      <c r="G97" s="311">
        <f>C95*C93/C109</f>
        <v>2.0182866988467563</v>
      </c>
      <c r="H97" s="312" t="s">
        <v>213</v>
      </c>
      <c r="I97" s="301"/>
      <c r="J97" s="313" t="s">
        <v>228</v>
      </c>
      <c r="K97" s="311">
        <f>(C111*G108)/1000</f>
        <v>667.58863998831396</v>
      </c>
      <c r="L97" s="314" t="s">
        <v>44</v>
      </c>
      <c r="M97" s="301"/>
      <c r="N97" s="301"/>
      <c r="O97" s="301"/>
      <c r="P97" s="301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2"/>
      <c r="CB97" s="62"/>
      <c r="CC97" s="62"/>
      <c r="CD97" s="62"/>
      <c r="CE97" s="62"/>
      <c r="CF97" s="62"/>
      <c r="CG97" s="62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  <c r="EA97" s="62"/>
      <c r="EB97" s="62"/>
      <c r="EC97" s="62"/>
      <c r="ED97" s="62"/>
      <c r="EE97" s="62"/>
      <c r="EF97" s="62"/>
      <c r="EG97" s="62"/>
      <c r="EH97" s="62"/>
    </row>
    <row r="98" spans="1:138" thickBot="1" x14ac:dyDescent="0.3">
      <c r="A98" s="301"/>
      <c r="B98" s="317" t="s">
        <v>192</v>
      </c>
      <c r="C98" s="205">
        <f>D12+273.15</f>
        <v>366.54999999999995</v>
      </c>
      <c r="D98" s="206" t="s">
        <v>193</v>
      </c>
      <c r="E98" s="301"/>
      <c r="F98" s="310" t="s">
        <v>217</v>
      </c>
      <c r="G98" s="311">
        <f>(G94+G95/2)-G96</f>
        <v>3.5211357225402837</v>
      </c>
      <c r="H98" s="312" t="s">
        <v>213</v>
      </c>
      <c r="I98" s="301"/>
      <c r="J98" s="313" t="s">
        <v>332</v>
      </c>
      <c r="K98" s="311">
        <f>SUM(K93:K97)</f>
        <v>990.34785040542715</v>
      </c>
      <c r="L98" s="314" t="str">
        <f>L97</f>
        <v>kg</v>
      </c>
      <c r="M98" s="301"/>
      <c r="N98" s="301"/>
      <c r="O98" s="301"/>
      <c r="P98" s="301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2"/>
      <c r="CB98" s="62"/>
      <c r="CC98" s="62"/>
      <c r="CD98" s="62"/>
      <c r="CE98" s="62"/>
      <c r="CF98" s="62"/>
      <c r="CG98" s="62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  <c r="EA98" s="62"/>
      <c r="EB98" s="62"/>
      <c r="EC98" s="62"/>
      <c r="ED98" s="62"/>
      <c r="EE98" s="62"/>
      <c r="EF98" s="62"/>
      <c r="EG98" s="62"/>
      <c r="EH98" s="62"/>
    </row>
    <row r="99" spans="1:138" thickBot="1" x14ac:dyDescent="0.3">
      <c r="A99" s="301"/>
      <c r="B99" s="562" t="s">
        <v>194</v>
      </c>
      <c r="C99" s="563"/>
      <c r="D99" s="564"/>
      <c r="E99" s="301"/>
      <c r="F99" s="310" t="s">
        <v>218</v>
      </c>
      <c r="G99" s="311">
        <f>G98*C96</f>
        <v>6.3380443005725109</v>
      </c>
      <c r="H99" s="312" t="s">
        <v>213</v>
      </c>
      <c r="I99" s="301"/>
      <c r="J99" s="313" t="s">
        <v>333</v>
      </c>
      <c r="K99" s="326">
        <f>K98/3600</f>
        <v>0.27509662511261868</v>
      </c>
      <c r="L99" s="314" t="s">
        <v>334</v>
      </c>
      <c r="M99" s="321"/>
      <c r="N99" s="321"/>
      <c r="O99" s="301"/>
      <c r="P99" s="301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2"/>
      <c r="CB99" s="62"/>
      <c r="CC99" s="62"/>
      <c r="CD99" s="62"/>
      <c r="CE99" s="62"/>
      <c r="CF99" s="62"/>
      <c r="CG99" s="62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  <c r="EH99" s="62"/>
    </row>
    <row r="100" spans="1:138" thickBot="1" x14ac:dyDescent="0.3">
      <c r="A100" s="301"/>
      <c r="B100" s="315" t="s">
        <v>195</v>
      </c>
      <c r="C100" s="311" t="s">
        <v>196</v>
      </c>
      <c r="D100" s="312">
        <v>0.47</v>
      </c>
      <c r="E100" s="301"/>
      <c r="F100" s="310" t="s">
        <v>219</v>
      </c>
      <c r="G100" s="311">
        <f>G99*3.76</f>
        <v>23.83104657015264</v>
      </c>
      <c r="H100" s="312" t="s">
        <v>213</v>
      </c>
      <c r="I100" s="301"/>
      <c r="J100" s="458" t="s">
        <v>406</v>
      </c>
      <c r="K100" s="91">
        <f>+(K99/Densidad_kgm3($K$102,$K$101,$K$105,$K$104,$K$103,E128*101.325,K108))/0.93</f>
        <v>1.4755215304630616</v>
      </c>
      <c r="L100" s="459" t="s">
        <v>254</v>
      </c>
      <c r="M100" s="321"/>
      <c r="N100" s="321"/>
      <c r="O100" s="301"/>
      <c r="P100" s="301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2"/>
      <c r="CB100" s="62"/>
      <c r="CC100" s="62"/>
      <c r="CD100" s="62"/>
      <c r="CE100" s="62"/>
      <c r="CF100" s="62"/>
      <c r="CG100" s="62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  <c r="EA100" s="62"/>
      <c r="EB100" s="62"/>
      <c r="EC100" s="62"/>
      <c r="ED100" s="62"/>
      <c r="EE100" s="62"/>
      <c r="EF100" s="62"/>
      <c r="EG100" s="62"/>
      <c r="EH100" s="62"/>
    </row>
    <row r="101" spans="1:138" thickBot="1" x14ac:dyDescent="0.3">
      <c r="A101" s="301"/>
      <c r="B101" s="315" t="s">
        <v>197</v>
      </c>
      <c r="C101" s="311" t="s">
        <v>198</v>
      </c>
      <c r="D101" s="312">
        <v>6.5000000000000002E-2</v>
      </c>
      <c r="E101" s="301"/>
      <c r="F101" s="323" t="s">
        <v>220</v>
      </c>
      <c r="G101" s="324">
        <f>(G100*C111+G99*C110)*C97/C109</f>
        <v>4.831445594814366E-2</v>
      </c>
      <c r="H101" s="325" t="s">
        <v>213</v>
      </c>
      <c r="I101" s="301"/>
      <c r="J101" s="456" t="s">
        <v>222</v>
      </c>
      <c r="K101" s="457">
        <f>+G103/$G$109</f>
        <v>9.049252680038955E-2</v>
      </c>
      <c r="L101" s="460" t="s">
        <v>335</v>
      </c>
      <c r="M101" s="321"/>
      <c r="N101" s="321"/>
      <c r="O101" s="301"/>
      <c r="P101" s="301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2"/>
      <c r="CB101" s="62"/>
      <c r="CC101" s="62"/>
      <c r="CD101" s="62"/>
      <c r="CE101" s="62"/>
      <c r="CF101" s="62"/>
      <c r="CG101" s="62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  <c r="EA101" s="62"/>
      <c r="EB101" s="62"/>
      <c r="EC101" s="62"/>
      <c r="ED101" s="62"/>
      <c r="EE101" s="62"/>
      <c r="EF101" s="62"/>
      <c r="EG101" s="62"/>
      <c r="EH101" s="62"/>
    </row>
    <row r="102" spans="1:138" thickBot="1" x14ac:dyDescent="0.3">
      <c r="A102" s="301"/>
      <c r="B102" s="315" t="s">
        <v>199</v>
      </c>
      <c r="C102" s="311" t="s">
        <v>200</v>
      </c>
      <c r="D102" s="312">
        <v>0.44</v>
      </c>
      <c r="E102" s="301"/>
      <c r="F102" s="559" t="s">
        <v>221</v>
      </c>
      <c r="G102" s="560"/>
      <c r="H102" s="561"/>
      <c r="I102" s="301"/>
      <c r="J102" s="313" t="s">
        <v>224</v>
      </c>
      <c r="K102" s="326">
        <f>+G104/$G$109</f>
        <v>4.7627645684415656E-3</v>
      </c>
      <c r="L102" s="314" t="s">
        <v>335</v>
      </c>
      <c r="M102" s="321"/>
      <c r="N102" s="321"/>
      <c r="O102" s="301"/>
      <c r="P102" s="301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2"/>
      <c r="CB102" s="62"/>
      <c r="CC102" s="62"/>
      <c r="CD102" s="62"/>
      <c r="CE102" s="62"/>
      <c r="CF102" s="62"/>
      <c r="CG102" s="62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  <c r="EA102" s="62"/>
      <c r="EB102" s="62"/>
      <c r="EC102" s="62"/>
      <c r="ED102" s="62"/>
      <c r="EE102" s="62"/>
      <c r="EF102" s="62"/>
      <c r="EG102" s="62"/>
      <c r="EH102" s="62"/>
    </row>
    <row r="103" spans="1:138" thickBot="1" x14ac:dyDescent="0.3">
      <c r="A103" s="301"/>
      <c r="B103" s="315" t="s">
        <v>201</v>
      </c>
      <c r="C103" s="311" t="s">
        <v>202</v>
      </c>
      <c r="D103" s="312">
        <v>2.5000000000000001E-2</v>
      </c>
      <c r="E103" s="301"/>
      <c r="F103" s="310" t="s">
        <v>222</v>
      </c>
      <c r="G103" s="311">
        <f>G94*C94*1000</f>
        <v>3153.9427343951634</v>
      </c>
      <c r="H103" s="312" t="s">
        <v>223</v>
      </c>
      <c r="I103" s="301"/>
      <c r="J103" s="313" t="s">
        <v>226</v>
      </c>
      <c r="K103" s="326">
        <f>+G106/$G$109</f>
        <v>0.1377835611137839</v>
      </c>
      <c r="L103" s="314" t="s">
        <v>335</v>
      </c>
      <c r="M103" s="321"/>
      <c r="N103" s="321"/>
      <c r="O103" s="301"/>
      <c r="P103" s="301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2"/>
      <c r="CB103" s="62"/>
      <c r="CC103" s="62"/>
      <c r="CD103" s="62"/>
      <c r="CE103" s="62"/>
      <c r="CF103" s="62"/>
      <c r="CG103" s="62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  <c r="EA103" s="62"/>
      <c r="EB103" s="62"/>
      <c r="EC103" s="62"/>
      <c r="ED103" s="62"/>
      <c r="EE103" s="62"/>
      <c r="EF103" s="62"/>
      <c r="EG103" s="62"/>
      <c r="EH103" s="62"/>
    </row>
    <row r="104" spans="1:138" thickBot="1" x14ac:dyDescent="0.3">
      <c r="A104" s="301"/>
      <c r="B104" s="317" t="s">
        <v>203</v>
      </c>
      <c r="C104" s="205">
        <f>C93*(1-C95)</f>
        <v>84.839999999999989</v>
      </c>
      <c r="D104" s="206" t="s">
        <v>44</v>
      </c>
      <c r="E104" s="301"/>
      <c r="F104" s="310" t="s">
        <v>224</v>
      </c>
      <c r="G104" s="311">
        <f>(G94*1000-G103)</f>
        <v>165.99698602079843</v>
      </c>
      <c r="H104" s="312" t="s">
        <v>223</v>
      </c>
      <c r="I104" s="301"/>
      <c r="J104" s="313" t="s">
        <v>227</v>
      </c>
      <c r="K104" s="326">
        <f>+G107/$G$109</f>
        <v>8.3203767615422072E-2</v>
      </c>
      <c r="L104" s="314" t="s">
        <v>335</v>
      </c>
      <c r="M104" s="321"/>
      <c r="N104" s="321"/>
      <c r="O104" s="301"/>
      <c r="P104" s="301"/>
      <c r="R104" s="62"/>
      <c r="S104" s="62"/>
      <c r="T104" s="116"/>
      <c r="U104" s="62"/>
      <c r="V104" s="116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2"/>
      <c r="CB104" s="62"/>
      <c r="CC104" s="62"/>
      <c r="CD104" s="62"/>
      <c r="CE104" s="62"/>
      <c r="CF104" s="62"/>
      <c r="CG104" s="62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  <c r="EA104" s="62"/>
      <c r="EB104" s="62"/>
      <c r="EC104" s="62"/>
      <c r="ED104" s="62"/>
      <c r="EE104" s="62"/>
      <c r="EF104" s="62"/>
      <c r="EG104" s="62"/>
      <c r="EH104" s="62"/>
    </row>
    <row r="105" spans="1:138" thickBot="1" x14ac:dyDescent="0.3">
      <c r="A105" s="301"/>
      <c r="B105" s="327" t="s">
        <v>196</v>
      </c>
      <c r="C105" s="328">
        <v>12.0107</v>
      </c>
      <c r="D105" s="329" t="s">
        <v>204</v>
      </c>
      <c r="E105" s="301"/>
      <c r="F105" s="310" t="s">
        <v>225</v>
      </c>
      <c r="G105" s="311">
        <f>G95*1000</f>
        <v>2735.5794987796889</v>
      </c>
      <c r="H105" s="312" t="s">
        <v>223</v>
      </c>
      <c r="I105" s="301"/>
      <c r="J105" s="313" t="s">
        <v>228</v>
      </c>
      <c r="K105" s="326">
        <f>+G108/$G$109</f>
        <v>0.68375737990196284</v>
      </c>
      <c r="L105" s="314" t="s">
        <v>335</v>
      </c>
      <c r="M105" s="321"/>
      <c r="N105" s="321"/>
      <c r="O105" s="301"/>
      <c r="P105" s="301"/>
      <c r="R105" s="62"/>
      <c r="S105" s="62"/>
      <c r="T105" s="116"/>
      <c r="U105" s="62"/>
      <c r="V105" s="116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2"/>
      <c r="CB105" s="62"/>
      <c r="CC105" s="62"/>
      <c r="CD105" s="62"/>
      <c r="CE105" s="62"/>
      <c r="CF105" s="62"/>
      <c r="CG105" s="62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  <c r="EA105" s="62"/>
      <c r="EB105" s="62"/>
      <c r="EC105" s="62"/>
      <c r="ED105" s="62"/>
      <c r="EE105" s="62"/>
      <c r="EF105" s="62"/>
      <c r="EG105" s="62"/>
      <c r="EH105" s="62"/>
    </row>
    <row r="106" spans="1:138" thickBot="1" x14ac:dyDescent="0.3">
      <c r="A106" s="301"/>
      <c r="B106" s="315" t="s">
        <v>205</v>
      </c>
      <c r="C106" s="311">
        <f>1.00794*2</f>
        <v>2.0158800000000001</v>
      </c>
      <c r="D106" s="312" t="s">
        <v>204</v>
      </c>
      <c r="E106" s="301"/>
      <c r="F106" s="310" t="s">
        <v>226</v>
      </c>
      <c r="G106" s="311">
        <f>G105+(G101+G97)*1000</f>
        <v>4802.1806535745891</v>
      </c>
      <c r="H106" s="312" t="s">
        <v>223</v>
      </c>
      <c r="I106" s="301"/>
      <c r="J106" s="318" t="s">
        <v>332</v>
      </c>
      <c r="K106" s="319">
        <f>+SUM(K101:K105)</f>
        <v>1</v>
      </c>
      <c r="L106" s="320" t="s">
        <v>335</v>
      </c>
      <c r="M106" s="321"/>
      <c r="N106" s="321"/>
      <c r="O106" s="301"/>
      <c r="P106" s="301"/>
      <c r="R106" s="62"/>
      <c r="S106" s="62"/>
      <c r="T106" s="116"/>
      <c r="U106" s="62"/>
      <c r="V106" s="116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2"/>
      <c r="CB106" s="62"/>
      <c r="CC106" s="62"/>
      <c r="CD106" s="62"/>
      <c r="CE106" s="62"/>
      <c r="CF106" s="62"/>
      <c r="CG106" s="62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  <c r="EA106" s="62"/>
      <c r="EB106" s="62"/>
      <c r="EC106" s="62"/>
      <c r="ED106" s="62"/>
      <c r="EE106" s="62"/>
      <c r="EF106" s="62"/>
      <c r="EG106" s="62"/>
      <c r="EH106" s="62"/>
    </row>
    <row r="107" spans="1:138" thickBot="1" x14ac:dyDescent="0.3">
      <c r="A107" s="301"/>
      <c r="B107" s="315" t="s">
        <v>206</v>
      </c>
      <c r="C107" s="311">
        <v>44.009500000000003</v>
      </c>
      <c r="D107" s="312" t="s">
        <v>204</v>
      </c>
      <c r="E107" s="301"/>
      <c r="F107" s="310" t="s">
        <v>227</v>
      </c>
      <c r="G107" s="311">
        <f>(G99-G98)*1000+G104/2</f>
        <v>2899.9070710426263</v>
      </c>
      <c r="H107" s="312" t="s">
        <v>223</v>
      </c>
      <c r="I107" s="301"/>
      <c r="J107" s="331"/>
      <c r="K107" s="332"/>
      <c r="L107" s="331"/>
      <c r="M107" s="321"/>
      <c r="N107" s="321"/>
      <c r="O107" s="301"/>
      <c r="P107" s="301"/>
      <c r="R107" s="62"/>
      <c r="S107" s="62"/>
      <c r="T107" s="116"/>
      <c r="U107" s="62"/>
      <c r="V107" s="116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2"/>
      <c r="CB107" s="62"/>
      <c r="CC107" s="62"/>
      <c r="CD107" s="62"/>
      <c r="CE107" s="62"/>
      <c r="CF107" s="62"/>
      <c r="CG107" s="62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  <c r="EA107" s="62"/>
      <c r="EB107" s="62"/>
      <c r="EC107" s="62"/>
      <c r="ED107" s="62"/>
      <c r="EE107" s="62"/>
      <c r="EF107" s="62"/>
      <c r="EG107" s="62"/>
      <c r="EH107" s="62"/>
    </row>
    <row r="108" spans="1:138" thickBot="1" x14ac:dyDescent="0.3">
      <c r="A108" s="301"/>
      <c r="B108" s="315" t="s">
        <v>207</v>
      </c>
      <c r="C108" s="311">
        <v>28.010100000000001</v>
      </c>
      <c r="D108" s="312" t="s">
        <v>204</v>
      </c>
      <c r="E108" s="301"/>
      <c r="F108" s="310" t="s">
        <v>228</v>
      </c>
      <c r="G108" s="311">
        <f>G100*1000</f>
        <v>23831.046570152641</v>
      </c>
      <c r="H108" s="312" t="s">
        <v>223</v>
      </c>
      <c r="I108" s="301"/>
      <c r="J108" s="305" t="s">
        <v>340</v>
      </c>
      <c r="K108" s="333">
        <f>Tadiabatica(C96,C94,D14,C97)</f>
        <v>1160.3571357603516</v>
      </c>
      <c r="L108" s="334" t="s">
        <v>176</v>
      </c>
      <c r="M108" s="321"/>
      <c r="N108" s="321"/>
      <c r="O108" s="301"/>
      <c r="P108" s="301"/>
      <c r="R108" s="62"/>
      <c r="S108" s="62"/>
      <c r="T108" s="116"/>
      <c r="U108" s="62"/>
      <c r="V108" s="116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2"/>
      <c r="CB108" s="62"/>
      <c r="CC108" s="62"/>
      <c r="CD108" s="62"/>
      <c r="CE108" s="62"/>
      <c r="CF108" s="62"/>
      <c r="CG108" s="62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  <c r="EA108" s="62"/>
      <c r="EB108" s="62"/>
      <c r="EC108" s="62"/>
      <c r="ED108" s="62"/>
      <c r="EE108" s="62"/>
      <c r="EF108" s="62"/>
      <c r="EG108" s="62"/>
      <c r="EH108" s="62"/>
    </row>
    <row r="109" spans="1:138" thickBot="1" x14ac:dyDescent="0.3">
      <c r="A109" s="301"/>
      <c r="B109" s="315" t="s">
        <v>208</v>
      </c>
      <c r="C109" s="311">
        <v>18.015280000000001</v>
      </c>
      <c r="D109" s="312" t="s">
        <v>204</v>
      </c>
      <c r="E109" s="301"/>
      <c r="F109" s="310" t="s">
        <v>230</v>
      </c>
      <c r="G109" s="311">
        <f>SUM(G103:G104,G106:G108)</f>
        <v>34853.074015185819</v>
      </c>
      <c r="H109" s="312" t="s">
        <v>223</v>
      </c>
      <c r="I109" s="301"/>
      <c r="J109" s="335" t="s">
        <v>341</v>
      </c>
      <c r="K109" s="336">
        <f>+DH_KJKmol(25,K108,G104/1000,G103/1000,G108/1000,G107/1000,G106/1000)/3600</f>
        <v>381.93013032245528</v>
      </c>
      <c r="L109" s="330" t="s">
        <v>233</v>
      </c>
      <c r="M109" s="321"/>
      <c r="N109" s="321"/>
      <c r="O109" s="301"/>
      <c r="P109" s="301"/>
      <c r="R109" s="62"/>
      <c r="S109" s="62"/>
      <c r="T109" s="116"/>
      <c r="U109" s="62"/>
      <c r="V109" s="116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2"/>
      <c r="CB109" s="62"/>
      <c r="CC109" s="62"/>
      <c r="CD109" s="62"/>
      <c r="CE109" s="62"/>
      <c r="CF109" s="62"/>
      <c r="CG109" s="62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  <c r="EA109" s="62"/>
      <c r="EB109" s="62"/>
      <c r="EC109" s="62"/>
      <c r="ED109" s="62"/>
      <c r="EE109" s="62"/>
      <c r="EF109" s="62"/>
      <c r="EG109" s="62"/>
      <c r="EH109" s="62"/>
    </row>
    <row r="110" spans="1:138" thickBot="1" x14ac:dyDescent="0.3">
      <c r="A110" s="301"/>
      <c r="B110" s="315" t="s">
        <v>209</v>
      </c>
      <c r="C110" s="311">
        <v>31.998799999999999</v>
      </c>
      <c r="D110" s="312" t="s">
        <v>204</v>
      </c>
      <c r="E110" s="301"/>
      <c r="F110" s="310" t="s">
        <v>229</v>
      </c>
      <c r="G110" s="311">
        <f>1180+273.15</f>
        <v>1453.15</v>
      </c>
      <c r="H110" s="312" t="s">
        <v>18</v>
      </c>
      <c r="I110" s="301"/>
      <c r="J110" s="337"/>
      <c r="K110" s="321"/>
      <c r="L110" s="337"/>
      <c r="M110" s="301"/>
      <c r="N110" s="301"/>
      <c r="O110" s="301"/>
      <c r="P110" s="301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2"/>
      <c r="CB110" s="62"/>
      <c r="CC110" s="62"/>
      <c r="CD110" s="62"/>
      <c r="CE110" s="62"/>
      <c r="CF110" s="62"/>
      <c r="CG110" s="62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  <c r="EA110" s="62"/>
      <c r="EB110" s="62"/>
      <c r="EC110" s="62"/>
      <c r="ED110" s="62"/>
      <c r="EE110" s="62"/>
      <c r="EF110" s="62"/>
      <c r="EG110" s="62"/>
      <c r="EH110" s="62"/>
    </row>
    <row r="111" spans="1:138" thickBot="1" x14ac:dyDescent="0.3">
      <c r="A111" s="301"/>
      <c r="B111" s="317" t="s">
        <v>210</v>
      </c>
      <c r="C111" s="205">
        <v>28.013400000000001</v>
      </c>
      <c r="D111" s="206" t="s">
        <v>204</v>
      </c>
      <c r="E111" s="301"/>
      <c r="F111" s="310" t="s">
        <v>231</v>
      </c>
      <c r="G111" s="311">
        <f>(G103*C107)+(G104*C108)+(C109*G106)+(G107*C110)+(C111*G108)</f>
        <v>990347.85040542716</v>
      </c>
      <c r="H111" s="312" t="s">
        <v>232</v>
      </c>
      <c r="I111" s="301"/>
      <c r="J111" s="305" t="s">
        <v>345</v>
      </c>
      <c r="K111" s="164">
        <v>6.7026693491478122</v>
      </c>
      <c r="L111" s="306" t="s">
        <v>39</v>
      </c>
      <c r="M111" s="301"/>
      <c r="N111" s="301"/>
      <c r="O111" s="301"/>
      <c r="P111" s="301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2"/>
      <c r="CB111" s="62"/>
      <c r="CC111" s="62"/>
      <c r="CD111" s="62"/>
      <c r="CE111" s="62"/>
      <c r="CF111" s="62"/>
      <c r="CG111" s="62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  <c r="EA111" s="62"/>
      <c r="EB111" s="62"/>
      <c r="EC111" s="62"/>
      <c r="ED111" s="62"/>
      <c r="EE111" s="62"/>
      <c r="EF111" s="62"/>
      <c r="EG111" s="62"/>
      <c r="EH111" s="62"/>
    </row>
    <row r="112" spans="1:138" thickBot="1" x14ac:dyDescent="0.3">
      <c r="A112" s="301"/>
      <c r="B112" s="338"/>
      <c r="C112" s="339"/>
      <c r="D112" s="339"/>
      <c r="E112" s="301"/>
      <c r="F112" s="340" t="s">
        <v>234</v>
      </c>
      <c r="G112" s="319">
        <f>+I21</f>
        <v>395.41499999999996</v>
      </c>
      <c r="H112" s="206" t="s">
        <v>233</v>
      </c>
      <c r="I112" s="301"/>
      <c r="J112" s="341" t="s">
        <v>344</v>
      </c>
      <c r="K112" s="319">
        <f>3.33*K111*(K108-D19)/1000</f>
        <v>25.341045169076548</v>
      </c>
      <c r="L112" s="342" t="s">
        <v>233</v>
      </c>
      <c r="M112" s="301"/>
      <c r="N112" s="301">
        <f>+K112/K111</f>
        <v>3.7807392620819713</v>
      </c>
      <c r="O112" s="301"/>
      <c r="P112" s="301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  <c r="EA112" s="62"/>
      <c r="EB112" s="62"/>
      <c r="EC112" s="62"/>
      <c r="ED112" s="62"/>
      <c r="EE112" s="62"/>
      <c r="EF112" s="62"/>
      <c r="EG112" s="62"/>
      <c r="EH112" s="62"/>
    </row>
    <row r="113" spans="1:138" thickBot="1" x14ac:dyDescent="0.3">
      <c r="A113" s="301"/>
      <c r="B113" s="343" t="s">
        <v>315</v>
      </c>
      <c r="C113" s="344" t="s">
        <v>359</v>
      </c>
      <c r="D113" s="345">
        <f>+K109*0.141</f>
        <v>53.852148375466193</v>
      </c>
      <c r="E113" s="332"/>
      <c r="F113" s="331"/>
      <c r="G113" s="332"/>
      <c r="H113" s="332"/>
      <c r="I113" s="301"/>
      <c r="J113" s="322"/>
      <c r="K113" s="301"/>
      <c r="L113" s="322"/>
      <c r="M113" s="301"/>
      <c r="N113" s="301"/>
      <c r="O113" s="301"/>
      <c r="P113" s="301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2"/>
      <c r="CB113" s="62"/>
      <c r="CC113" s="62"/>
      <c r="CD113" s="62"/>
      <c r="CE113" s="62"/>
      <c r="CF113" s="62"/>
      <c r="CG113" s="62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  <c r="EA113" s="62"/>
      <c r="EB113" s="62"/>
      <c r="EC113" s="62"/>
      <c r="ED113" s="62"/>
      <c r="EE113" s="62"/>
      <c r="EF113" s="62"/>
      <c r="EG113" s="62"/>
      <c r="EH113" s="62"/>
    </row>
    <row r="114" spans="1:138" thickBot="1" x14ac:dyDescent="0.3">
      <c r="A114" s="301"/>
      <c r="B114" s="346" t="s">
        <v>351</v>
      </c>
      <c r="C114" s="347" t="s">
        <v>352</v>
      </c>
      <c r="D114" s="348" t="s">
        <v>233</v>
      </c>
      <c r="E114" s="111">
        <v>36.182615318474419</v>
      </c>
      <c r="F114" s="261">
        <v>15.211039540602119</v>
      </c>
      <c r="G114" s="111">
        <v>52.349343189856725</v>
      </c>
      <c r="H114" s="111">
        <v>30.441445840839897</v>
      </c>
      <c r="I114" s="415">
        <v>12.767456735139376</v>
      </c>
      <c r="J114" s="486"/>
      <c r="K114" s="572" t="s">
        <v>416</v>
      </c>
      <c r="L114" s="573"/>
      <c r="M114" s="492">
        <f>+(L118-L117)*1000000</f>
        <v>33554464.23499646</v>
      </c>
      <c r="N114" s="69"/>
      <c r="O114" s="69"/>
      <c r="P114" s="351"/>
      <c r="Q114" s="485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2"/>
      <c r="CB114" s="62"/>
      <c r="CC114" s="62"/>
      <c r="CD114" s="62"/>
      <c r="CE114" s="62"/>
      <c r="CF114" s="62"/>
      <c r="CG114" s="62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  <c r="EA114" s="62"/>
      <c r="EB114" s="62"/>
      <c r="EC114" s="62"/>
      <c r="ED114" s="62"/>
      <c r="EE114" s="62"/>
      <c r="EF114" s="62"/>
      <c r="EG114" s="62"/>
      <c r="EH114" s="62"/>
    </row>
    <row r="115" spans="1:138" thickBot="1" x14ac:dyDescent="0.3">
      <c r="A115" s="301"/>
      <c r="B115" s="350"/>
      <c r="C115" s="350"/>
      <c r="D115" s="487"/>
      <c r="E115" s="488"/>
      <c r="F115" s="488"/>
      <c r="G115" s="488"/>
      <c r="H115" s="484"/>
      <c r="I115" s="484"/>
      <c r="J115" s="486"/>
      <c r="K115" s="493" t="s">
        <v>408</v>
      </c>
      <c r="L115" s="494">
        <f>+I119</f>
        <v>616.20195902069281</v>
      </c>
      <c r="M115" s="495" t="s">
        <v>176</v>
      </c>
      <c r="N115" s="62"/>
      <c r="O115" s="69"/>
      <c r="P115" s="351"/>
      <c r="Q115" s="485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2"/>
      <c r="CB115" s="62"/>
      <c r="CC115" s="62"/>
      <c r="CD115" s="62"/>
      <c r="CE115" s="62"/>
      <c r="CF115" s="62"/>
      <c r="CG115" s="62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  <c r="EA115" s="62"/>
      <c r="EB115" s="62"/>
      <c r="EC115" s="62"/>
      <c r="ED115" s="62"/>
      <c r="EE115" s="62"/>
      <c r="EF115" s="62"/>
      <c r="EG115" s="62"/>
      <c r="EH115" s="62"/>
    </row>
    <row r="116" spans="1:138" thickBot="1" x14ac:dyDescent="0.3">
      <c r="A116" s="301"/>
      <c r="B116" s="302" t="s">
        <v>349</v>
      </c>
      <c r="C116" s="333" t="s">
        <v>353</v>
      </c>
      <c r="D116" s="352" t="s">
        <v>233</v>
      </c>
      <c r="E116" s="353">
        <f>+K109-K112</f>
        <v>356.58908515337873</v>
      </c>
      <c r="F116" s="262">
        <f>E117</f>
        <v>317.36730687497618</v>
      </c>
      <c r="G116" s="180">
        <f t="shared" ref="G116:I116" si="9">F117</f>
        <v>298.17985315698007</v>
      </c>
      <c r="H116" s="180">
        <f t="shared" si="9"/>
        <v>238.10671527206284</v>
      </c>
      <c r="I116" s="181">
        <f t="shared" si="9"/>
        <v>202.97414028730395</v>
      </c>
      <c r="J116" s="337"/>
      <c r="K116" s="493" t="s">
        <v>409</v>
      </c>
      <c r="L116" s="494">
        <v>279.86809472246074</v>
      </c>
      <c r="M116" s="495" t="s">
        <v>176</v>
      </c>
      <c r="N116" s="62"/>
      <c r="O116" s="483"/>
      <c r="P116" s="351"/>
      <c r="Q116" s="485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2"/>
      <c r="CB116" s="62"/>
      <c r="CC116" s="62"/>
      <c r="CD116" s="62"/>
      <c r="CE116" s="62"/>
      <c r="CF116" s="62"/>
      <c r="CG116" s="62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  <c r="EA116" s="62"/>
      <c r="EB116" s="62"/>
      <c r="EC116" s="62"/>
      <c r="ED116" s="62"/>
      <c r="EE116" s="62"/>
      <c r="EF116" s="62"/>
      <c r="EG116" s="62"/>
      <c r="EH116" s="62"/>
    </row>
    <row r="117" spans="1:138" thickBot="1" x14ac:dyDescent="0.3">
      <c r="A117" s="301"/>
      <c r="B117" s="315" t="s">
        <v>350</v>
      </c>
      <c r="C117" s="354" t="s">
        <v>354</v>
      </c>
      <c r="D117" s="355" t="s">
        <v>233</v>
      </c>
      <c r="E117" s="356">
        <f>E116-E122-E114</f>
        <v>317.36730687497618</v>
      </c>
      <c r="F117" s="357">
        <f>+E117-F122-F114</f>
        <v>298.17985315698007</v>
      </c>
      <c r="G117" s="356">
        <f>+F117-G122-G114</f>
        <v>238.10671527206284</v>
      </c>
      <c r="H117" s="356">
        <f>+G117-H122-H114</f>
        <v>202.97414028730395</v>
      </c>
      <c r="I117" s="358">
        <f>+H117-I122-I114</f>
        <v>187.17239364882639</v>
      </c>
      <c r="J117" s="247"/>
      <c r="K117" s="496" t="s">
        <v>411</v>
      </c>
      <c r="L117" s="494">
        <f>+DH_KJKmol(L116,L115,G104/1000,G103/1000,G108/1000,G107/1000,G106/1000)/3600</f>
        <v>109.87271083840693</v>
      </c>
      <c r="M117" s="497" t="s">
        <v>410</v>
      </c>
      <c r="N117" s="62"/>
      <c r="O117" s="62"/>
      <c r="P117" s="351"/>
      <c r="Q117" s="485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2"/>
      <c r="CB117" s="62"/>
      <c r="CC117" s="62"/>
      <c r="CD117" s="62"/>
      <c r="CE117" s="62"/>
      <c r="CF117" s="62"/>
      <c r="CG117" s="62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  <c r="EA117" s="62"/>
      <c r="EB117" s="62"/>
      <c r="EC117" s="62"/>
      <c r="ED117" s="62"/>
      <c r="EE117" s="62"/>
      <c r="EF117" s="62"/>
      <c r="EG117" s="62"/>
      <c r="EH117" s="62"/>
    </row>
    <row r="118" spans="1:138" thickBot="1" x14ac:dyDescent="0.3">
      <c r="A118" s="301"/>
      <c r="B118" s="359" t="s">
        <v>346</v>
      </c>
      <c r="C118" s="360" t="s">
        <v>355</v>
      </c>
      <c r="D118" s="361" t="s">
        <v>176</v>
      </c>
      <c r="E118" s="362">
        <f t="shared" ref="E118:I119" si="10">Tcalculada(E116,$K$98,$K$102,$K$101,$K$105,$K$104,$K$103)</f>
        <v>1092.0134535099312</v>
      </c>
      <c r="F118" s="363">
        <f t="shared" si="10"/>
        <v>985.01529480628164</v>
      </c>
      <c r="G118" s="362">
        <f t="shared" si="10"/>
        <v>932.07202090634337</v>
      </c>
      <c r="H118" s="362">
        <f t="shared" si="10"/>
        <v>763.37820772715611</v>
      </c>
      <c r="I118" s="364">
        <f t="shared" si="10"/>
        <v>662.33756005849682</v>
      </c>
      <c r="J118" s="247"/>
      <c r="K118" s="498" t="s">
        <v>412</v>
      </c>
      <c r="L118" s="494">
        <f>25/1000*22.09*(L115-L116)/LN((L115-153)/(L116-153))</f>
        <v>143.42717507340339</v>
      </c>
      <c r="M118" s="497" t="s">
        <v>27</v>
      </c>
      <c r="N118" s="62"/>
      <c r="O118" s="62"/>
      <c r="P118" s="351"/>
      <c r="Q118" s="485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2"/>
      <c r="CB118" s="62"/>
      <c r="CC118" s="62"/>
      <c r="CD118" s="62"/>
      <c r="CE118" s="62"/>
      <c r="CF118" s="62"/>
      <c r="CG118" s="62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  <c r="EA118" s="62"/>
      <c r="EB118" s="62"/>
      <c r="EC118" s="62"/>
      <c r="ED118" s="62"/>
      <c r="EE118" s="62"/>
      <c r="EF118" s="62"/>
      <c r="EG118" s="62"/>
      <c r="EH118" s="62"/>
    </row>
    <row r="119" spans="1:138" thickBot="1" x14ac:dyDescent="0.3">
      <c r="A119" s="301"/>
      <c r="B119" s="365" t="s">
        <v>347</v>
      </c>
      <c r="C119" s="360" t="s">
        <v>356</v>
      </c>
      <c r="D119" s="361" t="s">
        <v>176</v>
      </c>
      <c r="E119" s="362">
        <f t="shared" si="10"/>
        <v>985.01529480628164</v>
      </c>
      <c r="F119" s="363">
        <f t="shared" si="10"/>
        <v>932.07202090634337</v>
      </c>
      <c r="G119" s="362">
        <f t="shared" si="10"/>
        <v>763.37820772715611</v>
      </c>
      <c r="H119" s="362">
        <f t="shared" si="10"/>
        <v>662.33756005849682</v>
      </c>
      <c r="I119" s="364">
        <f t="shared" si="10"/>
        <v>616.20195902069281</v>
      </c>
      <c r="J119" s="491" t="s">
        <v>417</v>
      </c>
      <c r="K119" s="499" t="s">
        <v>413</v>
      </c>
      <c r="L119" s="494">
        <f>+L121/L120</f>
        <v>29.391245941358818</v>
      </c>
      <c r="M119" s="495" t="s">
        <v>55</v>
      </c>
      <c r="N119" s="483"/>
      <c r="O119" s="483"/>
      <c r="P119" s="351"/>
      <c r="Q119" s="485"/>
      <c r="R119" s="62"/>
      <c r="S119" s="62">
        <f>+E121/K52</f>
        <v>3.3750028659464943</v>
      </c>
      <c r="T119" s="62">
        <f t="shared" ref="T119:W119" si="11">+F121/L52</f>
        <v>3.1087003806615208</v>
      </c>
      <c r="U119" s="62">
        <f t="shared" si="11"/>
        <v>2.7396746306747772</v>
      </c>
      <c r="V119" s="62">
        <f t="shared" si="11"/>
        <v>2.2905667533631124</v>
      </c>
      <c r="W119" s="62">
        <f t="shared" si="11"/>
        <v>2.0455182992668508</v>
      </c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2"/>
      <c r="CB119" s="62"/>
      <c r="CC119" s="62"/>
      <c r="CD119" s="62"/>
      <c r="CE119" s="62"/>
      <c r="CF119" s="62"/>
      <c r="CG119" s="62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  <c r="EA119" s="62"/>
      <c r="EB119" s="62"/>
      <c r="EC119" s="62"/>
      <c r="ED119" s="62"/>
      <c r="EE119" s="62"/>
      <c r="EF119" s="62"/>
      <c r="EG119" s="62"/>
      <c r="EH119" s="62"/>
    </row>
    <row r="120" spans="1:138" thickBot="1" x14ac:dyDescent="0.3">
      <c r="A120" s="301"/>
      <c r="B120" s="315" t="s">
        <v>348</v>
      </c>
      <c r="C120" s="354" t="s">
        <v>238</v>
      </c>
      <c r="D120" s="355" t="s">
        <v>176</v>
      </c>
      <c r="E120" s="356">
        <f>+AVERAGE(E118:E119)</f>
        <v>1038.5143741581064</v>
      </c>
      <c r="F120" s="357">
        <f t="shared" ref="F120:I120" si="12">+AVERAGE(F118:F119)</f>
        <v>958.54365785631251</v>
      </c>
      <c r="G120" s="356">
        <f t="shared" si="12"/>
        <v>847.7251143167498</v>
      </c>
      <c r="H120" s="356">
        <f t="shared" si="12"/>
        <v>712.85788389282652</v>
      </c>
      <c r="I120" s="358">
        <f t="shared" si="12"/>
        <v>639.26975953959482</v>
      </c>
      <c r="J120" s="491" t="s">
        <v>417</v>
      </c>
      <c r="K120" s="499" t="s">
        <v>415</v>
      </c>
      <c r="L120" s="494">
        <v>3.6599462819533444</v>
      </c>
      <c r="M120" s="495" t="s">
        <v>63</v>
      </c>
      <c r="N120" s="69"/>
      <c r="O120" s="483"/>
      <c r="P120" s="351"/>
      <c r="Q120" s="485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2"/>
      <c r="CB120" s="62"/>
      <c r="CC120" s="62"/>
      <c r="CD120" s="62"/>
      <c r="CE120" s="62"/>
      <c r="CF120" s="62"/>
      <c r="CG120" s="62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  <c r="EA120" s="62"/>
      <c r="EB120" s="62"/>
      <c r="EC120" s="62"/>
      <c r="ED120" s="62"/>
      <c r="EE120" s="62"/>
      <c r="EF120" s="62"/>
      <c r="EG120" s="62"/>
      <c r="EH120" s="62"/>
    </row>
    <row r="121" spans="1:138" thickBot="1" x14ac:dyDescent="0.3">
      <c r="A121" s="301"/>
      <c r="B121" s="366" t="s">
        <v>342</v>
      </c>
      <c r="C121" s="354" t="s">
        <v>357</v>
      </c>
      <c r="D121" s="355" t="s">
        <v>233</v>
      </c>
      <c r="E121" s="356">
        <f>3.33*K52*(E120-$D$19)/1000</f>
        <v>6.3146303621858912</v>
      </c>
      <c r="F121" s="357">
        <f>3.33*L52*(F120-$D$19)/1000</f>
        <v>7.6100985318594008</v>
      </c>
      <c r="G121" s="356">
        <f>3.33*M52*(G120-$D$19)/1000</f>
        <v>13.027152868858565</v>
      </c>
      <c r="H121" s="356">
        <f>3.33*N52*(H120-$D$19)/1000</f>
        <v>6.6151567837126679</v>
      </c>
      <c r="I121" s="358">
        <f>3.33*O52*(I120-$D$19)/1000</f>
        <v>3.8210281830304771</v>
      </c>
      <c r="J121" s="491" t="s">
        <v>417</v>
      </c>
      <c r="K121" s="498" t="s">
        <v>414</v>
      </c>
      <c r="L121" s="494">
        <f>+L118*0.75</f>
        <v>107.57038130505254</v>
      </c>
      <c r="M121" s="495" t="s">
        <v>233</v>
      </c>
      <c r="N121" s="69"/>
      <c r="O121" s="483"/>
      <c r="P121" s="351"/>
      <c r="Q121" s="485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2"/>
      <c r="CB121" s="62"/>
      <c r="CC121" s="62"/>
      <c r="CD121" s="62"/>
      <c r="CE121" s="62"/>
      <c r="CF121" s="62"/>
      <c r="CG121" s="62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  <c r="EA121" s="62"/>
      <c r="EB121" s="62"/>
      <c r="EC121" s="62"/>
      <c r="ED121" s="62"/>
      <c r="EE121" s="62"/>
      <c r="EF121" s="62"/>
      <c r="EG121" s="62"/>
      <c r="EH121" s="62"/>
    </row>
    <row r="122" spans="1:138" thickBot="1" x14ac:dyDescent="0.3">
      <c r="A122" s="301"/>
      <c r="B122" s="367" t="s">
        <v>343</v>
      </c>
      <c r="C122" s="368" t="s">
        <v>358</v>
      </c>
      <c r="D122" s="319" t="s">
        <v>233</v>
      </c>
      <c r="E122" s="368">
        <f>$D$113*K53</f>
        <v>3.0391629599281287</v>
      </c>
      <c r="F122" s="369">
        <f>$D$113*L53</f>
        <v>3.9764141773939379</v>
      </c>
      <c r="G122" s="368">
        <f>$D$113*M53</f>
        <v>7.7237946950605307</v>
      </c>
      <c r="H122" s="368">
        <f>$D$113*N53</f>
        <v>4.6911291439189924</v>
      </c>
      <c r="I122" s="370">
        <f>$D$113*O53</f>
        <v>3.0342899033381849</v>
      </c>
      <c r="J122" s="590">
        <f>+SUM(E122:I122)</f>
        <v>22.464790879639775</v>
      </c>
      <c r="K122" s="500" t="s">
        <v>418</v>
      </c>
      <c r="L122" s="501">
        <f>+(L121+J180)/I21</f>
        <v>0.56465628152059444</v>
      </c>
      <c r="M122" s="502" t="s">
        <v>8</v>
      </c>
      <c r="N122" s="69"/>
      <c r="O122" s="483"/>
      <c r="P122" s="351"/>
      <c r="Q122" s="485"/>
      <c r="R122" s="62"/>
      <c r="S122" s="62">
        <v>1.871</v>
      </c>
      <c r="T122" s="62">
        <v>2.4479999999999995</v>
      </c>
      <c r="U122" s="62">
        <v>4.7549999999999999</v>
      </c>
      <c r="V122" s="62">
        <v>2.8879999999999999</v>
      </c>
      <c r="W122" s="62">
        <v>1.8679999999999999</v>
      </c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2"/>
      <c r="CB122" s="62"/>
      <c r="CC122" s="62"/>
      <c r="CD122" s="62"/>
      <c r="CE122" s="62"/>
      <c r="CF122" s="62"/>
      <c r="CG122" s="62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  <c r="EA122" s="62"/>
      <c r="EB122" s="62"/>
      <c r="EC122" s="62"/>
      <c r="ED122" s="62"/>
      <c r="EE122" s="62"/>
      <c r="EF122" s="62"/>
      <c r="EG122" s="62"/>
      <c r="EH122" s="62"/>
    </row>
    <row r="123" spans="1:138" thickBot="1" x14ac:dyDescent="0.3">
      <c r="A123" s="301"/>
      <c r="B123" s="351"/>
      <c r="C123" s="351"/>
      <c r="D123" s="489"/>
      <c r="E123" s="490"/>
      <c r="F123" s="490"/>
      <c r="G123" s="490"/>
      <c r="H123" s="490"/>
      <c r="I123" s="490"/>
      <c r="J123" s="322"/>
      <c r="K123" s="301"/>
      <c r="L123" s="322"/>
      <c r="M123" s="301"/>
      <c r="N123" s="301"/>
      <c r="O123" s="301"/>
      <c r="P123" s="301"/>
      <c r="R123" s="62"/>
      <c r="S123" s="62">
        <f>+E122/S122</f>
        <v>1.6243521966478507</v>
      </c>
      <c r="T123" s="62">
        <f t="shared" ref="T123:W123" si="13">+F122/T122</f>
        <v>1.6243521966478507</v>
      </c>
      <c r="U123" s="62">
        <f t="shared" si="13"/>
        <v>1.6243521966478509</v>
      </c>
      <c r="V123" s="62">
        <f t="shared" si="13"/>
        <v>1.6243521966478507</v>
      </c>
      <c r="W123" s="62">
        <f t="shared" si="13"/>
        <v>1.6243521966478507</v>
      </c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2"/>
      <c r="CB123" s="62"/>
      <c r="CC123" s="62"/>
      <c r="CD123" s="62"/>
      <c r="CE123" s="62"/>
      <c r="CF123" s="62"/>
      <c r="CG123" s="62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  <c r="EA123" s="62"/>
      <c r="EB123" s="62"/>
      <c r="EC123" s="62"/>
      <c r="ED123" s="62"/>
      <c r="EE123" s="62"/>
      <c r="EF123" s="62"/>
      <c r="EG123" s="62"/>
      <c r="EH123" s="62"/>
    </row>
    <row r="124" spans="1:138" thickBot="1" x14ac:dyDescent="0.3">
      <c r="A124" s="529"/>
      <c r="B124" s="530"/>
      <c r="C124" s="530"/>
      <c r="D124" s="530"/>
      <c r="E124" s="530"/>
      <c r="F124" s="530"/>
      <c r="G124" s="530"/>
      <c r="H124" s="530"/>
      <c r="I124" s="530"/>
      <c r="J124" s="530"/>
      <c r="K124" s="530"/>
      <c r="L124" s="530"/>
      <c r="M124" s="530"/>
      <c r="N124" s="530"/>
      <c r="O124" s="530"/>
      <c r="P124" s="531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2"/>
      <c r="CB124" s="62"/>
      <c r="CC124" s="62"/>
      <c r="CD124" s="62"/>
      <c r="CE124" s="62"/>
      <c r="CF124" s="62"/>
      <c r="CG124" s="62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  <c r="EA124" s="62"/>
      <c r="EB124" s="62"/>
      <c r="EC124" s="62"/>
      <c r="ED124" s="62"/>
      <c r="EE124" s="62"/>
      <c r="EF124" s="62"/>
      <c r="EG124" s="62"/>
      <c r="EH124" s="62"/>
    </row>
    <row r="125" spans="1:138" thickBot="1" x14ac:dyDescent="0.3">
      <c r="A125" s="62"/>
      <c r="B125" s="62"/>
      <c r="C125" s="62"/>
      <c r="D125" s="106"/>
      <c r="E125" s="62"/>
      <c r="F125" s="115"/>
      <c r="G125" s="62"/>
      <c r="H125" s="62"/>
      <c r="I125" s="62"/>
      <c r="J125" s="290"/>
      <c r="K125" s="62"/>
      <c r="L125" s="290"/>
      <c r="M125" s="62"/>
      <c r="N125" s="62"/>
      <c r="O125" s="62"/>
      <c r="P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2"/>
      <c r="CB125" s="62"/>
      <c r="CC125" s="62"/>
      <c r="CD125" s="62"/>
      <c r="CE125" s="62"/>
      <c r="CF125" s="62"/>
      <c r="CG125" s="62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  <c r="EA125" s="62"/>
      <c r="EB125" s="62"/>
      <c r="EC125" s="62"/>
      <c r="ED125" s="62"/>
      <c r="EE125" s="62"/>
      <c r="EF125" s="62"/>
      <c r="EG125" s="62"/>
      <c r="EH125" s="62"/>
    </row>
    <row r="126" spans="1:138" thickBot="1" x14ac:dyDescent="0.3">
      <c r="A126" s="62"/>
      <c r="B126" s="243" t="s">
        <v>235</v>
      </c>
      <c r="C126" s="244"/>
      <c r="D126" s="244"/>
      <c r="E126" s="96">
        <v>1</v>
      </c>
      <c r="F126" s="264">
        <v>2</v>
      </c>
      <c r="G126" s="97">
        <v>3</v>
      </c>
      <c r="H126" s="97">
        <v>4</v>
      </c>
      <c r="I126" s="98" t="s">
        <v>236</v>
      </c>
      <c r="J126" s="290"/>
      <c r="K126" s="62"/>
      <c r="L126" s="290"/>
      <c r="M126" s="62"/>
      <c r="N126" s="62"/>
      <c r="O126" s="62"/>
      <c r="P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2"/>
      <c r="CB126" s="62"/>
      <c r="CC126" s="62"/>
      <c r="CD126" s="62"/>
      <c r="CE126" s="62"/>
      <c r="CF126" s="62"/>
      <c r="CG126" s="62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  <c r="EA126" s="62"/>
      <c r="EB126" s="62"/>
      <c r="EC126" s="62"/>
      <c r="ED126" s="62"/>
      <c r="EE126" s="62"/>
      <c r="EF126" s="62"/>
      <c r="EG126" s="62"/>
      <c r="EH126" s="62"/>
    </row>
    <row r="127" spans="1:138" thickBot="1" x14ac:dyDescent="0.3">
      <c r="A127" s="62"/>
      <c r="B127" s="182" t="s">
        <v>237</v>
      </c>
      <c r="C127" s="183" t="s">
        <v>238</v>
      </c>
      <c r="D127" s="184" t="s">
        <v>18</v>
      </c>
      <c r="E127" s="240">
        <f>+E120</f>
        <v>1038.5143741581064</v>
      </c>
      <c r="F127" s="265">
        <f>+F120</f>
        <v>958.54365785631251</v>
      </c>
      <c r="G127" s="241">
        <f>+G120</f>
        <v>847.7251143167498</v>
      </c>
      <c r="H127" s="241">
        <f>+H120</f>
        <v>712.85788389282652</v>
      </c>
      <c r="I127" s="242">
        <f>+I120</f>
        <v>639.26975953959482</v>
      </c>
      <c r="J127" s="290">
        <v>500</v>
      </c>
      <c r="K127" s="62">
        <v>400</v>
      </c>
      <c r="L127" s="290">
        <v>300</v>
      </c>
      <c r="M127" s="62"/>
      <c r="N127" s="62"/>
      <c r="O127" s="62"/>
      <c r="P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2"/>
      <c r="CB127" s="62"/>
      <c r="CC127" s="62"/>
      <c r="CD127" s="62"/>
      <c r="CE127" s="62"/>
      <c r="CF127" s="62"/>
      <c r="CG127" s="62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  <c r="EA127" s="62"/>
      <c r="EB127" s="62"/>
      <c r="EC127" s="62"/>
      <c r="ED127" s="62"/>
      <c r="EE127" s="62"/>
      <c r="EF127" s="62"/>
      <c r="EG127" s="62"/>
      <c r="EH127" s="62"/>
    </row>
    <row r="128" spans="1:138" thickBot="1" x14ac:dyDescent="0.3">
      <c r="A128" s="69"/>
      <c r="B128" s="185" t="s">
        <v>239</v>
      </c>
      <c r="C128" s="186" t="s">
        <v>152</v>
      </c>
      <c r="D128" s="187" t="s">
        <v>240</v>
      </c>
      <c r="E128" s="93">
        <f>+D22/760</f>
        <v>0.82991001477720805</v>
      </c>
      <c r="F128" s="266">
        <f>E128</f>
        <v>0.82991001477720805</v>
      </c>
      <c r="G128" s="91">
        <f t="shared" ref="G128:I128" si="14">F128</f>
        <v>0.82991001477720805</v>
      </c>
      <c r="H128" s="91">
        <f t="shared" si="14"/>
        <v>0.82991001477720805</v>
      </c>
      <c r="I128" s="92">
        <f t="shared" si="14"/>
        <v>0.82991001477720805</v>
      </c>
      <c r="J128" s="92">
        <f t="shared" ref="J128" si="15">I128</f>
        <v>0.82991001477720805</v>
      </c>
      <c r="K128" s="92">
        <f t="shared" ref="K128" si="16">J128</f>
        <v>0.82991001477720805</v>
      </c>
      <c r="L128" s="92">
        <f t="shared" ref="L128" si="17">K128</f>
        <v>0.82991001477720805</v>
      </c>
      <c r="M128" s="62"/>
      <c r="N128" s="62"/>
      <c r="O128" s="62"/>
      <c r="P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2"/>
      <c r="CB128" s="62"/>
      <c r="CC128" s="62"/>
      <c r="CD128" s="62"/>
      <c r="CE128" s="62"/>
      <c r="CF128" s="62"/>
      <c r="CG128" s="62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  <c r="EA128" s="62"/>
      <c r="EB128" s="62"/>
      <c r="EC128" s="62"/>
      <c r="ED128" s="62"/>
      <c r="EE128" s="62"/>
      <c r="EF128" s="62"/>
      <c r="EG128" s="62"/>
      <c r="EH128" s="62"/>
    </row>
    <row r="129" spans="1:138" thickBot="1" x14ac:dyDescent="0.3">
      <c r="A129" s="69"/>
      <c r="B129" s="185" t="s">
        <v>241</v>
      </c>
      <c r="C129" s="186" t="s">
        <v>242</v>
      </c>
      <c r="D129" s="187" t="s">
        <v>243</v>
      </c>
      <c r="E129" s="93">
        <f>+cp(E127,$K$102,$K$101,$K$105,$K$104,$K$103)</f>
        <v>1.3325702281665051</v>
      </c>
      <c r="F129" s="266">
        <f>+cp(F127,$K$102,$K$101,$K$105,$K$104,$K$103)</f>
        <v>1.3174303100713827</v>
      </c>
      <c r="G129" s="91">
        <f>+cp(G127,$K$102,$K$101,$K$105,$K$104,$K$103)</f>
        <v>1.2946917304747465</v>
      </c>
      <c r="H129" s="91">
        <f>+cp(H127,$K$102,$K$101,$K$105,$K$104,$K$103)</f>
        <v>1.2641123884613883</v>
      </c>
      <c r="I129" s="92">
        <f>+cp(I127,$K$102,$K$101,$K$105,$K$104,$K$103)</f>
        <v>1.2450769225288394</v>
      </c>
      <c r="J129" s="92">
        <f t="shared" ref="J129:L129" si="18">+cp(J127,$K$102,$K$101,$K$105,$K$104,$K$103)</f>
        <v>1.2037696358394812</v>
      </c>
      <c r="K129" s="92">
        <f t="shared" si="18"/>
        <v>1.1725413950891583</v>
      </c>
      <c r="L129" s="92">
        <f t="shared" si="18"/>
        <v>1.1420622434899552</v>
      </c>
      <c r="M129" s="62"/>
      <c r="N129" s="62"/>
      <c r="O129" s="62"/>
      <c r="P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2"/>
      <c r="CB129" s="62"/>
      <c r="CC129" s="62"/>
      <c r="CD129" s="62"/>
      <c r="CE129" s="62"/>
      <c r="CF129" s="62"/>
      <c r="CG129" s="62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  <c r="EA129" s="62"/>
      <c r="EB129" s="62"/>
      <c r="EC129" s="62"/>
      <c r="ED129" s="62"/>
      <c r="EE129" s="62"/>
      <c r="EF129" s="62"/>
      <c r="EG129" s="62"/>
      <c r="EH129" s="62"/>
    </row>
    <row r="130" spans="1:138" thickBot="1" x14ac:dyDescent="0.3">
      <c r="A130" s="69"/>
      <c r="B130" s="185" t="s">
        <v>244</v>
      </c>
      <c r="C130" s="188" t="s">
        <v>245</v>
      </c>
      <c r="D130" s="187" t="s">
        <v>246</v>
      </c>
      <c r="E130" s="93">
        <f>+Densidad_kgm3($K$102,$K$101,$K$105,$K$104,$K$103,E128*101.325,E127)</f>
        <v>0.2190957227125267</v>
      </c>
      <c r="F130" s="266">
        <f>+Densidad_kgm3($K$102,$K$101,$K$105,$K$104,$K$103,F128*101.325,F127)</f>
        <v>0.233321047144638</v>
      </c>
      <c r="G130" s="91">
        <f>+Densidad_kgm3($K$102,$K$101,$K$105,$K$104,$K$103,G128*101.325,G127)</f>
        <v>0.25638900386116803</v>
      </c>
      <c r="H130" s="91">
        <f>+Densidad_kgm3($K$102,$K$101,$K$105,$K$104,$K$103,H128*101.325,H127)</f>
        <v>0.29145817057552137</v>
      </c>
      <c r="I130" s="92">
        <f>+Densidad_kgm3($K$102,$K$101,$K$105,$K$104,$K$103,I128*101.325,I127)</f>
        <v>0.3149647418392777</v>
      </c>
      <c r="J130" s="92">
        <f t="shared" ref="J130:L130" si="19">+Densidad_kgm3($K$102,$K$101,$K$105,$K$104,$K$103,J128*101.325,J127)</f>
        <v>0.3717002574047007</v>
      </c>
      <c r="K130" s="92">
        <f t="shared" si="19"/>
        <v>0.42691830054585805</v>
      </c>
      <c r="L130" s="92">
        <f t="shared" si="19"/>
        <v>0.50140461312473927</v>
      </c>
      <c r="M130" s="62"/>
      <c r="N130" s="62"/>
      <c r="O130" s="62"/>
      <c r="P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2"/>
      <c r="CB130" s="62"/>
      <c r="CC130" s="62"/>
      <c r="CD130" s="62"/>
      <c r="CE130" s="62"/>
      <c r="CF130" s="62"/>
      <c r="CG130" s="62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  <c r="EA130" s="62"/>
      <c r="EB130" s="62"/>
      <c r="EC130" s="62"/>
      <c r="ED130" s="62"/>
      <c r="EE130" s="62"/>
      <c r="EF130" s="62"/>
      <c r="EG130" s="62"/>
      <c r="EH130" s="62"/>
    </row>
    <row r="131" spans="1:138" thickBot="1" x14ac:dyDescent="0.3">
      <c r="A131" s="69"/>
      <c r="B131" s="185" t="s">
        <v>247</v>
      </c>
      <c r="C131" s="188" t="s">
        <v>248</v>
      </c>
      <c r="D131" s="187" t="s">
        <v>249</v>
      </c>
      <c r="E131" s="189">
        <f>0.0000175+0.0000000335*E127</f>
        <v>5.2290231534296566E-5</v>
      </c>
      <c r="F131" s="267">
        <f t="shared" ref="F131:I131" si="20">0.0000175+0.0000000335*F127</f>
        <v>4.9611212538186469E-5</v>
      </c>
      <c r="G131" s="190">
        <f t="shared" si="20"/>
        <v>4.5898791329611118E-5</v>
      </c>
      <c r="H131" s="190">
        <f t="shared" si="20"/>
        <v>4.1380739110409689E-5</v>
      </c>
      <c r="I131" s="191">
        <f t="shared" si="20"/>
        <v>3.8915536944576423E-5</v>
      </c>
      <c r="J131" s="191">
        <f t="shared" ref="J131:L131" si="21">0.0000175+0.0000000335*J127</f>
        <v>3.4249999999999999E-5</v>
      </c>
      <c r="K131" s="191">
        <f t="shared" si="21"/>
        <v>3.0899999999999999E-5</v>
      </c>
      <c r="L131" s="191">
        <f t="shared" si="21"/>
        <v>2.7549999999999999E-5</v>
      </c>
      <c r="M131" s="62"/>
      <c r="N131" s="62"/>
      <c r="O131" s="62"/>
      <c r="P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2"/>
      <c r="CB131" s="62"/>
      <c r="CC131" s="62"/>
      <c r="CD131" s="62"/>
      <c r="CE131" s="62"/>
      <c r="CF131" s="62"/>
      <c r="CG131" s="62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  <c r="EA131" s="62"/>
      <c r="EB131" s="62"/>
      <c r="EC131" s="62"/>
      <c r="ED131" s="62"/>
      <c r="EE131" s="62"/>
      <c r="EF131" s="62"/>
      <c r="EG131" s="62"/>
      <c r="EH131" s="62"/>
    </row>
    <row r="132" spans="1:138" thickBot="1" x14ac:dyDescent="0.3">
      <c r="A132" s="69"/>
      <c r="B132" s="185" t="s">
        <v>250</v>
      </c>
      <c r="C132" s="188" t="s">
        <v>193</v>
      </c>
      <c r="D132" s="187" t="s">
        <v>251</v>
      </c>
      <c r="E132" s="189">
        <f>(0.0229+0.0000647*E127)/1000</f>
        <v>9.0091880008029489E-5</v>
      </c>
      <c r="F132" s="267">
        <f t="shared" ref="F132:I132" si="22">(0.0229+0.0000647*F127)/1000</f>
        <v>8.4917774663303408E-5</v>
      </c>
      <c r="G132" s="190">
        <f t="shared" si="22"/>
        <v>7.7747814896293713E-5</v>
      </c>
      <c r="H132" s="190">
        <f t="shared" si="22"/>
        <v>6.9021905087865876E-5</v>
      </c>
      <c r="I132" s="191">
        <f t="shared" si="22"/>
        <v>6.426075344221179E-5</v>
      </c>
      <c r="J132" s="191">
        <f t="shared" ref="J132:L132" si="23">(0.0229+0.0000647*J127)/1000</f>
        <v>5.5250000000000008E-5</v>
      </c>
      <c r="K132" s="191">
        <f t="shared" si="23"/>
        <v>4.8780000000000004E-5</v>
      </c>
      <c r="L132" s="191">
        <f t="shared" si="23"/>
        <v>4.231E-5</v>
      </c>
      <c r="M132" s="62"/>
      <c r="N132" s="62"/>
      <c r="O132" s="62"/>
      <c r="P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2"/>
      <c r="CB132" s="62"/>
      <c r="CC132" s="62"/>
      <c r="CD132" s="62"/>
      <c r="CE132" s="62"/>
      <c r="CF132" s="62"/>
      <c r="CG132" s="62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  <c r="EA132" s="62"/>
      <c r="EB132" s="62"/>
      <c r="EC132" s="62"/>
      <c r="ED132" s="62"/>
      <c r="EE132" s="62"/>
      <c r="EF132" s="62"/>
      <c r="EG132" s="62"/>
      <c r="EH132" s="62"/>
    </row>
    <row r="133" spans="1:138" thickBot="1" x14ac:dyDescent="0.3">
      <c r="A133" s="69"/>
      <c r="B133" s="185" t="s">
        <v>149</v>
      </c>
      <c r="C133" s="188" t="s">
        <v>150</v>
      </c>
      <c r="D133" s="187" t="s">
        <v>39</v>
      </c>
      <c r="E133" s="93">
        <v>0.51069200000000003</v>
      </c>
      <c r="F133" s="266">
        <v>0.33572800000000003</v>
      </c>
      <c r="G133" s="91">
        <v>0.31922800000000001</v>
      </c>
      <c r="H133" s="91">
        <v>0.28420400000000001</v>
      </c>
      <c r="I133" s="92">
        <v>0.26729000000000003</v>
      </c>
      <c r="J133" s="115"/>
      <c r="K133" s="62"/>
      <c r="L133" s="115"/>
      <c r="M133" s="62"/>
      <c r="N133" s="62"/>
      <c r="O133" s="62"/>
      <c r="P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2"/>
      <c r="CB133" s="62"/>
      <c r="CC133" s="62"/>
      <c r="CD133" s="62"/>
      <c r="CE133" s="62"/>
      <c r="CF133" s="62"/>
      <c r="CG133" s="62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  <c r="EA133" s="62"/>
      <c r="EB133" s="62"/>
      <c r="EC133" s="62"/>
      <c r="ED133" s="62"/>
      <c r="EE133" s="62"/>
      <c r="EF133" s="62"/>
      <c r="EG133" s="62"/>
      <c r="EH133" s="62"/>
    </row>
    <row r="134" spans="1:138" thickBot="1" x14ac:dyDescent="0.3">
      <c r="A134" s="69"/>
      <c r="B134" s="185" t="s">
        <v>151</v>
      </c>
      <c r="C134" s="188" t="s">
        <v>152</v>
      </c>
      <c r="D134" s="187" t="s">
        <v>89</v>
      </c>
      <c r="E134" s="93">
        <v>3.4380000000000002</v>
      </c>
      <c r="F134" s="266">
        <v>2.9169999999999998</v>
      </c>
      <c r="G134" s="91">
        <v>5.0119999999999996</v>
      </c>
      <c r="H134" s="91">
        <v>4.7930000000000001</v>
      </c>
      <c r="I134" s="92">
        <v>3.9</v>
      </c>
      <c r="J134" s="115"/>
      <c r="K134" s="62"/>
      <c r="L134" s="115"/>
      <c r="M134" s="62"/>
      <c r="N134" s="62"/>
      <c r="O134" s="62"/>
      <c r="P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2"/>
      <c r="CB134" s="62"/>
      <c r="CC134" s="62"/>
      <c r="CD134" s="62"/>
      <c r="CE134" s="62"/>
      <c r="CF134" s="62"/>
      <c r="CG134" s="62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  <c r="EA134" s="62"/>
      <c r="EB134" s="62"/>
      <c r="EC134" s="62"/>
      <c r="ED134" s="62"/>
      <c r="EE134" s="62"/>
      <c r="EF134" s="62"/>
      <c r="EG134" s="62"/>
      <c r="EH134" s="62"/>
    </row>
    <row r="135" spans="1:138" thickBot="1" x14ac:dyDescent="0.3">
      <c r="A135" s="62"/>
      <c r="B135" s="185" t="s">
        <v>252</v>
      </c>
      <c r="C135" s="188" t="s">
        <v>253</v>
      </c>
      <c r="D135" s="187" t="s">
        <v>254</v>
      </c>
      <c r="E135" s="93">
        <f>($G$111/(3600*1000))/(E130*E133)</f>
        <v>2.4586250867985471</v>
      </c>
      <c r="F135" s="266">
        <f>($G$111/(3600*1000))/(F130*F133)</f>
        <v>3.5119132722341631</v>
      </c>
      <c r="G135" s="91">
        <f>($G$111/(3600*1000))/(G130*G133)</f>
        <v>3.3611267515515082</v>
      </c>
      <c r="H135" s="91">
        <f>($G$111/(3600*1000))/(H130*H133)</f>
        <v>3.3210762115177528</v>
      </c>
      <c r="I135" s="92">
        <f>($G$111/(3600*1000))/(I130*I133)</f>
        <v>3.2676882110545522</v>
      </c>
      <c r="J135" s="115"/>
      <c r="K135" s="62"/>
      <c r="L135" s="115"/>
      <c r="M135" s="62"/>
      <c r="N135" s="62"/>
      <c r="O135" s="62"/>
      <c r="P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2"/>
      <c r="CB135" s="62"/>
      <c r="CC135" s="62"/>
      <c r="CD135" s="62"/>
      <c r="CE135" s="62"/>
      <c r="CF135" s="62"/>
      <c r="CG135" s="62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  <c r="EA135" s="62"/>
      <c r="EB135" s="62"/>
      <c r="EC135" s="62"/>
      <c r="ED135" s="62"/>
      <c r="EE135" s="62"/>
      <c r="EF135" s="62"/>
      <c r="EG135" s="62"/>
      <c r="EH135" s="62"/>
    </row>
    <row r="136" spans="1:138" thickBot="1" x14ac:dyDescent="0.3">
      <c r="A136" s="62"/>
      <c r="B136" s="185" t="s">
        <v>255</v>
      </c>
      <c r="C136" s="188" t="s">
        <v>256</v>
      </c>
      <c r="D136" s="187" t="s">
        <v>18</v>
      </c>
      <c r="E136" s="93">
        <f>+E89</f>
        <v>130.73351494118995</v>
      </c>
      <c r="F136" s="266">
        <f>+F89</f>
        <v>223.16364996224087</v>
      </c>
      <c r="G136" s="91">
        <f>+G89</f>
        <v>115.08963450828988</v>
      </c>
      <c r="H136" s="91">
        <f>+H89</f>
        <v>110.15843406246792</v>
      </c>
      <c r="I136" s="92">
        <f>+I89</f>
        <v>62.358666859234845</v>
      </c>
      <c r="J136" s="115"/>
      <c r="K136" s="62"/>
      <c r="L136" s="115"/>
      <c r="M136" s="62"/>
      <c r="N136" s="62"/>
      <c r="O136" s="62"/>
      <c r="P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2"/>
      <c r="CB136" s="62"/>
      <c r="CC136" s="62"/>
      <c r="CD136" s="62"/>
      <c r="CE136" s="62"/>
      <c r="CF136" s="62"/>
      <c r="CG136" s="62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  <c r="EA136" s="62"/>
      <c r="EB136" s="62"/>
      <c r="EC136" s="62"/>
      <c r="ED136" s="62"/>
      <c r="EE136" s="62"/>
      <c r="EF136" s="62"/>
      <c r="EG136" s="62"/>
      <c r="EH136" s="62"/>
    </row>
    <row r="137" spans="1:138" thickBot="1" x14ac:dyDescent="0.3">
      <c r="A137" s="62"/>
      <c r="B137" s="185" t="s">
        <v>257</v>
      </c>
      <c r="C137" s="188" t="s">
        <v>248</v>
      </c>
      <c r="D137" s="187" t="s">
        <v>258</v>
      </c>
      <c r="E137" s="189">
        <f>0.0000175+0.0000000335*E136</f>
        <v>2.1879572750529863E-5</v>
      </c>
      <c r="F137" s="267">
        <f t="shared" ref="F137:I137" si="24">0.0000175+0.0000000335*F136</f>
        <v>2.4975982273735069E-5</v>
      </c>
      <c r="G137" s="190">
        <f t="shared" si="24"/>
        <v>2.1355502756027708E-5</v>
      </c>
      <c r="H137" s="190">
        <f t="shared" si="24"/>
        <v>2.1190307541092675E-5</v>
      </c>
      <c r="I137" s="191">
        <f t="shared" si="24"/>
        <v>1.9589015339784366E-5</v>
      </c>
      <c r="J137" s="115"/>
      <c r="K137" s="62"/>
      <c r="L137" s="115"/>
      <c r="M137" s="62"/>
      <c r="N137" s="62"/>
      <c r="O137" s="62"/>
      <c r="P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2"/>
      <c r="CB137" s="62"/>
      <c r="CC137" s="62"/>
      <c r="CD137" s="62"/>
      <c r="CE137" s="62"/>
      <c r="CF137" s="62"/>
      <c r="CG137" s="62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  <c r="EA137" s="62"/>
      <c r="EB137" s="62"/>
      <c r="EC137" s="62"/>
      <c r="ED137" s="62"/>
      <c r="EE137" s="62"/>
      <c r="EF137" s="62"/>
      <c r="EG137" s="62"/>
      <c r="EH137" s="62"/>
    </row>
    <row r="138" spans="1:138" thickBot="1" x14ac:dyDescent="0.3">
      <c r="A138" s="62"/>
      <c r="B138" s="185" t="s">
        <v>259</v>
      </c>
      <c r="C138" s="188" t="s">
        <v>260</v>
      </c>
      <c r="D138" s="187" t="s">
        <v>261</v>
      </c>
      <c r="E138" s="189">
        <f>E131/E130</f>
        <v>2.3866386293129992E-4</v>
      </c>
      <c r="F138" s="267">
        <f t="shared" ref="F138:I138" si="25">F131/F130</f>
        <v>2.1263067839495848E-4</v>
      </c>
      <c r="G138" s="190">
        <f t="shared" si="25"/>
        <v>1.7902012425799992E-4</v>
      </c>
      <c r="H138" s="190">
        <f t="shared" si="25"/>
        <v>1.4197831211490189E-4</v>
      </c>
      <c r="I138" s="191">
        <f t="shared" si="25"/>
        <v>1.2355521674370303E-4</v>
      </c>
      <c r="J138" s="115"/>
      <c r="K138" s="62"/>
      <c r="L138" s="115"/>
      <c r="M138" s="62">
        <v>401</v>
      </c>
      <c r="N138" s="62"/>
      <c r="O138" s="62"/>
      <c r="P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  <c r="EA138" s="62"/>
      <c r="EB138" s="62"/>
      <c r="EC138" s="62"/>
      <c r="ED138" s="62"/>
      <c r="EE138" s="62"/>
      <c r="EF138" s="62"/>
      <c r="EG138" s="62"/>
      <c r="EH138" s="62"/>
    </row>
    <row r="139" spans="1:138" thickBot="1" x14ac:dyDescent="0.3">
      <c r="A139" s="62"/>
      <c r="B139" s="185" t="s">
        <v>262</v>
      </c>
      <c r="C139" s="188" t="s">
        <v>263</v>
      </c>
      <c r="D139" s="192" t="s">
        <v>163</v>
      </c>
      <c r="E139" s="93">
        <f>E131*E129/E132</f>
        <v>0.77343713729058217</v>
      </c>
      <c r="F139" s="266">
        <f t="shared" ref="F139:I139" si="26">F131*F129/F132</f>
        <v>0.76967767203448423</v>
      </c>
      <c r="G139" s="91">
        <f>G131*G129/G132</f>
        <v>0.76432740460293414</v>
      </c>
      <c r="H139" s="91">
        <f t="shared" si="26"/>
        <v>0.75787396604840618</v>
      </c>
      <c r="I139" s="92">
        <f t="shared" si="26"/>
        <v>0.75400356177091954</v>
      </c>
      <c r="J139" s="115"/>
      <c r="K139" s="62"/>
      <c r="L139" s="115"/>
      <c r="M139" s="62">
        <v>2846</v>
      </c>
      <c r="N139" s="62"/>
      <c r="O139" s="62"/>
      <c r="P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2"/>
      <c r="CB139" s="62"/>
      <c r="CC139" s="62"/>
      <c r="CD139" s="62"/>
      <c r="CE139" s="62"/>
      <c r="CF139" s="62"/>
      <c r="CG139" s="62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  <c r="EA139" s="62"/>
      <c r="EB139" s="62"/>
      <c r="EC139" s="62"/>
      <c r="ED139" s="62"/>
      <c r="EE139" s="62"/>
      <c r="EF139" s="62"/>
      <c r="EG139" s="62"/>
      <c r="EH139" s="62"/>
    </row>
    <row r="140" spans="1:138" thickBot="1" x14ac:dyDescent="0.3">
      <c r="A140" s="62"/>
      <c r="B140" s="185" t="s">
        <v>153</v>
      </c>
      <c r="C140" s="188" t="s">
        <v>154</v>
      </c>
      <c r="D140" s="187" t="s">
        <v>89</v>
      </c>
      <c r="E140" s="93">
        <f>4*E133/E134</f>
        <v>0.59417335660267601</v>
      </c>
      <c r="F140" s="266">
        <f>4*F133/F134</f>
        <v>0.4603743572163182</v>
      </c>
      <c r="G140" s="91">
        <f>4*G133/G134</f>
        <v>0.25477094972067044</v>
      </c>
      <c r="H140" s="91">
        <f t="shared" ref="H140:I140" si="27">4*H133/H134</f>
        <v>0.23718255789693304</v>
      </c>
      <c r="I140" s="92">
        <f t="shared" si="27"/>
        <v>0.27414358974358977</v>
      </c>
      <c r="J140" s="115"/>
      <c r="K140" s="62"/>
      <c r="L140" s="115"/>
      <c r="M140" s="62">
        <f>+M138/M139</f>
        <v>0.14089950808151791</v>
      </c>
      <c r="N140" s="62"/>
      <c r="O140" s="62"/>
      <c r="P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2"/>
      <c r="CB140" s="62"/>
      <c r="CC140" s="62"/>
      <c r="CD140" s="62"/>
      <c r="CE140" s="62"/>
      <c r="CF140" s="62"/>
      <c r="CG140" s="62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  <c r="EA140" s="62"/>
      <c r="EB140" s="62"/>
      <c r="EC140" s="62"/>
      <c r="ED140" s="62"/>
      <c r="EE140" s="62"/>
      <c r="EF140" s="62"/>
      <c r="EG140" s="62"/>
      <c r="EH140" s="62"/>
    </row>
    <row r="141" spans="1:138" thickBot="1" x14ac:dyDescent="0.3">
      <c r="A141" s="62"/>
      <c r="B141" s="185" t="s">
        <v>264</v>
      </c>
      <c r="C141" s="188" t="s">
        <v>265</v>
      </c>
      <c r="D141" s="187" t="s">
        <v>163</v>
      </c>
      <c r="E141" s="189">
        <f>(E130*E135*E140)/E131</f>
        <v>6120.9497848073797</v>
      </c>
      <c r="F141" s="267">
        <f t="shared" ref="F141:I141" si="28">(F130*F135*F140)/F131</f>
        <v>7603.7701967967478</v>
      </c>
      <c r="G141" s="190">
        <f t="shared" si="28"/>
        <v>4783.3586205661641</v>
      </c>
      <c r="H141" s="190">
        <f t="shared" si="28"/>
        <v>5548.0399723371565</v>
      </c>
      <c r="I141" s="191">
        <f t="shared" si="28"/>
        <v>7250.3274240499368</v>
      </c>
      <c r="J141" s="115"/>
      <c r="K141" s="62"/>
      <c r="L141" s="115"/>
      <c r="M141" s="62">
        <f>+M140*100</f>
        <v>14.089950808151791</v>
      </c>
      <c r="N141" s="62"/>
      <c r="O141" s="62"/>
      <c r="P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2"/>
      <c r="CB141" s="62"/>
      <c r="CC141" s="62"/>
      <c r="CD141" s="62"/>
      <c r="CE141" s="62"/>
      <c r="CF141" s="62"/>
      <c r="CG141" s="62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  <c r="EA141" s="62"/>
      <c r="EB141" s="62"/>
      <c r="EC141" s="62"/>
      <c r="ED141" s="62"/>
      <c r="EE141" s="62"/>
      <c r="EF141" s="62"/>
      <c r="EG141" s="62"/>
      <c r="EH141" s="62"/>
    </row>
    <row r="142" spans="1:138" thickBot="1" x14ac:dyDescent="0.3">
      <c r="A142" s="62"/>
      <c r="B142" s="185" t="s">
        <v>309</v>
      </c>
      <c r="C142" s="188" t="s">
        <v>267</v>
      </c>
      <c r="D142" s="187" t="s">
        <v>163</v>
      </c>
      <c r="E142" s="93">
        <f>0.664*E141^(1/2)*E139^(1/3)</f>
        <v>47.685443714789855</v>
      </c>
      <c r="F142" s="266">
        <f t="shared" ref="F142:I142" si="29">0.664*F141^(1/2)*F139^(1/3)</f>
        <v>53.062234377514592</v>
      </c>
      <c r="G142" s="91">
        <f>0.664*G141^(1/2)*G139^(1/3)</f>
        <v>41.988242256882657</v>
      </c>
      <c r="H142" s="91">
        <f t="shared" si="29"/>
        <v>45.092418912783394</v>
      </c>
      <c r="I142" s="92">
        <f t="shared" si="29"/>
        <v>51.460186404258884</v>
      </c>
      <c r="J142" s="115"/>
      <c r="K142" s="62"/>
      <c r="L142" s="115"/>
      <c r="M142" s="62"/>
      <c r="N142" s="62"/>
      <c r="O142" s="62"/>
      <c r="P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2"/>
      <c r="CB142" s="62"/>
      <c r="CC142" s="62"/>
      <c r="CD142" s="62"/>
      <c r="CE142" s="62"/>
      <c r="CF142" s="62"/>
      <c r="CG142" s="62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  <c r="EA142" s="62"/>
      <c r="EB142" s="62"/>
      <c r="EC142" s="62"/>
      <c r="ED142" s="62"/>
      <c r="EE142" s="62"/>
      <c r="EF142" s="62"/>
      <c r="EG142" s="62"/>
      <c r="EH142" s="62"/>
    </row>
    <row r="143" spans="1:138" thickBot="1" x14ac:dyDescent="0.3">
      <c r="A143" s="62"/>
      <c r="B143" s="185" t="s">
        <v>310</v>
      </c>
      <c r="C143" s="188" t="s">
        <v>267</v>
      </c>
      <c r="D143" s="187" t="s">
        <v>163</v>
      </c>
      <c r="E143" s="93">
        <f>(0.037*E141^(0.8)*E139)/(1+2.443*E141^(-0.1)*(E139^0.67-1))</f>
        <v>36.525406643108866</v>
      </c>
      <c r="F143" s="266">
        <f t="shared" ref="F143:I143" si="30">(0.037*F141^(0.8)*F139)/(1+2.443*F141^(-0.1)*(F139^0.67-1))</f>
        <v>43.198876503232498</v>
      </c>
      <c r="G143" s="91">
        <f t="shared" si="30"/>
        <v>30.027353145298765</v>
      </c>
      <c r="H143" s="91">
        <f t="shared" si="30"/>
        <v>33.619432210780928</v>
      </c>
      <c r="I143" s="92">
        <f t="shared" si="30"/>
        <v>41.344258356125557</v>
      </c>
      <c r="J143" s="115"/>
      <c r="K143" s="62"/>
      <c r="L143" s="115"/>
      <c r="M143" s="62"/>
      <c r="N143" s="62"/>
      <c r="O143" s="62"/>
      <c r="P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2"/>
      <c r="CB143" s="62"/>
      <c r="CC143" s="62"/>
      <c r="CD143" s="62"/>
      <c r="CE143" s="62"/>
      <c r="CF143" s="62"/>
      <c r="CG143" s="62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  <c r="EA143" s="62"/>
      <c r="EB143" s="62"/>
      <c r="EC143" s="62"/>
      <c r="ED143" s="62"/>
      <c r="EE143" s="62"/>
      <c r="EF143" s="62"/>
      <c r="EG143" s="62"/>
      <c r="EH143" s="62"/>
    </row>
    <row r="144" spans="1:138" thickBot="1" x14ac:dyDescent="0.3">
      <c r="A144" s="62"/>
      <c r="B144" s="185" t="s">
        <v>311</v>
      </c>
      <c r="C144" s="188" t="s">
        <v>267</v>
      </c>
      <c r="D144" s="187" t="s">
        <v>163</v>
      </c>
      <c r="E144" s="93">
        <f t="shared" ref="E144" si="31">SQRT(E142^2+E143^2)</f>
        <v>60.066686879840915</v>
      </c>
      <c r="F144" s="266">
        <f t="shared" ref="F144:I144" si="32">SQRT(F142^2+F143^2)</f>
        <v>68.423268325006404</v>
      </c>
      <c r="G144" s="91">
        <f t="shared" si="32"/>
        <v>51.620290823814138</v>
      </c>
      <c r="H144" s="91">
        <f t="shared" si="32"/>
        <v>56.245821761098306</v>
      </c>
      <c r="I144" s="92">
        <f t="shared" si="32"/>
        <v>66.011351173712001</v>
      </c>
      <c r="J144" s="115"/>
      <c r="K144" s="62"/>
      <c r="L144" s="115"/>
      <c r="M144" s="62"/>
      <c r="N144" s="62"/>
      <c r="O144" s="62"/>
      <c r="P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2"/>
      <c r="CB144" s="62"/>
      <c r="CC144" s="62"/>
      <c r="CD144" s="62"/>
      <c r="CE144" s="62"/>
      <c r="CF144" s="62"/>
      <c r="CG144" s="62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  <c r="EA144" s="62"/>
      <c r="EB144" s="62"/>
      <c r="EC144" s="62"/>
      <c r="ED144" s="62"/>
      <c r="EE144" s="62"/>
      <c r="EF144" s="62"/>
      <c r="EG144" s="62"/>
      <c r="EH144" s="62"/>
    </row>
    <row r="145" spans="1:138" thickBot="1" x14ac:dyDescent="0.3">
      <c r="A145" s="62"/>
      <c r="B145" s="185" t="s">
        <v>308</v>
      </c>
      <c r="C145" s="188" t="s">
        <v>267</v>
      </c>
      <c r="D145" s="187" t="s">
        <v>163</v>
      </c>
      <c r="E145" s="93">
        <f>2+ (0.4*E141^0.5+0.06*E141^(2/3))*E139^(0.4)*(E131/E137)^(1/4)</f>
        <v>59.635208519276048</v>
      </c>
      <c r="F145" s="266">
        <f t="shared" ref="F145:I145" si="33">2+ (0.4*F141^0.5+0.06*F141^(2/3))*F139^(0.4)*(F131/F137)^(1/4)</f>
        <v>64.096860192746561</v>
      </c>
      <c r="G145" s="91">
        <f t="shared" si="33"/>
        <v>50.604444850177011</v>
      </c>
      <c r="H145" s="91">
        <f t="shared" si="33"/>
        <v>53.418657621148071</v>
      </c>
      <c r="I145" s="92">
        <f t="shared" si="33"/>
        <v>61.951506715141321</v>
      </c>
      <c r="J145" s="115"/>
      <c r="K145" s="62"/>
      <c r="L145" s="115"/>
      <c r="M145" s="62"/>
      <c r="N145" s="62"/>
      <c r="O145" s="62"/>
      <c r="P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2"/>
      <c r="CB145" s="62"/>
      <c r="CC145" s="62"/>
      <c r="CD145" s="62"/>
      <c r="CE145" s="62"/>
      <c r="CF145" s="62"/>
      <c r="CG145" s="62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  <c r="EA145" s="62"/>
      <c r="EB145" s="62"/>
      <c r="EC145" s="62"/>
      <c r="ED145" s="62"/>
      <c r="EE145" s="62"/>
      <c r="EF145" s="62"/>
      <c r="EG145" s="62"/>
      <c r="EH145" s="62"/>
    </row>
    <row r="146" spans="1:138" thickBot="1" x14ac:dyDescent="0.3">
      <c r="A146" s="62"/>
      <c r="B146" s="193" t="s">
        <v>312</v>
      </c>
      <c r="C146" s="194" t="s">
        <v>267</v>
      </c>
      <c r="D146" s="195" t="s">
        <v>163</v>
      </c>
      <c r="E146" s="196">
        <f>2.36*(0.027*E141^0.8*E139^(1/3)*(E131/E137)^(1/4))-13.6</f>
        <v>64.227771077009081</v>
      </c>
      <c r="F146" s="268">
        <f t="shared" ref="F146:I146" si="34">2.36*(0.027*F141^0.8*F139^(1/3)*(F131/F137)^(1/4))-13.6</f>
        <v>74.650308509512271</v>
      </c>
      <c r="G146" s="94">
        <f t="shared" si="34"/>
        <v>48.376654165217417</v>
      </c>
      <c r="H146" s="94">
        <f t="shared" si="34"/>
        <v>54.338873429955051</v>
      </c>
      <c r="I146" s="95">
        <f t="shared" si="34"/>
        <v>70.77502876279641</v>
      </c>
      <c r="J146" s="115"/>
      <c r="K146" s="62"/>
      <c r="L146" s="115"/>
      <c r="M146" s="62"/>
      <c r="N146" s="62"/>
      <c r="O146" s="62"/>
      <c r="P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2"/>
      <c r="CB146" s="62"/>
      <c r="CC146" s="62"/>
      <c r="CD146" s="62"/>
      <c r="CE146" s="62"/>
      <c r="CF146" s="62"/>
      <c r="CG146" s="62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  <c r="EA146" s="62"/>
      <c r="EB146" s="62"/>
      <c r="EC146" s="62"/>
      <c r="ED146" s="62"/>
      <c r="EE146" s="62"/>
      <c r="EF146" s="62"/>
      <c r="EG146" s="62"/>
      <c r="EH146" s="62"/>
    </row>
    <row r="147" spans="1:138" thickBot="1" x14ac:dyDescent="0.3">
      <c r="A147" s="62"/>
      <c r="B147" s="207" t="s">
        <v>266</v>
      </c>
      <c r="C147" s="224" t="s">
        <v>267</v>
      </c>
      <c r="D147" s="225" t="s">
        <v>163</v>
      </c>
      <c r="E147" s="240">
        <f>+E145</f>
        <v>59.635208519276048</v>
      </c>
      <c r="F147" s="265">
        <f>+F145</f>
        <v>64.096860192746561</v>
      </c>
      <c r="G147" s="241">
        <f>+G143</f>
        <v>30.027353145298765</v>
      </c>
      <c r="H147" s="241">
        <f>+H143</f>
        <v>33.619432210780928</v>
      </c>
      <c r="I147" s="242">
        <f>+I143</f>
        <v>41.344258356125557</v>
      </c>
      <c r="J147" s="115"/>
      <c r="K147" s="62"/>
      <c r="L147" s="115"/>
      <c r="M147" s="62"/>
      <c r="N147" s="62"/>
      <c r="O147" s="62"/>
      <c r="P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2"/>
      <c r="CB147" s="62"/>
      <c r="CC147" s="62"/>
      <c r="CD147" s="62"/>
      <c r="CE147" s="62"/>
      <c r="CF147" s="62"/>
      <c r="CG147" s="62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  <c r="EA147" s="62"/>
      <c r="EB147" s="62"/>
      <c r="EC147" s="62"/>
      <c r="ED147" s="62"/>
      <c r="EE147" s="62"/>
      <c r="EF147" s="62"/>
      <c r="EG147" s="62"/>
      <c r="EH147" s="62"/>
    </row>
    <row r="148" spans="1:138" thickBot="1" x14ac:dyDescent="0.3">
      <c r="A148" s="62"/>
      <c r="B148" s="185" t="s">
        <v>155</v>
      </c>
      <c r="C148" s="188" t="s">
        <v>156</v>
      </c>
      <c r="D148" s="187" t="s">
        <v>89</v>
      </c>
      <c r="E148" s="166">
        <v>0.55000000000000004</v>
      </c>
      <c r="F148" s="255">
        <v>0.47699999999999998</v>
      </c>
      <c r="G148" s="167">
        <v>0.39</v>
      </c>
      <c r="H148" s="167">
        <v>0.25</v>
      </c>
      <c r="I148" s="168">
        <v>0.35</v>
      </c>
      <c r="J148" s="115"/>
      <c r="K148" s="62"/>
      <c r="L148" s="115"/>
      <c r="M148" s="62"/>
      <c r="N148" s="62"/>
      <c r="O148" s="62"/>
      <c r="P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2"/>
      <c r="CB148" s="62"/>
      <c r="CC148" s="62"/>
      <c r="CD148" s="62"/>
      <c r="CE148" s="62"/>
      <c r="CF148" s="62"/>
      <c r="CG148" s="62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  <c r="EA148" s="62"/>
      <c r="EB148" s="62"/>
      <c r="EC148" s="62"/>
      <c r="ED148" s="62"/>
      <c r="EE148" s="62"/>
      <c r="EF148" s="62"/>
      <c r="EG148" s="62"/>
      <c r="EH148" s="62"/>
    </row>
    <row r="149" spans="1:138" thickBot="1" x14ac:dyDescent="0.3">
      <c r="A149" s="62"/>
      <c r="B149" s="197" t="s">
        <v>268</v>
      </c>
      <c r="C149" s="186" t="s">
        <v>269</v>
      </c>
      <c r="D149" s="187" t="s">
        <v>39</v>
      </c>
      <c r="E149" s="166">
        <f>+E55</f>
        <v>0.66100000000000003</v>
      </c>
      <c r="F149" s="167">
        <f t="shared" ref="F149:I149" si="35">+F55</f>
        <v>0.31900000000000001</v>
      </c>
      <c r="G149" s="167">
        <f t="shared" si="35"/>
        <v>0.98399999999999999</v>
      </c>
      <c r="H149" s="167">
        <f t="shared" si="35"/>
        <v>0.94523999999999997</v>
      </c>
      <c r="I149" s="168">
        <f t="shared" si="35"/>
        <v>0.36699999999999999</v>
      </c>
      <c r="J149" s="115"/>
      <c r="K149" s="62"/>
      <c r="L149" s="115"/>
      <c r="M149" s="62"/>
      <c r="N149" s="62"/>
      <c r="O149" s="62"/>
      <c r="P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2"/>
      <c r="CB149" s="62"/>
      <c r="CC149" s="62"/>
      <c r="CD149" s="62"/>
      <c r="CE149" s="62"/>
      <c r="CF149" s="62"/>
      <c r="CG149" s="62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  <c r="EA149" s="62"/>
      <c r="EB149" s="62"/>
      <c r="EC149" s="62"/>
      <c r="ED149" s="62"/>
      <c r="EE149" s="62"/>
      <c r="EF149" s="62"/>
      <c r="EG149" s="62"/>
      <c r="EH149" s="62"/>
    </row>
    <row r="150" spans="1:138" thickBot="1" x14ac:dyDescent="0.3">
      <c r="A150" s="62"/>
      <c r="B150" s="185" t="s">
        <v>270</v>
      </c>
      <c r="C150" s="186" t="s">
        <v>88</v>
      </c>
      <c r="D150" s="187" t="s">
        <v>271</v>
      </c>
      <c r="E150" s="198">
        <f>E147*E132/E148</f>
        <v>9.7684510003135175E-3</v>
      </c>
      <c r="F150" s="269">
        <f>F147*F132/F148</f>
        <v>1.141082333432477E-2</v>
      </c>
      <c r="G150" s="199">
        <f>G147*G132/G148</f>
        <v>5.9860540876059774E-3</v>
      </c>
      <c r="H150" s="199">
        <f>H147*H132/H148</f>
        <v>9.2819090366418489E-3</v>
      </c>
      <c r="I150" s="200">
        <f>I147*I132/I148</f>
        <v>7.590894835640254E-3</v>
      </c>
      <c r="J150" s="115"/>
      <c r="K150" s="62"/>
      <c r="L150" s="115"/>
      <c r="M150" s="62"/>
      <c r="N150" s="62"/>
      <c r="O150" s="62"/>
      <c r="P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2"/>
      <c r="CB150" s="62"/>
      <c r="CC150" s="62"/>
      <c r="CD150" s="62"/>
      <c r="CE150" s="62"/>
      <c r="CF150" s="62"/>
      <c r="CG150" s="62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  <c r="EA150" s="62"/>
      <c r="EB150" s="62"/>
      <c r="EC150" s="62"/>
      <c r="ED150" s="62"/>
      <c r="EE150" s="62"/>
      <c r="EF150" s="62"/>
      <c r="EG150" s="62"/>
      <c r="EH150" s="62"/>
    </row>
    <row r="151" spans="1:138" thickBot="1" x14ac:dyDescent="0.3">
      <c r="A151" s="62"/>
      <c r="B151" s="185" t="s">
        <v>399</v>
      </c>
      <c r="C151" s="186" t="s">
        <v>88</v>
      </c>
      <c r="D151" s="187" t="s">
        <v>271</v>
      </c>
      <c r="E151" s="226">
        <f>+E150</f>
        <v>9.7684510003135175E-3</v>
      </c>
      <c r="F151" s="270">
        <f>+F150</f>
        <v>1.141082333432477E-2</v>
      </c>
      <c r="G151" s="222">
        <f>+hcnvi(G150,0.01,G41,G44,G55,G56,G86)</f>
        <v>1.9136381121915663E-2</v>
      </c>
      <c r="H151" s="222">
        <f>+hcnvi(H150,0.01,H41,H44,H55,H56,H86)</f>
        <v>4.2885790218198189E-2</v>
      </c>
      <c r="I151" s="227">
        <f>+hcnvi(I150,0.01,I41,I44,I55,I56,I86)</f>
        <v>2.9920455576927785E-2</v>
      </c>
      <c r="J151" s="115"/>
      <c r="K151" s="223"/>
      <c r="L151" s="299"/>
      <c r="M151" s="223"/>
      <c r="N151" s="62"/>
      <c r="O151" s="62"/>
      <c r="P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2"/>
      <c r="CB151" s="62"/>
      <c r="CC151" s="62"/>
      <c r="CD151" s="62"/>
      <c r="CE151" s="62"/>
      <c r="CF151" s="62"/>
      <c r="CG151" s="62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  <c r="EA151" s="62"/>
      <c r="EB151" s="62"/>
      <c r="EC151" s="62"/>
      <c r="ED151" s="62"/>
      <c r="EE151" s="62"/>
      <c r="EF151" s="62"/>
      <c r="EG151" s="62"/>
      <c r="EH151" s="62"/>
    </row>
    <row r="152" spans="1:138" thickBot="1" x14ac:dyDescent="0.3">
      <c r="A152" s="62"/>
      <c r="B152" s="201" t="s">
        <v>272</v>
      </c>
      <c r="C152" s="202" t="s">
        <v>273</v>
      </c>
      <c r="D152" s="203" t="s">
        <v>27</v>
      </c>
      <c r="E152" s="204">
        <f>E149*E150*(E127-E136)</f>
        <v>5.8614920887490314</v>
      </c>
      <c r="F152" s="271">
        <f>F149*F150*(F127-F136)</f>
        <v>2.6768219418218804</v>
      </c>
      <c r="G152" s="205">
        <f>G149*G151*(G127-G136)</f>
        <v>13.795671896811401</v>
      </c>
      <c r="H152" s="271">
        <f>H149*H150*(H127-H136)</f>
        <v>5.2878629972754476</v>
      </c>
      <c r="I152" s="320">
        <f>I149*I150*(I127-I136)</f>
        <v>1.6071926162966876</v>
      </c>
      <c r="J152" s="263">
        <f>+E152+F152+G152+H152+I152</f>
        <v>29.229041540954448</v>
      </c>
      <c r="K152" s="62"/>
      <c r="L152" s="115"/>
      <c r="M152" s="62"/>
      <c r="N152" s="62"/>
      <c r="O152" s="62"/>
      <c r="P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2"/>
      <c r="CB152" s="62"/>
      <c r="CC152" s="62"/>
      <c r="CD152" s="62"/>
      <c r="CE152" s="62"/>
      <c r="CF152" s="62"/>
      <c r="CG152" s="62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  <c r="EA152" s="62"/>
      <c r="EB152" s="62"/>
      <c r="EC152" s="62"/>
      <c r="ED152" s="62"/>
      <c r="EE152" s="62"/>
      <c r="EF152" s="62"/>
      <c r="EG152" s="62"/>
      <c r="EH152" s="62"/>
    </row>
    <row r="153" spans="1:138" thickBot="1" x14ac:dyDescent="0.3">
      <c r="A153" s="62"/>
      <c r="B153" s="417"/>
      <c r="C153" s="417"/>
      <c r="D153" s="417"/>
      <c r="E153" s="452"/>
      <c r="F153" s="453"/>
      <c r="G153" s="453"/>
      <c r="H153" s="452"/>
      <c r="I153" s="452"/>
      <c r="J153" s="115"/>
      <c r="K153" s="62"/>
      <c r="L153" s="263"/>
      <c r="M153" s="62"/>
      <c r="N153" s="62"/>
      <c r="O153" s="62"/>
      <c r="P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2"/>
      <c r="CB153" s="62"/>
      <c r="CC153" s="62"/>
      <c r="CD153" s="62"/>
      <c r="CE153" s="62"/>
      <c r="CF153" s="62"/>
      <c r="CG153" s="62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  <c r="EA153" s="62"/>
      <c r="EB153" s="62"/>
      <c r="EC153" s="62"/>
      <c r="ED153" s="62"/>
      <c r="EE153" s="62"/>
      <c r="EF153" s="62"/>
      <c r="EG153" s="62"/>
      <c r="EH153" s="62"/>
    </row>
    <row r="154" spans="1:138" thickBot="1" x14ac:dyDescent="0.3">
      <c r="A154" s="532" t="s">
        <v>402</v>
      </c>
      <c r="B154" s="533"/>
      <c r="C154" s="533"/>
      <c r="D154" s="533"/>
      <c r="E154" s="533"/>
      <c r="F154" s="533"/>
      <c r="G154" s="533"/>
      <c r="H154" s="533"/>
      <c r="I154" s="533"/>
      <c r="J154" s="533"/>
      <c r="K154" s="533"/>
      <c r="L154" s="533"/>
      <c r="M154" s="533"/>
      <c r="N154" s="533"/>
      <c r="O154" s="533"/>
      <c r="P154" s="534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2"/>
      <c r="CB154" s="62"/>
      <c r="CC154" s="62"/>
      <c r="CD154" s="62"/>
      <c r="CE154" s="62"/>
      <c r="CF154" s="62"/>
      <c r="CG154" s="62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  <c r="EA154" s="62"/>
      <c r="EB154" s="62"/>
      <c r="EC154" s="62"/>
      <c r="ED154" s="62"/>
      <c r="EE154" s="62"/>
      <c r="EF154" s="62"/>
      <c r="EG154" s="62"/>
      <c r="EH154" s="62"/>
    </row>
    <row r="155" spans="1:138" thickBot="1" x14ac:dyDescent="0.3">
      <c r="A155" s="62"/>
      <c r="B155" s="62"/>
      <c r="C155" s="62"/>
      <c r="D155" s="106"/>
      <c r="E155" s="62"/>
      <c r="F155" s="115"/>
      <c r="G155" s="62"/>
      <c r="H155" s="62"/>
      <c r="I155" s="62"/>
      <c r="J155" s="115"/>
      <c r="K155" s="62"/>
      <c r="L155" s="115"/>
      <c r="M155" s="62"/>
      <c r="N155" s="62"/>
      <c r="O155" s="62"/>
      <c r="P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2"/>
      <c r="CB155" s="62"/>
      <c r="CC155" s="62"/>
      <c r="CD155" s="62"/>
      <c r="CE155" s="62"/>
      <c r="CF155" s="62"/>
      <c r="CG155" s="62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  <c r="EA155" s="62"/>
      <c r="EB155" s="62"/>
      <c r="EC155" s="62"/>
      <c r="ED155" s="62"/>
      <c r="EE155" s="62"/>
      <c r="EF155" s="62"/>
      <c r="EG155" s="62"/>
      <c r="EH155" s="62"/>
    </row>
    <row r="156" spans="1:138" thickBot="1" x14ac:dyDescent="0.3">
      <c r="A156" s="62"/>
      <c r="B156" s="207" t="s">
        <v>274</v>
      </c>
      <c r="C156" s="179" t="s">
        <v>275</v>
      </c>
      <c r="D156" s="179" t="s">
        <v>18</v>
      </c>
      <c r="E156" s="179">
        <f>E127</f>
        <v>1038.5143741581064</v>
      </c>
      <c r="F156" s="272">
        <f>F127</f>
        <v>958.54365785631251</v>
      </c>
      <c r="G156" s="179">
        <f>G127</f>
        <v>847.7251143167498</v>
      </c>
      <c r="H156" s="179">
        <f>H127</f>
        <v>712.85788389282652</v>
      </c>
      <c r="I156" s="208">
        <f>I127</f>
        <v>639.26975953959482</v>
      </c>
      <c r="J156" s="115"/>
      <c r="K156" s="62"/>
      <c r="L156" s="115"/>
      <c r="M156" s="62"/>
      <c r="N156" s="62"/>
      <c r="O156" s="62"/>
      <c r="P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2"/>
      <c r="CB156" s="62"/>
      <c r="CC156" s="62"/>
      <c r="CD156" s="62"/>
      <c r="CE156" s="62"/>
      <c r="CF156" s="62"/>
      <c r="CG156" s="62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  <c r="EA156" s="62"/>
      <c r="EB156" s="62"/>
      <c r="EC156" s="62"/>
      <c r="ED156" s="62"/>
      <c r="EE156" s="62"/>
      <c r="EF156" s="62"/>
      <c r="EG156" s="62"/>
      <c r="EH156" s="62"/>
    </row>
    <row r="157" spans="1:138" ht="16.5" thickBot="1" x14ac:dyDescent="0.3">
      <c r="A157" s="62"/>
      <c r="B157" s="81" t="s">
        <v>276</v>
      </c>
      <c r="C157" s="82" t="s">
        <v>277</v>
      </c>
      <c r="D157" s="82" t="s">
        <v>18</v>
      </c>
      <c r="E157" s="82">
        <f>-264.44+1.03*E156</f>
        <v>805.22980538284969</v>
      </c>
      <c r="F157" s="273">
        <f>-264.44+1.03*F156</f>
        <v>722.85996759200202</v>
      </c>
      <c r="G157" s="82">
        <f>-264.44+1.03*G156</f>
        <v>608.71686774625232</v>
      </c>
      <c r="H157" s="82">
        <f>-264.44+1.03*H156</f>
        <v>469.80362040961137</v>
      </c>
      <c r="I157" s="83">
        <f t="shared" ref="I157" si="36">-264.44+1.03*I156</f>
        <v>394.00785232578272</v>
      </c>
      <c r="J157" s="291" t="s">
        <v>388</v>
      </c>
      <c r="K157" s="62"/>
      <c r="L157" s="115"/>
      <c r="M157" s="62"/>
      <c r="N157" s="62"/>
      <c r="O157" s="62"/>
      <c r="P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2"/>
      <c r="CB157" s="62"/>
      <c r="CC157" s="62"/>
      <c r="CD157" s="62"/>
      <c r="CE157" s="62"/>
      <c r="CF157" s="62"/>
      <c r="CG157" s="62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  <c r="EA157" s="62"/>
      <c r="EB157" s="62"/>
      <c r="EC157" s="62"/>
      <c r="ED157" s="62"/>
      <c r="EE157" s="62"/>
      <c r="EF157" s="62"/>
      <c r="EG157" s="62"/>
      <c r="EH157" s="62"/>
    </row>
    <row r="158" spans="1:138" thickBot="1" x14ac:dyDescent="0.3">
      <c r="A158" s="62"/>
      <c r="B158" s="84" t="s">
        <v>278</v>
      </c>
      <c r="C158" s="85" t="s">
        <v>279</v>
      </c>
      <c r="D158" s="85" t="s">
        <v>18</v>
      </c>
      <c r="E158" s="85">
        <f>-87.31+0.79*E156</f>
        <v>733.11635558490411</v>
      </c>
      <c r="F158" s="274">
        <f>-87.31+0.79*F156</f>
        <v>669.93948970648694</v>
      </c>
      <c r="G158" s="85">
        <f>-87.31+0.79*G156</f>
        <v>582.39284031023226</v>
      </c>
      <c r="H158" s="85">
        <f>-87.31+0.79*H156</f>
        <v>475.84772827533294</v>
      </c>
      <c r="I158" s="86">
        <f t="shared" ref="I158" si="37">-87.31+0.79*I156</f>
        <v>417.71311003627994</v>
      </c>
      <c r="J158" s="292"/>
      <c r="K158" s="62"/>
      <c r="L158" s="115"/>
      <c r="M158" s="62"/>
      <c r="N158" s="62"/>
      <c r="O158" s="62"/>
      <c r="P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2"/>
      <c r="CB158" s="62"/>
      <c r="CC158" s="62"/>
      <c r="CD158" s="62"/>
      <c r="CE158" s="62"/>
      <c r="CF158" s="62"/>
      <c r="CG158" s="62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  <c r="EA158" s="62"/>
      <c r="EB158" s="62"/>
      <c r="EC158" s="62"/>
      <c r="ED158" s="62"/>
      <c r="EE158" s="62"/>
      <c r="EF158" s="62"/>
      <c r="EG158" s="62"/>
      <c r="EH158" s="62"/>
    </row>
    <row r="159" spans="1:138" thickBot="1" x14ac:dyDescent="0.3">
      <c r="A159" s="62"/>
      <c r="B159" s="117"/>
      <c r="C159" s="117"/>
      <c r="D159" s="117"/>
      <c r="E159" s="117"/>
      <c r="F159" s="275"/>
      <c r="G159" s="117"/>
      <c r="H159" s="117"/>
      <c r="I159" s="117"/>
      <c r="J159" s="115"/>
      <c r="K159" s="62"/>
      <c r="L159" s="115"/>
      <c r="M159" s="62"/>
      <c r="N159" s="62"/>
      <c r="O159" s="62"/>
      <c r="P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2"/>
      <c r="CB159" s="62"/>
      <c r="CC159" s="62"/>
      <c r="CD159" s="62"/>
      <c r="CE159" s="62"/>
      <c r="CF159" s="62"/>
      <c r="CG159" s="62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  <c r="EA159" s="62"/>
      <c r="EB159" s="62"/>
      <c r="EC159" s="62"/>
      <c r="ED159" s="62"/>
      <c r="EE159" s="62"/>
      <c r="EF159" s="62"/>
      <c r="EG159" s="62"/>
      <c r="EH159" s="62"/>
    </row>
    <row r="160" spans="1:138" thickBot="1" x14ac:dyDescent="0.3">
      <c r="A160" s="62"/>
      <c r="B160" s="118"/>
      <c r="C160" s="119"/>
      <c r="D160" s="119"/>
      <c r="E160" s="119"/>
      <c r="F160" s="276"/>
      <c r="G160" s="119"/>
      <c r="H160" s="119"/>
      <c r="I160" s="119"/>
      <c r="J160" s="115"/>
      <c r="K160" s="62"/>
      <c r="L160" s="115"/>
      <c r="M160" s="62"/>
      <c r="N160" s="62"/>
      <c r="O160" s="62"/>
      <c r="P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2"/>
      <c r="CB160" s="62"/>
      <c r="CC160" s="62"/>
      <c r="CD160" s="62"/>
      <c r="CE160" s="62"/>
      <c r="CF160" s="62"/>
      <c r="CG160" s="62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  <c r="EA160" s="62"/>
      <c r="EB160" s="62"/>
      <c r="EC160" s="62"/>
      <c r="ED160" s="62"/>
      <c r="EE160" s="62"/>
      <c r="EF160" s="62"/>
      <c r="EG160" s="62"/>
      <c r="EH160" s="62"/>
    </row>
    <row r="161" spans="1:138" thickBot="1" x14ac:dyDescent="0.3">
      <c r="A161" s="62"/>
      <c r="B161" s="410" t="s">
        <v>235</v>
      </c>
      <c r="C161" s="411"/>
      <c r="D161" s="412"/>
      <c r="E161" s="209">
        <v>1</v>
      </c>
      <c r="F161" s="277">
        <v>2</v>
      </c>
      <c r="G161" s="210">
        <v>3</v>
      </c>
      <c r="H161" s="210">
        <v>4</v>
      </c>
      <c r="I161" s="211" t="s">
        <v>236</v>
      </c>
      <c r="J161" s="115"/>
      <c r="K161" s="62"/>
      <c r="L161" s="115"/>
      <c r="M161" s="62"/>
      <c r="N161" s="62"/>
      <c r="O161" s="62"/>
      <c r="P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2"/>
      <c r="CB161" s="62"/>
      <c r="CC161" s="62"/>
      <c r="CD161" s="62"/>
      <c r="CE161" s="62"/>
      <c r="CF161" s="62"/>
      <c r="CG161" s="62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  <c r="EA161" s="62"/>
      <c r="EB161" s="62"/>
      <c r="EC161" s="62"/>
      <c r="ED161" s="62"/>
      <c r="EE161" s="62"/>
      <c r="EF161" s="62"/>
      <c r="EG161" s="62"/>
      <c r="EH161" s="62"/>
    </row>
    <row r="162" spans="1:138" thickBot="1" x14ac:dyDescent="0.3">
      <c r="A162" s="62"/>
      <c r="B162" s="166" t="s">
        <v>280</v>
      </c>
      <c r="C162" s="167" t="s">
        <v>281</v>
      </c>
      <c r="D162" s="168" t="s">
        <v>193</v>
      </c>
      <c r="E162" s="166">
        <f t="shared" ref="E162:I162" si="38">E127+273.15</f>
        <v>1311.6643741581065</v>
      </c>
      <c r="F162" s="255">
        <f t="shared" si="38"/>
        <v>1231.6936578563125</v>
      </c>
      <c r="G162" s="167">
        <f t="shared" si="38"/>
        <v>1120.8751143167497</v>
      </c>
      <c r="H162" s="167">
        <f t="shared" si="38"/>
        <v>986.0078838928265</v>
      </c>
      <c r="I162" s="168">
        <f t="shared" si="38"/>
        <v>912.41975953959479</v>
      </c>
      <c r="J162" s="115"/>
      <c r="K162" s="62"/>
      <c r="L162" s="115"/>
      <c r="M162" s="62"/>
      <c r="N162" s="62"/>
      <c r="O162" s="62"/>
      <c r="P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2"/>
      <c r="CB162" s="62"/>
      <c r="CC162" s="62"/>
      <c r="CD162" s="62"/>
      <c r="CE162" s="62"/>
      <c r="CF162" s="62"/>
      <c r="CG162" s="62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  <c r="EA162" s="62"/>
      <c r="EB162" s="62"/>
      <c r="EC162" s="62"/>
      <c r="ED162" s="62"/>
      <c r="EE162" s="62"/>
      <c r="EF162" s="62"/>
      <c r="EG162" s="62"/>
      <c r="EH162" s="62"/>
    </row>
    <row r="163" spans="1:138" thickBot="1" x14ac:dyDescent="0.3">
      <c r="A163" s="62"/>
      <c r="B163" s="166" t="s">
        <v>282</v>
      </c>
      <c r="C163" s="167" t="s">
        <v>283</v>
      </c>
      <c r="D163" s="168" t="s">
        <v>193</v>
      </c>
      <c r="E163" s="166">
        <f t="shared" ref="E163:I163" si="39">E136+273.15</f>
        <v>403.8835149411899</v>
      </c>
      <c r="F163" s="255">
        <f t="shared" si="39"/>
        <v>496.31364996224085</v>
      </c>
      <c r="G163" s="167">
        <f t="shared" si="39"/>
        <v>388.23963450828984</v>
      </c>
      <c r="H163" s="167">
        <f t="shared" si="39"/>
        <v>383.30843406246788</v>
      </c>
      <c r="I163" s="168">
        <f t="shared" si="39"/>
        <v>335.50866685923484</v>
      </c>
      <c r="J163" s="115"/>
      <c r="K163" s="62"/>
      <c r="L163" s="115"/>
      <c r="M163" s="62"/>
      <c r="N163" s="62"/>
      <c r="O163" s="62"/>
      <c r="P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2"/>
      <c r="CB163" s="62"/>
      <c r="CC163" s="62"/>
      <c r="CD163" s="62"/>
      <c r="CE163" s="62"/>
      <c r="CF163" s="62"/>
      <c r="CG163" s="62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  <c r="EA163" s="62"/>
      <c r="EB163" s="62"/>
      <c r="EC163" s="62"/>
      <c r="ED163" s="62"/>
      <c r="EE163" s="62"/>
      <c r="EF163" s="62"/>
      <c r="EG163" s="62"/>
      <c r="EH163" s="62"/>
    </row>
    <row r="164" spans="1:138" thickBot="1" x14ac:dyDescent="0.3">
      <c r="A164" s="62"/>
      <c r="B164" s="166" t="s">
        <v>284</v>
      </c>
      <c r="C164" s="167" t="s">
        <v>285</v>
      </c>
      <c r="D164" s="168" t="s">
        <v>193</v>
      </c>
      <c r="E164" s="166">
        <f t="shared" ref="E164:I165" si="40">E157+273.15</f>
        <v>1078.3798053828496</v>
      </c>
      <c r="F164" s="255">
        <f t="shared" si="40"/>
        <v>996.009967592002</v>
      </c>
      <c r="G164" s="167">
        <f t="shared" si="40"/>
        <v>881.8668677462523</v>
      </c>
      <c r="H164" s="167">
        <f t="shared" si="40"/>
        <v>742.9536204096114</v>
      </c>
      <c r="I164" s="168">
        <f t="shared" si="40"/>
        <v>667.15785232578264</v>
      </c>
      <c r="J164" s="115"/>
      <c r="K164" s="62"/>
      <c r="L164" s="115"/>
      <c r="M164" s="62"/>
      <c r="N164" s="62"/>
      <c r="O164" s="62"/>
      <c r="P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2"/>
      <c r="CB164" s="62"/>
      <c r="CC164" s="62"/>
      <c r="CD164" s="62"/>
      <c r="CE164" s="62"/>
      <c r="CF164" s="62"/>
      <c r="CG164" s="62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  <c r="EA164" s="62"/>
      <c r="EB164" s="62"/>
      <c r="EC164" s="62"/>
      <c r="ED164" s="62"/>
      <c r="EE164" s="62"/>
      <c r="EF164" s="62"/>
      <c r="EG164" s="62"/>
      <c r="EH164" s="62"/>
    </row>
    <row r="165" spans="1:138" thickBot="1" x14ac:dyDescent="0.3">
      <c r="A165" s="62"/>
      <c r="B165" s="166" t="s">
        <v>278</v>
      </c>
      <c r="C165" s="167" t="s">
        <v>286</v>
      </c>
      <c r="D165" s="168" t="s">
        <v>193</v>
      </c>
      <c r="E165" s="166">
        <f t="shared" si="40"/>
        <v>1006.2663555849041</v>
      </c>
      <c r="F165" s="255">
        <f t="shared" si="40"/>
        <v>943.08948970648692</v>
      </c>
      <c r="G165" s="167">
        <f t="shared" si="40"/>
        <v>855.54284031023224</v>
      </c>
      <c r="H165" s="167">
        <f t="shared" si="40"/>
        <v>748.99772827533297</v>
      </c>
      <c r="I165" s="168">
        <f t="shared" si="40"/>
        <v>690.86311003627998</v>
      </c>
      <c r="J165" s="115"/>
      <c r="K165" s="62"/>
      <c r="L165" s="115"/>
      <c r="M165" s="62"/>
      <c r="N165" s="62"/>
      <c r="O165" s="62"/>
      <c r="P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2"/>
      <c r="CB165" s="62"/>
      <c r="CC165" s="62"/>
      <c r="CD165" s="62"/>
      <c r="CE165" s="62"/>
      <c r="CF165" s="62"/>
      <c r="CG165" s="62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  <c r="EA165" s="62"/>
      <c r="EB165" s="62"/>
      <c r="EC165" s="62"/>
      <c r="ED165" s="62"/>
      <c r="EE165" s="62"/>
      <c r="EF165" s="62"/>
      <c r="EG165" s="62"/>
      <c r="EH165" s="62"/>
    </row>
    <row r="166" spans="1:138" thickBot="1" x14ac:dyDescent="0.3">
      <c r="A166" s="62"/>
      <c r="B166" s="166" t="s">
        <v>287</v>
      </c>
      <c r="C166" s="171" t="s">
        <v>288</v>
      </c>
      <c r="D166" s="168" t="s">
        <v>289</v>
      </c>
      <c r="E166" s="228">
        <v>5.6699999999999998E-8</v>
      </c>
      <c r="F166" s="278">
        <v>5.6699999999999998E-8</v>
      </c>
      <c r="G166" s="229">
        <v>5.6699999999999998E-8</v>
      </c>
      <c r="H166" s="229">
        <v>5.6699999999999998E-8</v>
      </c>
      <c r="I166" s="230">
        <v>5.6699999999999998E-8</v>
      </c>
      <c r="J166" s="115"/>
      <c r="K166" s="62"/>
      <c r="L166" s="115"/>
      <c r="M166" s="62"/>
      <c r="N166" s="62"/>
      <c r="O166" s="62"/>
      <c r="P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  <c r="EA166" s="62"/>
      <c r="EB166" s="62"/>
      <c r="EC166" s="62"/>
      <c r="ED166" s="62"/>
      <c r="EE166" s="62"/>
      <c r="EF166" s="62"/>
      <c r="EG166" s="62"/>
      <c r="EH166" s="62"/>
    </row>
    <row r="167" spans="1:138" thickBot="1" x14ac:dyDescent="0.3">
      <c r="A167" s="62"/>
      <c r="B167" s="166" t="s">
        <v>290</v>
      </c>
      <c r="C167" s="167" t="s">
        <v>291</v>
      </c>
      <c r="D167" s="168" t="s">
        <v>163</v>
      </c>
      <c r="E167" s="166">
        <v>0.11940000000000001</v>
      </c>
      <c r="F167" s="255">
        <v>0.12609999999999999</v>
      </c>
      <c r="G167" s="167">
        <v>0.14699999999999999</v>
      </c>
      <c r="H167" s="167">
        <v>0.153</v>
      </c>
      <c r="I167" s="168">
        <v>0.1706</v>
      </c>
      <c r="J167" s="212" t="s">
        <v>389</v>
      </c>
      <c r="K167" s="62"/>
      <c r="L167" s="115"/>
      <c r="M167" s="62"/>
      <c r="N167" s="62"/>
      <c r="O167" s="62"/>
      <c r="P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  <c r="EA167" s="62"/>
      <c r="EB167" s="62"/>
      <c r="EC167" s="62"/>
      <c r="ED167" s="62"/>
      <c r="EE167" s="62"/>
      <c r="EF167" s="62"/>
      <c r="EG167" s="62"/>
      <c r="EH167" s="62"/>
    </row>
    <row r="168" spans="1:138" thickBot="1" x14ac:dyDescent="0.3">
      <c r="A168" s="62"/>
      <c r="B168" s="166" t="s">
        <v>292</v>
      </c>
      <c r="C168" s="167" t="s">
        <v>293</v>
      </c>
      <c r="D168" s="168" t="s">
        <v>163</v>
      </c>
      <c r="E168" s="166">
        <v>0.35</v>
      </c>
      <c r="F168" s="255">
        <v>0.35</v>
      </c>
      <c r="G168" s="167">
        <v>0.35</v>
      </c>
      <c r="H168" s="167">
        <v>0.35</v>
      </c>
      <c r="I168" s="168">
        <v>0.35</v>
      </c>
      <c r="J168" s="115"/>
      <c r="K168" s="62"/>
      <c r="L168" s="115"/>
      <c r="M168" s="62"/>
      <c r="N168" s="62"/>
      <c r="O168" s="62"/>
      <c r="P168" s="62"/>
      <c r="R168" s="62"/>
      <c r="S168" s="588" t="s">
        <v>342</v>
      </c>
      <c r="T168" s="588"/>
      <c r="U168" s="588"/>
      <c r="V168" s="588"/>
      <c r="W168" s="588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  <c r="EA168" s="62"/>
      <c r="EB168" s="62"/>
      <c r="EC168" s="62"/>
      <c r="ED168" s="62"/>
      <c r="EE168" s="62"/>
      <c r="EF168" s="62"/>
      <c r="EG168" s="62"/>
      <c r="EH168" s="62"/>
    </row>
    <row r="169" spans="1:138" thickBot="1" x14ac:dyDescent="0.3">
      <c r="A169" s="62"/>
      <c r="B169" s="166" t="s">
        <v>294</v>
      </c>
      <c r="C169" s="167" t="s">
        <v>295</v>
      </c>
      <c r="D169" s="168" t="s">
        <v>163</v>
      </c>
      <c r="E169" s="166">
        <v>0.96</v>
      </c>
      <c r="F169" s="255">
        <v>0.96</v>
      </c>
      <c r="G169" s="167">
        <v>0.96</v>
      </c>
      <c r="H169" s="167">
        <v>0.96</v>
      </c>
      <c r="I169" s="168">
        <v>0.96</v>
      </c>
      <c r="J169" s="115"/>
      <c r="K169" s="62"/>
      <c r="L169" s="115"/>
      <c r="M169" s="62"/>
      <c r="N169" s="62"/>
      <c r="O169" s="62"/>
      <c r="P169" s="62"/>
      <c r="R169" s="62"/>
      <c r="S169" s="589">
        <v>0.14000000000000001</v>
      </c>
      <c r="T169" s="587" t="s">
        <v>420</v>
      </c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  <c r="EA169" s="62"/>
      <c r="EB169" s="62"/>
      <c r="EC169" s="62"/>
      <c r="ED169" s="62"/>
      <c r="EE169" s="62"/>
      <c r="EF169" s="62"/>
      <c r="EG169" s="62"/>
      <c r="EH169" s="62"/>
    </row>
    <row r="170" spans="1:138" thickBot="1" x14ac:dyDescent="0.3">
      <c r="A170" s="62"/>
      <c r="B170" s="166" t="s">
        <v>395</v>
      </c>
      <c r="C170" s="167" t="s">
        <v>158</v>
      </c>
      <c r="D170" s="168" t="s">
        <v>39</v>
      </c>
      <c r="E170" s="166">
        <f>+(0.211+0.405)*2</f>
        <v>1.232</v>
      </c>
      <c r="F170" s="255">
        <f>0.311*2</f>
        <v>0.622</v>
      </c>
      <c r="G170" s="167">
        <f>0.652*2</f>
        <v>1.304</v>
      </c>
      <c r="H170" s="167">
        <f>0.508*2</f>
        <v>1.016</v>
      </c>
      <c r="I170" s="168">
        <f>0.456*2</f>
        <v>0.91200000000000003</v>
      </c>
      <c r="J170" s="115"/>
      <c r="K170" s="62"/>
      <c r="L170" s="115"/>
      <c r="M170" s="62"/>
      <c r="N170" s="62"/>
      <c r="O170" s="62"/>
      <c r="P170" s="62"/>
      <c r="R170" s="62"/>
      <c r="S170" s="589">
        <v>0.18</v>
      </c>
      <c r="T170" s="586" t="s">
        <v>419</v>
      </c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  <c r="EA170" s="62"/>
      <c r="EB170" s="62"/>
      <c r="EC170" s="62"/>
      <c r="ED170" s="62"/>
      <c r="EE170" s="62"/>
      <c r="EF170" s="62"/>
      <c r="EG170" s="62"/>
      <c r="EH170" s="62"/>
    </row>
    <row r="171" spans="1:138" thickBot="1" x14ac:dyDescent="0.3">
      <c r="A171" s="62"/>
      <c r="B171" s="166" t="s">
        <v>396</v>
      </c>
      <c r="C171" s="167" t="s">
        <v>159</v>
      </c>
      <c r="D171" s="168" t="s">
        <v>39</v>
      </c>
      <c r="E171" s="166">
        <v>0.36899999999999999</v>
      </c>
      <c r="F171" s="255">
        <v>0.35299999999999998</v>
      </c>
      <c r="G171" s="167">
        <v>0.93899999999999995</v>
      </c>
      <c r="H171" s="167">
        <v>1.1279999999999999</v>
      </c>
      <c r="I171" s="168">
        <v>0.86599999999999999</v>
      </c>
      <c r="J171" s="115"/>
      <c r="K171" s="62"/>
      <c r="L171" s="115"/>
      <c r="M171" s="62"/>
      <c r="N171" s="62"/>
      <c r="O171" s="62"/>
      <c r="P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  <c r="EA171" s="62"/>
      <c r="EB171" s="62"/>
      <c r="EC171" s="62"/>
      <c r="ED171" s="62"/>
      <c r="EE171" s="62"/>
      <c r="EF171" s="62"/>
      <c r="EG171" s="62"/>
      <c r="EH171" s="62"/>
    </row>
    <row r="172" spans="1:138" thickBot="1" x14ac:dyDescent="0.3">
      <c r="A172" s="62"/>
      <c r="B172" s="166" t="s">
        <v>160</v>
      </c>
      <c r="C172" s="171" t="s">
        <v>161</v>
      </c>
      <c r="D172" s="168" t="s">
        <v>39</v>
      </c>
      <c r="E172" s="166">
        <f>+E56</f>
        <v>0.66100000000000003</v>
      </c>
      <c r="F172" s="255">
        <f t="shared" ref="F172" si="41">+F56</f>
        <v>0.31900000000000001</v>
      </c>
      <c r="G172" s="167">
        <f>+(G55+G56)/2</f>
        <v>1.994</v>
      </c>
      <c r="H172" s="167">
        <f t="shared" ref="H172:I172" si="42">+(H55+H56)/2</f>
        <v>2.1670400000000001</v>
      </c>
      <c r="I172" s="167">
        <f t="shared" si="42"/>
        <v>0.97499999999999998</v>
      </c>
      <c r="J172" s="115"/>
      <c r="K172" s="62"/>
      <c r="L172" s="115"/>
      <c r="M172" s="62"/>
      <c r="N172" s="62"/>
      <c r="O172" s="62"/>
      <c r="P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  <c r="EA172" s="62"/>
      <c r="EB172" s="62"/>
      <c r="EC172" s="62"/>
      <c r="ED172" s="62"/>
      <c r="EE172" s="62"/>
      <c r="EF172" s="62"/>
      <c r="EG172" s="62"/>
      <c r="EH172" s="62"/>
    </row>
    <row r="173" spans="1:138" ht="16.5" thickBot="1" x14ac:dyDescent="0.3">
      <c r="A173" s="62"/>
      <c r="B173" s="166" t="s">
        <v>296</v>
      </c>
      <c r="C173" s="167" t="s">
        <v>297</v>
      </c>
      <c r="D173" s="168" t="s">
        <v>63</v>
      </c>
      <c r="E173" s="454">
        <v>0.48199999999999998</v>
      </c>
      <c r="F173" s="454">
        <v>0.48199999999999998</v>
      </c>
      <c r="G173" s="311">
        <v>0.49452000000000002</v>
      </c>
      <c r="H173" s="311">
        <v>0.5</v>
      </c>
      <c r="I173" s="311">
        <v>0.5</v>
      </c>
      <c r="J173" s="293" t="s">
        <v>388</v>
      </c>
      <c r="K173" s="62"/>
      <c r="L173" s="115"/>
      <c r="M173" s="62"/>
      <c r="N173" s="62"/>
      <c r="O173" s="62"/>
      <c r="P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</row>
    <row r="174" spans="1:138" thickBot="1" x14ac:dyDescent="0.3">
      <c r="A174" s="62"/>
      <c r="B174" s="166" t="s">
        <v>298</v>
      </c>
      <c r="C174" s="167" t="s">
        <v>299</v>
      </c>
      <c r="D174" s="168" t="s">
        <v>63</v>
      </c>
      <c r="E174" s="454">
        <v>0.31230000000000002</v>
      </c>
      <c r="F174" s="454">
        <v>0.31230000000000002</v>
      </c>
      <c r="G174" s="311">
        <v>0.35620000000000002</v>
      </c>
      <c r="H174" s="311">
        <v>0.35</v>
      </c>
      <c r="I174" s="311">
        <v>0.35</v>
      </c>
      <c r="J174" s="294"/>
      <c r="K174" s="62"/>
      <c r="L174" s="115"/>
      <c r="M174" s="62"/>
      <c r="N174" s="62"/>
      <c r="O174" s="62"/>
      <c r="P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  <c r="EA174" s="62"/>
      <c r="EB174" s="62"/>
      <c r="EC174" s="62"/>
      <c r="ED174" s="62"/>
      <c r="EE174" s="62"/>
      <c r="EF174" s="62"/>
      <c r="EG174" s="62"/>
      <c r="EH174" s="62"/>
    </row>
    <row r="175" spans="1:138" thickBot="1" x14ac:dyDescent="0.3">
      <c r="A175" s="62"/>
      <c r="B175" s="231" t="s">
        <v>300</v>
      </c>
      <c r="C175" s="186" t="s">
        <v>301</v>
      </c>
      <c r="D175" s="413" t="s">
        <v>27</v>
      </c>
      <c r="E175" s="166">
        <f t="shared" ref="E175:I175" si="43">(E166*E170*E173*E169*E168*(E164^4-E163^4))/1000</f>
        <v>14.998115314920293</v>
      </c>
      <c r="F175" s="255">
        <f t="shared" si="43"/>
        <v>5.2744468612107323</v>
      </c>
      <c r="G175" s="167">
        <f>(G166*G170*G173*G169*G168*(G164^4-G163^4))/1000</f>
        <v>7.1510060583004211</v>
      </c>
      <c r="H175" s="167">
        <f t="shared" si="43"/>
        <v>2.7397956524026656</v>
      </c>
      <c r="I175" s="167">
        <f t="shared" si="43"/>
        <v>1.6110036849194236</v>
      </c>
      <c r="J175" s="115"/>
      <c r="K175" s="62"/>
      <c r="L175" s="115"/>
      <c r="M175" s="62"/>
      <c r="N175" s="62"/>
      <c r="O175" s="62"/>
      <c r="P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  <c r="EA175" s="62"/>
      <c r="EB175" s="62"/>
      <c r="EC175" s="62"/>
      <c r="ED175" s="62"/>
      <c r="EE175" s="62"/>
      <c r="EF175" s="62"/>
      <c r="EG175" s="62"/>
      <c r="EH175" s="62"/>
    </row>
    <row r="176" spans="1:138" thickBot="1" x14ac:dyDescent="0.3">
      <c r="A176" s="62"/>
      <c r="B176" s="231" t="s">
        <v>302</v>
      </c>
      <c r="C176" s="186" t="s">
        <v>303</v>
      </c>
      <c r="D176" s="413" t="s">
        <v>27</v>
      </c>
      <c r="E176" s="166">
        <f>(E166*E171*E174*E169*E168*(E165^4-E163^4))/1000</f>
        <v>2.1925666563133568</v>
      </c>
      <c r="F176" s="255">
        <f t="shared" ref="F176:I176" si="44">(F166*F171*F174*F169*F168*(F165^4-F163^4))/1000</f>
        <v>1.533988113335814</v>
      </c>
      <c r="G176" s="167">
        <f t="shared" si="44"/>
        <v>3.2691140930962157</v>
      </c>
      <c r="H176" s="167">
        <f t="shared" si="44"/>
        <v>2.2047613696377231</v>
      </c>
      <c r="I176" s="168">
        <f t="shared" si="44"/>
        <v>1.2422875306351422</v>
      </c>
      <c r="J176" s="115"/>
      <c r="K176" s="62"/>
      <c r="L176" s="115"/>
      <c r="M176" s="62"/>
      <c r="N176" s="62"/>
      <c r="O176" s="62"/>
      <c r="P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  <c r="EA176" s="62"/>
      <c r="EB176" s="62"/>
      <c r="EC176" s="62"/>
      <c r="ED176" s="62"/>
      <c r="EE176" s="62"/>
      <c r="EF176" s="62"/>
      <c r="EG176" s="62"/>
      <c r="EH176" s="62"/>
    </row>
    <row r="177" spans="1:138" thickBot="1" x14ac:dyDescent="0.3">
      <c r="A177" s="62"/>
      <c r="B177" s="231" t="s">
        <v>304</v>
      </c>
      <c r="C177" s="186" t="s">
        <v>305</v>
      </c>
      <c r="D177" s="413" t="s">
        <v>27</v>
      </c>
      <c r="E177" s="166">
        <f>((E166*E172*E168*E167*(E162^4-E163^4))/(1-(1-E168)*(1-E167)))/1000</f>
        <v>10.744301868031645</v>
      </c>
      <c r="F177" s="255">
        <f t="shared" ref="F177:I177" si="45">((F166*F172*F168*F167*(F162^4-F163^4))/(1-(1-F168)*(1-F167)))/1000</f>
        <v>4.1410996661207644</v>
      </c>
      <c r="G177" s="167">
        <f>((G166*G172*G168*G167*(G162^4-G163^4))/(1-(1-G168)*(1-G167)))/1000</f>
        <v>20.310917889766191</v>
      </c>
      <c r="H177" s="167">
        <f t="shared" si="45"/>
        <v>13.52121978461971</v>
      </c>
      <c r="I177" s="168">
        <f t="shared" si="45"/>
        <v>4.8730706559766359</v>
      </c>
      <c r="J177" s="115"/>
      <c r="K177" s="62"/>
      <c r="L177" s="115"/>
      <c r="M177" s="62"/>
      <c r="N177" s="62"/>
      <c r="O177" s="62"/>
      <c r="P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  <c r="EA177" s="62"/>
      <c r="EB177" s="62"/>
      <c r="EC177" s="62"/>
      <c r="ED177" s="62"/>
      <c r="EE177" s="62"/>
      <c r="EF177" s="62"/>
      <c r="EG177" s="62"/>
      <c r="EH177" s="62"/>
    </row>
    <row r="178" spans="1:138" thickBot="1" x14ac:dyDescent="0.3">
      <c r="A178" s="62"/>
      <c r="B178" s="232" t="s">
        <v>306</v>
      </c>
      <c r="C178" s="202" t="s">
        <v>307</v>
      </c>
      <c r="D178" s="414" t="s">
        <v>27</v>
      </c>
      <c r="E178" s="172">
        <f>SUM(E175:E177)</f>
        <v>27.934983839265296</v>
      </c>
      <c r="F178" s="279">
        <f t="shared" ref="F178:I178" si="46">SUM(F175:F177)</f>
        <v>10.949534640667311</v>
      </c>
      <c r="G178" s="173">
        <f t="shared" si="46"/>
        <v>30.731038041162826</v>
      </c>
      <c r="H178" s="173">
        <f t="shared" si="46"/>
        <v>18.465776806660099</v>
      </c>
      <c r="I178" s="233">
        <f t="shared" si="46"/>
        <v>7.7263618715312017</v>
      </c>
      <c r="J178" s="115"/>
      <c r="K178" s="99"/>
      <c r="L178" s="300"/>
      <c r="M178" s="62"/>
      <c r="N178" s="62"/>
      <c r="O178" s="62"/>
      <c r="P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  <c r="EA178" s="62"/>
      <c r="EB178" s="62"/>
      <c r="EC178" s="62"/>
      <c r="ED178" s="62"/>
      <c r="EE178" s="62"/>
      <c r="EF178" s="62"/>
      <c r="EG178" s="62"/>
      <c r="EH178" s="62"/>
    </row>
    <row r="179" spans="1:138" thickBot="1" x14ac:dyDescent="0.3">
      <c r="A179" s="62"/>
      <c r="E179">
        <f>52010/1000</f>
        <v>52.01</v>
      </c>
      <c r="F179" s="453">
        <f>18687.7/1000</f>
        <v>18.6877</v>
      </c>
      <c r="G179" s="453">
        <f>51227.9/1000</f>
        <v>51.227899999999998</v>
      </c>
      <c r="H179">
        <f>38455.3/1000</f>
        <v>38.455300000000001</v>
      </c>
      <c r="I179" s="453">
        <f>23504.9/1000</f>
        <v>23.504900000000003</v>
      </c>
      <c r="J179" s="115">
        <f>+SUM(E179:H179)</f>
        <v>160.3809</v>
      </c>
      <c r="K179" s="62"/>
      <c r="L179" s="115"/>
      <c r="M179" s="62"/>
      <c r="N179" s="62"/>
      <c r="O179" s="62"/>
      <c r="P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  <c r="EA179" s="62"/>
      <c r="EB179" s="62"/>
      <c r="EC179" s="62"/>
      <c r="ED179" s="62"/>
      <c r="EE179" s="62"/>
      <c r="EF179" s="62"/>
      <c r="EG179" s="62"/>
      <c r="EH179" s="62"/>
    </row>
    <row r="180" spans="1:138" thickBot="1" x14ac:dyDescent="0.3">
      <c r="A180" s="62"/>
      <c r="B180" s="213" t="s">
        <v>313</v>
      </c>
      <c r="C180" s="214" t="s">
        <v>101</v>
      </c>
      <c r="D180" s="214" t="s">
        <v>233</v>
      </c>
      <c r="E180" s="157">
        <f>E178+E152</f>
        <v>33.796475928014331</v>
      </c>
      <c r="F180" s="280">
        <f>F178+F152</f>
        <v>13.626356582489191</v>
      </c>
      <c r="G180" s="157">
        <f>G178+G152</f>
        <v>44.526709937974225</v>
      </c>
      <c r="H180" s="157">
        <f>H178+H152</f>
        <v>23.753639803935545</v>
      </c>
      <c r="I180" s="158">
        <f>I178+I152</f>
        <v>9.3335544878278895</v>
      </c>
      <c r="J180" s="295">
        <f>+E180+F180+G180+H180</f>
        <v>115.7031822524133</v>
      </c>
      <c r="K180" s="62"/>
      <c r="L180" s="115"/>
      <c r="M180" s="62"/>
      <c r="N180" s="62"/>
      <c r="O180" s="62"/>
      <c r="P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  <c r="EA180" s="62"/>
      <c r="EB180" s="62"/>
      <c r="EC180" s="62"/>
      <c r="ED180" s="62"/>
      <c r="EE180" s="62"/>
      <c r="EF180" s="62"/>
      <c r="EG180" s="62"/>
      <c r="EH180" s="62"/>
    </row>
    <row r="181" spans="1:138" thickBot="1" x14ac:dyDescent="0.3">
      <c r="A181" s="62"/>
      <c r="B181" s="147" t="s">
        <v>370</v>
      </c>
      <c r="C181" s="148" t="s">
        <v>371</v>
      </c>
      <c r="D181" s="140" t="s">
        <v>233</v>
      </c>
      <c r="E181" s="138">
        <f>+E74</f>
        <v>36.182615318474419</v>
      </c>
      <c r="F181" s="281">
        <f t="shared" ref="F181:I181" si="47">+F74</f>
        <v>15.211039540602119</v>
      </c>
      <c r="G181" s="138">
        <f t="shared" si="47"/>
        <v>52.349343189856725</v>
      </c>
      <c r="H181" s="138">
        <f t="shared" si="47"/>
        <v>30.441445840839897</v>
      </c>
      <c r="I181" s="139">
        <f t="shared" si="47"/>
        <v>12.767456735139376</v>
      </c>
      <c r="J181" s="296">
        <f>+J74</f>
        <v>134.18444388977315</v>
      </c>
      <c r="K181" s="62"/>
      <c r="L181" s="115"/>
      <c r="M181" s="62"/>
      <c r="N181" s="62"/>
      <c r="O181" s="62"/>
      <c r="P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  <c r="EA181" s="62"/>
      <c r="EB181" s="62"/>
      <c r="EC181" s="62"/>
      <c r="ED181" s="62"/>
      <c r="EE181" s="62"/>
      <c r="EF181" s="62"/>
      <c r="EG181" s="62"/>
      <c r="EH181" s="62"/>
    </row>
    <row r="182" spans="1:138" thickBot="1" x14ac:dyDescent="0.3">
      <c r="A182" s="62"/>
      <c r="B182" s="215" t="s">
        <v>372</v>
      </c>
      <c r="C182" s="216"/>
      <c r="D182" s="141"/>
      <c r="E182" s="134">
        <f>ABS(E180-E181)</f>
        <v>2.3861393904600874</v>
      </c>
      <c r="F182" s="282">
        <f t="shared" ref="F182:H182" si="48">ABS(F180-F181)</f>
        <v>1.5846829581129285</v>
      </c>
      <c r="G182" s="134">
        <f t="shared" si="48"/>
        <v>7.8226332518825004</v>
      </c>
      <c r="H182" s="134">
        <f t="shared" si="48"/>
        <v>6.6878060369043517</v>
      </c>
      <c r="I182" s="135">
        <f>ABS(I180-I181)</f>
        <v>3.4339022473114866</v>
      </c>
      <c r="J182" s="297">
        <f>+SUM(E182:I182)</f>
        <v>21.915163884671355</v>
      </c>
      <c r="K182" s="62"/>
      <c r="L182" s="115"/>
      <c r="M182" s="62"/>
      <c r="N182" s="62"/>
      <c r="O182" s="62"/>
      <c r="P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  <c r="EA182" s="62"/>
      <c r="EB182" s="62"/>
      <c r="EC182" s="62"/>
      <c r="ED182" s="62"/>
      <c r="EE182" s="62"/>
      <c r="EF182" s="62"/>
      <c r="EG182" s="62"/>
      <c r="EH182" s="62"/>
    </row>
    <row r="183" spans="1:138" thickBot="1" x14ac:dyDescent="0.3">
      <c r="A183" s="62"/>
      <c r="B183" s="62"/>
      <c r="C183" s="62"/>
      <c r="D183" s="106"/>
      <c r="E183" s="62"/>
      <c r="F183" s="115"/>
      <c r="G183" s="62"/>
      <c r="H183" s="62"/>
      <c r="I183" s="62"/>
      <c r="J183" s="115"/>
      <c r="K183" s="62"/>
      <c r="L183" s="115"/>
      <c r="M183" s="62"/>
      <c r="N183" s="62"/>
      <c r="O183" s="62"/>
      <c r="P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  <c r="EA183" s="62"/>
      <c r="EB183" s="62"/>
      <c r="EC183" s="62"/>
      <c r="ED183" s="62"/>
      <c r="EE183" s="62"/>
      <c r="EF183" s="62"/>
      <c r="EG183" s="62"/>
      <c r="EH183" s="62"/>
    </row>
    <row r="184" spans="1:138" s="419" customFormat="1" thickBot="1" x14ac:dyDescent="0.3">
      <c r="A184" s="568" t="s">
        <v>373</v>
      </c>
      <c r="B184" s="569"/>
      <c r="C184" s="569"/>
      <c r="D184" s="569"/>
      <c r="E184" s="569"/>
      <c r="F184" s="569"/>
      <c r="G184" s="569"/>
      <c r="H184" s="569"/>
      <c r="I184" s="569"/>
      <c r="J184" s="569"/>
      <c r="K184" s="569"/>
      <c r="L184" s="569"/>
      <c r="M184" s="569"/>
      <c r="N184" s="569"/>
      <c r="O184" s="569"/>
      <c r="P184" s="570"/>
      <c r="Q184" s="126"/>
    </row>
    <row r="185" spans="1:138" thickBot="1" x14ac:dyDescent="0.3">
      <c r="A185" s="62"/>
      <c r="B185" s="62"/>
      <c r="C185" s="62"/>
      <c r="D185" s="106"/>
      <c r="E185" s="62"/>
      <c r="F185" s="115"/>
      <c r="G185" s="62"/>
      <c r="H185" s="62"/>
      <c r="I185" s="62"/>
      <c r="J185" s="115"/>
      <c r="K185" s="62"/>
      <c r="L185" s="115"/>
      <c r="M185" s="62"/>
      <c r="N185" s="62"/>
      <c r="O185" s="62"/>
      <c r="P185" s="62"/>
      <c r="Q185" s="418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</row>
    <row r="186" spans="1:138" thickBot="1" x14ac:dyDescent="0.3">
      <c r="A186" s="565" t="s">
        <v>374</v>
      </c>
      <c r="B186" s="566"/>
      <c r="C186" s="566"/>
      <c r="D186" s="566"/>
      <c r="E186" s="566"/>
      <c r="F186" s="566"/>
      <c r="G186" s="566"/>
      <c r="H186" s="566"/>
      <c r="I186" s="566"/>
      <c r="J186" s="566"/>
      <c r="K186" s="566"/>
      <c r="L186" s="566"/>
      <c r="M186" s="566"/>
      <c r="N186" s="566"/>
      <c r="O186" s="566"/>
      <c r="P186" s="567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</row>
    <row r="187" spans="1:138" thickBot="1" x14ac:dyDescent="0.3">
      <c r="A187" s="62"/>
      <c r="B187" s="62"/>
      <c r="C187" s="62"/>
      <c r="D187" s="106"/>
      <c r="E187" s="62"/>
      <c r="F187" s="115"/>
      <c r="G187" s="62"/>
      <c r="H187" s="62"/>
      <c r="I187" s="62"/>
      <c r="J187" s="115"/>
      <c r="K187" s="62"/>
      <c r="L187" s="115"/>
      <c r="M187" s="62"/>
      <c r="N187" s="62"/>
      <c r="O187" s="62"/>
      <c r="P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</row>
    <row r="188" spans="1:138" thickBot="1" x14ac:dyDescent="0.3">
      <c r="A188" s="62"/>
      <c r="B188" s="127" t="s">
        <v>268</v>
      </c>
      <c r="C188" s="128" t="s">
        <v>269</v>
      </c>
      <c r="D188" s="503" t="s">
        <v>39</v>
      </c>
      <c r="E188" s="509">
        <f>+E149</f>
        <v>0.66100000000000003</v>
      </c>
      <c r="F188" s="283">
        <f t="shared" ref="F188:I188" si="49">+F149</f>
        <v>0.31900000000000001</v>
      </c>
      <c r="G188" s="155">
        <f t="shared" si="49"/>
        <v>0.98399999999999999</v>
      </c>
      <c r="H188" s="155">
        <f t="shared" si="49"/>
        <v>0.94523999999999997</v>
      </c>
      <c r="I188" s="156">
        <f t="shared" si="49"/>
        <v>0.36699999999999999</v>
      </c>
      <c r="J188" s="115"/>
      <c r="K188" s="62"/>
      <c r="L188" s="115"/>
      <c r="M188" s="62"/>
      <c r="N188" s="62"/>
      <c r="O188" s="62"/>
      <c r="P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</row>
    <row r="189" spans="1:138" thickBot="1" x14ac:dyDescent="0.3">
      <c r="A189" s="62"/>
      <c r="B189" s="129" t="s">
        <v>366</v>
      </c>
      <c r="C189" s="130" t="s">
        <v>367</v>
      </c>
      <c r="D189" s="504" t="s">
        <v>176</v>
      </c>
      <c r="E189" s="510">
        <f>+E79</f>
        <v>97.365725053046262</v>
      </c>
      <c r="F189" s="280">
        <f t="shared" ref="F189:I189" si="50">+F79</f>
        <v>110.32970423286058</v>
      </c>
      <c r="G189" s="157">
        <f t="shared" si="50"/>
        <v>95.452302241740497</v>
      </c>
      <c r="H189" s="157">
        <f t="shared" si="50"/>
        <v>95.208382757354016</v>
      </c>
      <c r="I189" s="158">
        <f t="shared" si="50"/>
        <v>50.399354648379131</v>
      </c>
      <c r="J189" s="115"/>
      <c r="K189" s="62"/>
      <c r="L189" s="115" t="s">
        <v>360</v>
      </c>
      <c r="M189" s="62"/>
      <c r="N189" s="62"/>
      <c r="O189" s="62"/>
      <c r="P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</row>
    <row r="190" spans="1:138" thickBot="1" x14ac:dyDescent="0.3">
      <c r="A190" s="62"/>
      <c r="B190" s="405" t="s">
        <v>361</v>
      </c>
      <c r="C190" s="406" t="s">
        <v>362</v>
      </c>
      <c r="D190" s="505" t="s">
        <v>233</v>
      </c>
      <c r="E190" s="511">
        <f>+E180</f>
        <v>33.796475928014331</v>
      </c>
      <c r="F190" s="408">
        <f t="shared" ref="F190:I190" si="51">+F180</f>
        <v>13.626356582489191</v>
      </c>
      <c r="G190" s="407">
        <f t="shared" si="51"/>
        <v>44.526709937974225</v>
      </c>
      <c r="H190" s="407">
        <f t="shared" si="51"/>
        <v>23.753639803935545</v>
      </c>
      <c r="I190" s="409">
        <f t="shared" si="51"/>
        <v>9.3335544878278895</v>
      </c>
      <c r="J190" s="115"/>
      <c r="K190" s="62"/>
      <c r="L190" s="115"/>
      <c r="M190" s="62"/>
      <c r="N190" s="62"/>
      <c r="O190" s="62"/>
      <c r="P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</row>
    <row r="191" spans="1:138" thickBot="1" x14ac:dyDescent="0.3">
      <c r="A191" s="62"/>
      <c r="B191" s="159" t="s">
        <v>347</v>
      </c>
      <c r="C191" s="131" t="s">
        <v>356</v>
      </c>
      <c r="D191" s="504" t="s">
        <v>176</v>
      </c>
      <c r="E191" s="510">
        <f>+E119</f>
        <v>985.01529480628164</v>
      </c>
      <c r="F191" s="280">
        <f>+F119</f>
        <v>932.07202090634337</v>
      </c>
      <c r="G191" s="157">
        <f>+G119</f>
        <v>763.37820772715611</v>
      </c>
      <c r="H191" s="157">
        <f>+H119</f>
        <v>662.33756005849682</v>
      </c>
      <c r="I191" s="158">
        <f>+I119</f>
        <v>616.20195902069281</v>
      </c>
      <c r="J191" s="115"/>
      <c r="K191" s="62"/>
      <c r="L191" s="115"/>
      <c r="M191" s="62"/>
      <c r="N191" s="62"/>
      <c r="O191" s="62"/>
      <c r="P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</row>
    <row r="192" spans="1:138" thickBot="1" x14ac:dyDescent="0.3">
      <c r="A192" s="62"/>
      <c r="B192" s="136" t="s">
        <v>272</v>
      </c>
      <c r="C192" s="137" t="s">
        <v>273</v>
      </c>
      <c r="D192" s="506" t="s">
        <v>27</v>
      </c>
      <c r="E192" s="512">
        <f>+E152</f>
        <v>5.8614920887490314</v>
      </c>
      <c r="F192" s="281">
        <f>+F152</f>
        <v>2.6768219418218804</v>
      </c>
      <c r="G192" s="138">
        <f>+G152</f>
        <v>13.795671896811401</v>
      </c>
      <c r="H192" s="138">
        <f>+H152</f>
        <v>5.2878629972754476</v>
      </c>
      <c r="I192" s="139">
        <f>+I152</f>
        <v>1.6071926162966876</v>
      </c>
      <c r="J192" s="115"/>
      <c r="K192" s="62"/>
      <c r="L192" s="115"/>
      <c r="M192" s="62"/>
      <c r="N192" s="62"/>
      <c r="O192" s="62"/>
      <c r="P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</row>
    <row r="193" spans="1:55" thickBot="1" x14ac:dyDescent="0.3">
      <c r="A193" s="62"/>
      <c r="B193" s="136" t="s">
        <v>375</v>
      </c>
      <c r="C193" s="137" t="s">
        <v>307</v>
      </c>
      <c r="D193" s="506" t="s">
        <v>27</v>
      </c>
      <c r="E193" s="512">
        <f>+E178</f>
        <v>27.934983839265296</v>
      </c>
      <c r="F193" s="281">
        <f t="shared" ref="F193:I193" si="52">+F178</f>
        <v>10.949534640667311</v>
      </c>
      <c r="G193" s="138">
        <f t="shared" si="52"/>
        <v>30.731038041162826</v>
      </c>
      <c r="H193" s="138">
        <f t="shared" si="52"/>
        <v>18.465776806660099</v>
      </c>
      <c r="I193" s="139">
        <f t="shared" si="52"/>
        <v>7.7263618715312017</v>
      </c>
      <c r="J193" s="115"/>
      <c r="K193" s="62"/>
      <c r="L193" s="115"/>
      <c r="M193" s="62"/>
      <c r="N193" s="62"/>
      <c r="O193" s="62"/>
      <c r="P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</row>
    <row r="194" spans="1:55" thickBot="1" x14ac:dyDescent="0.3">
      <c r="A194" s="62"/>
      <c r="B194" s="160" t="s">
        <v>350</v>
      </c>
      <c r="C194" s="140" t="s">
        <v>354</v>
      </c>
      <c r="D194" s="507" t="s">
        <v>233</v>
      </c>
      <c r="E194" s="512">
        <f>+E117</f>
        <v>317.36730687497618</v>
      </c>
      <c r="F194" s="281">
        <f>+F117</f>
        <v>298.17985315698007</v>
      </c>
      <c r="G194" s="138">
        <f>+G117</f>
        <v>238.10671527206284</v>
      </c>
      <c r="H194" s="138">
        <f>+H117</f>
        <v>202.97414028730395</v>
      </c>
      <c r="I194" s="139">
        <f>+I117</f>
        <v>187.17239364882639</v>
      </c>
      <c r="J194" s="115"/>
      <c r="K194" s="62"/>
      <c r="L194" s="115"/>
      <c r="M194" s="62"/>
      <c r="N194" s="62"/>
      <c r="O194" s="62"/>
      <c r="P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</row>
    <row r="195" spans="1:55" thickBot="1" x14ac:dyDescent="0.3">
      <c r="A195" s="62"/>
      <c r="B195" s="160" t="s">
        <v>386</v>
      </c>
      <c r="C195" s="140" t="s">
        <v>387</v>
      </c>
      <c r="D195" s="507" t="s">
        <v>55</v>
      </c>
      <c r="E195" s="512">
        <f>+E78-F78</f>
        <v>56.831271200621366</v>
      </c>
      <c r="F195" s="281">
        <f>+F78-D3</f>
        <v>22.437381175352463</v>
      </c>
      <c r="G195" s="138">
        <f>+G78-F78</f>
        <v>139.76143552845755</v>
      </c>
      <c r="H195" s="138">
        <f>+H78-G78</f>
        <v>17.565889178542903</v>
      </c>
      <c r="I195" s="139">
        <f>+I68</f>
        <v>2.4634524705882352</v>
      </c>
      <c r="J195" s="115"/>
      <c r="K195" s="62"/>
      <c r="L195" s="115"/>
      <c r="M195" s="62"/>
      <c r="N195" s="62"/>
      <c r="O195" s="62"/>
      <c r="P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</row>
    <row r="196" spans="1:55" thickBot="1" x14ac:dyDescent="0.3">
      <c r="A196" s="62"/>
      <c r="B196" s="132" t="s">
        <v>325</v>
      </c>
      <c r="C196" s="133" t="s">
        <v>326</v>
      </c>
      <c r="D196" s="508" t="s">
        <v>176</v>
      </c>
      <c r="E196" s="513">
        <f>+E88</f>
        <v>117.12704899877464</v>
      </c>
      <c r="F196" s="134">
        <f t="shared" ref="F196:I196" si="53">+F88</f>
        <v>215.43377338596071</v>
      </c>
      <c r="G196" s="134">
        <f t="shared" si="53"/>
        <v>101.07983852672757</v>
      </c>
      <c r="H196" s="134">
        <f t="shared" si="53"/>
        <v>98.631708893157636</v>
      </c>
      <c r="I196" s="135">
        <f t="shared" si="53"/>
        <v>53.380444238178917</v>
      </c>
      <c r="J196" s="115"/>
      <c r="K196" s="62"/>
      <c r="L196" s="115"/>
      <c r="M196" s="62"/>
      <c r="N196" s="62"/>
      <c r="O196" s="62"/>
      <c r="P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</row>
    <row r="197" spans="1:55" thickBot="1" x14ac:dyDescent="0.3">
      <c r="A197" s="62"/>
      <c r="B197" s="62"/>
      <c r="C197" s="62"/>
      <c r="D197" s="106"/>
      <c r="E197" s="62"/>
      <c r="F197" s="115"/>
      <c r="G197" s="62"/>
      <c r="H197" s="62"/>
      <c r="I197" s="62"/>
      <c r="J197" s="115"/>
      <c r="K197" s="62"/>
      <c r="L197" s="115"/>
      <c r="M197" s="62"/>
      <c r="N197" s="62"/>
      <c r="O197" s="62"/>
      <c r="P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</row>
    <row r="198" spans="1:55" thickBot="1" x14ac:dyDescent="0.3">
      <c r="A198" s="62"/>
      <c r="B198" s="142" t="s">
        <v>4</v>
      </c>
      <c r="C198" s="143" t="s">
        <v>5</v>
      </c>
      <c r="D198" s="143">
        <v>40</v>
      </c>
      <c r="E198" s="144" t="s">
        <v>6</v>
      </c>
      <c r="F198" s="115"/>
      <c r="G198" s="62"/>
      <c r="H198" s="62"/>
      <c r="I198" s="62"/>
      <c r="J198" s="115"/>
      <c r="K198" s="62"/>
      <c r="L198" s="115"/>
      <c r="M198" s="62"/>
      <c r="N198" s="62"/>
      <c r="O198" s="62"/>
      <c r="P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</row>
    <row r="199" spans="1:55" thickBot="1" x14ac:dyDescent="0.3">
      <c r="A199" s="62"/>
      <c r="B199" s="145" t="s">
        <v>107</v>
      </c>
      <c r="C199" s="137" t="s">
        <v>108</v>
      </c>
      <c r="D199" s="137">
        <f>3.33635271598995*D198</f>
        <v>133.45410863959802</v>
      </c>
      <c r="E199" s="146" t="s">
        <v>6</v>
      </c>
      <c r="F199" s="115"/>
      <c r="G199" s="62"/>
      <c r="H199" s="62"/>
      <c r="I199" s="62"/>
      <c r="J199" s="115"/>
      <c r="K199" s="62"/>
      <c r="L199" s="115"/>
      <c r="M199" s="62"/>
      <c r="N199" s="62"/>
      <c r="O199" s="62"/>
      <c r="P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</row>
    <row r="200" spans="1:55" thickBot="1" x14ac:dyDescent="0.3">
      <c r="A200" s="62"/>
      <c r="B200" s="147" t="s">
        <v>189</v>
      </c>
      <c r="C200" s="148"/>
      <c r="D200" s="149">
        <f>+D14</f>
        <v>0.3</v>
      </c>
      <c r="E200" s="150" t="s">
        <v>8</v>
      </c>
      <c r="F200" s="115"/>
      <c r="G200" s="62"/>
      <c r="H200" s="62"/>
      <c r="I200" s="62"/>
      <c r="J200" s="115"/>
      <c r="K200" s="62"/>
      <c r="L200" s="115"/>
      <c r="M200" s="62"/>
      <c r="N200" s="62"/>
      <c r="O200" s="62"/>
      <c r="P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</row>
    <row r="201" spans="1:55" thickBot="1" x14ac:dyDescent="0.3">
      <c r="A201" s="62"/>
      <c r="B201" s="151" t="s">
        <v>376</v>
      </c>
      <c r="C201" s="152" t="s">
        <v>7</v>
      </c>
      <c r="D201" s="153">
        <f>+J74/K109</f>
        <v>0.35133243815166965</v>
      </c>
      <c r="E201" s="154" t="s">
        <v>8</v>
      </c>
      <c r="F201" s="115"/>
      <c r="G201" s="62"/>
      <c r="H201" s="62"/>
      <c r="I201" s="62"/>
      <c r="J201" s="115"/>
      <c r="K201" s="62"/>
      <c r="L201" s="115"/>
      <c r="M201" s="62"/>
      <c r="N201" s="62"/>
      <c r="O201" s="62"/>
      <c r="P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</row>
    <row r="202" spans="1:55" thickBot="1" x14ac:dyDescent="0.3">
      <c r="A202" s="62"/>
      <c r="B202" s="62"/>
      <c r="C202" s="62"/>
      <c r="D202" s="106"/>
      <c r="E202" s="62"/>
      <c r="F202" s="115"/>
      <c r="G202" s="62"/>
      <c r="H202" s="62"/>
      <c r="I202" s="62"/>
      <c r="J202" s="115"/>
      <c r="K202" s="62"/>
      <c r="L202" s="115"/>
      <c r="M202" s="62"/>
      <c r="N202" s="62"/>
      <c r="O202" s="62"/>
      <c r="P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</row>
    <row r="203" spans="1:55" thickBot="1" x14ac:dyDescent="0.3">
      <c r="A203" s="529"/>
      <c r="B203" s="530"/>
      <c r="C203" s="530"/>
      <c r="D203" s="530"/>
      <c r="E203" s="530"/>
      <c r="F203" s="530"/>
      <c r="G203" s="530"/>
      <c r="H203" s="530"/>
      <c r="I203" s="530"/>
      <c r="J203" s="530"/>
      <c r="K203" s="530"/>
      <c r="L203" s="530"/>
      <c r="M203" s="530"/>
      <c r="N203" s="530"/>
      <c r="O203" s="530"/>
      <c r="P203" s="531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</row>
    <row r="204" spans="1:55" thickBot="1" x14ac:dyDescent="0.3">
      <c r="A204" s="217"/>
      <c r="B204" s="217"/>
      <c r="C204" s="217"/>
      <c r="D204" s="217"/>
      <c r="E204" s="217"/>
      <c r="F204" s="284"/>
      <c r="G204" s="217"/>
      <c r="H204" s="217"/>
      <c r="I204" s="217"/>
      <c r="J204" s="284"/>
      <c r="K204" s="217"/>
      <c r="L204" s="284"/>
      <c r="M204" s="62"/>
      <c r="N204" s="62"/>
      <c r="O204" s="62"/>
      <c r="P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</row>
    <row r="205" spans="1:55" thickBot="1" x14ac:dyDescent="0.3">
      <c r="A205" s="114"/>
      <c r="B205" s="574" t="s">
        <v>391</v>
      </c>
      <c r="C205" s="575"/>
      <c r="D205" s="575"/>
      <c r="E205" s="575"/>
      <c r="F205" s="575"/>
      <c r="G205" s="575"/>
      <c r="H205" s="575"/>
      <c r="I205" s="575"/>
      <c r="J205" s="575"/>
      <c r="K205" s="575"/>
      <c r="L205" s="575"/>
      <c r="M205" s="576"/>
      <c r="P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</row>
    <row r="206" spans="1:55" ht="39.6" customHeight="1" thickBot="1" x14ac:dyDescent="0.3">
      <c r="A206" s="114"/>
      <c r="B206" s="464" t="s">
        <v>377</v>
      </c>
      <c r="C206" s="455" t="s">
        <v>378</v>
      </c>
      <c r="D206" s="577" t="s">
        <v>379</v>
      </c>
      <c r="E206" s="578"/>
      <c r="F206" s="579"/>
      <c r="G206" s="580" t="s">
        <v>380</v>
      </c>
      <c r="H206" s="581"/>
      <c r="I206" s="581"/>
      <c r="J206" s="581"/>
      <c r="K206" s="581"/>
      <c r="L206" s="581"/>
      <c r="M206" s="582"/>
      <c r="P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</row>
    <row r="207" spans="1:55" ht="60.75" thickBot="1" x14ac:dyDescent="0.3">
      <c r="A207" s="114"/>
      <c r="B207" s="465"/>
      <c r="C207" s="468"/>
      <c r="D207" s="470" t="s">
        <v>392</v>
      </c>
      <c r="E207" s="475" t="s">
        <v>407</v>
      </c>
      <c r="F207" s="461" t="s">
        <v>390</v>
      </c>
      <c r="G207" s="473" t="s">
        <v>381</v>
      </c>
      <c r="H207" s="219" t="s">
        <v>382</v>
      </c>
      <c r="I207" s="416" t="s">
        <v>383</v>
      </c>
      <c r="J207" s="219" t="s">
        <v>384</v>
      </c>
      <c r="K207" s="416" t="s">
        <v>385</v>
      </c>
      <c r="L207" s="416" t="s">
        <v>404</v>
      </c>
      <c r="M207" s="461" t="s">
        <v>405</v>
      </c>
      <c r="P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</row>
    <row r="208" spans="1:55" thickBot="1" x14ac:dyDescent="0.3">
      <c r="A208" s="114"/>
      <c r="B208" s="466">
        <v>1</v>
      </c>
      <c r="C208" s="469">
        <f>+E188</f>
        <v>0.66100000000000003</v>
      </c>
      <c r="D208" s="476">
        <f>+E79</f>
        <v>97.365725053046262</v>
      </c>
      <c r="E208" s="285">
        <f>+E196</f>
        <v>117.12704899877464</v>
      </c>
      <c r="F208" s="471">
        <f>+E195</f>
        <v>56.831271200621366</v>
      </c>
      <c r="G208" s="462">
        <f>+E190</f>
        <v>33.796475928014331</v>
      </c>
      <c r="H208" s="220">
        <f>+E191</f>
        <v>985.01529480628164</v>
      </c>
      <c r="I208" s="285">
        <f>+E192</f>
        <v>5.8614920887490314</v>
      </c>
      <c r="J208" s="220">
        <f>+E193</f>
        <v>27.934983839265296</v>
      </c>
      <c r="K208" s="285">
        <f>+E194</f>
        <v>317.36730687497618</v>
      </c>
      <c r="L208" s="477">
        <f>+I208/C208</f>
        <v>8.8676128422829521</v>
      </c>
      <c r="M208" s="478">
        <f>+J208/C208</f>
        <v>42.261700210688794</v>
      </c>
      <c r="P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</row>
    <row r="209" spans="1:55" thickBot="1" x14ac:dyDescent="0.3">
      <c r="A209" s="114"/>
      <c r="B209" s="466">
        <v>2</v>
      </c>
      <c r="C209" s="469">
        <f>+F188</f>
        <v>0.31900000000000001</v>
      </c>
      <c r="D209" s="476">
        <f>+F79</f>
        <v>110.32970423286058</v>
      </c>
      <c r="E209" s="285">
        <f>+F196</f>
        <v>215.43377338596071</v>
      </c>
      <c r="F209" s="471">
        <f>+F195</f>
        <v>22.437381175352463</v>
      </c>
      <c r="G209" s="462">
        <f>+F190</f>
        <v>13.626356582489191</v>
      </c>
      <c r="H209" s="220">
        <f>+F191</f>
        <v>932.07202090634337</v>
      </c>
      <c r="I209" s="285">
        <f>+F192</f>
        <v>2.6768219418218804</v>
      </c>
      <c r="J209" s="220">
        <f>+F193</f>
        <v>10.949534640667311</v>
      </c>
      <c r="K209" s="285">
        <f>+F194</f>
        <v>298.17985315698007</v>
      </c>
      <c r="L209" s="477">
        <f>+I209/C209</f>
        <v>8.3912913536736067</v>
      </c>
      <c r="M209" s="478">
        <f>+J209/C209</f>
        <v>34.324560002091886</v>
      </c>
      <c r="P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</row>
    <row r="210" spans="1:55" ht="15" customHeight="1" thickBot="1" x14ac:dyDescent="0.3">
      <c r="A210" s="114"/>
      <c r="B210" s="466">
        <v>3</v>
      </c>
      <c r="C210" s="469">
        <f>+G56</f>
        <v>3.004</v>
      </c>
      <c r="D210" s="476">
        <f>+G79</f>
        <v>95.452302241740497</v>
      </c>
      <c r="E210" s="285">
        <f>+G196</f>
        <v>101.07983852672757</v>
      </c>
      <c r="F210" s="471">
        <f>+G195</f>
        <v>139.76143552845755</v>
      </c>
      <c r="G210" s="462">
        <f>+G190</f>
        <v>44.526709937974225</v>
      </c>
      <c r="H210" s="220">
        <f>+G191</f>
        <v>763.37820772715611</v>
      </c>
      <c r="I210" s="285">
        <f>+G192</f>
        <v>13.795671896811401</v>
      </c>
      <c r="J210" s="220">
        <f>+G193</f>
        <v>30.731038041162826</v>
      </c>
      <c r="K210" s="285">
        <f>+G194</f>
        <v>238.10671527206284</v>
      </c>
      <c r="L210" s="477">
        <f>+I210/C210</f>
        <v>4.5924340535324237</v>
      </c>
      <c r="M210" s="478">
        <f>+J210/C210</f>
        <v>10.230039294661394</v>
      </c>
      <c r="P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</row>
    <row r="211" spans="1:55" thickBot="1" x14ac:dyDescent="0.3">
      <c r="A211" s="114"/>
      <c r="B211" s="466">
        <v>4</v>
      </c>
      <c r="C211" s="469">
        <f>+H56</f>
        <v>3.3888400000000001</v>
      </c>
      <c r="D211" s="476">
        <f>+H79</f>
        <v>95.208382757354016</v>
      </c>
      <c r="E211" s="285">
        <f>+H196</f>
        <v>98.631708893157636</v>
      </c>
      <c r="F211" s="471">
        <f>+H195</f>
        <v>17.565889178542903</v>
      </c>
      <c r="G211" s="462">
        <f>+H190</f>
        <v>23.753639803935545</v>
      </c>
      <c r="H211" s="220">
        <f>+H191</f>
        <v>662.33756005849682</v>
      </c>
      <c r="I211" s="285">
        <f>+H192</f>
        <v>5.2878629972754476</v>
      </c>
      <c r="J211" s="220">
        <f>+H193</f>
        <v>18.465776806660099</v>
      </c>
      <c r="K211" s="285">
        <f>+H194</f>
        <v>202.97414028730395</v>
      </c>
      <c r="L211" s="477">
        <f>+I211/C211</f>
        <v>1.5603755259249323</v>
      </c>
      <c r="M211" s="478">
        <f>+J211/C211</f>
        <v>5.4489963546995721</v>
      </c>
      <c r="P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</row>
    <row r="212" spans="1:55" thickBot="1" x14ac:dyDescent="0.3">
      <c r="A212" s="114"/>
      <c r="B212" s="467">
        <v>5</v>
      </c>
      <c r="C212" s="474">
        <f>+I56</f>
        <v>1.583</v>
      </c>
      <c r="D212" s="479">
        <f>+I79</f>
        <v>50.399354648379131</v>
      </c>
      <c r="E212" s="286">
        <f>+I196</f>
        <v>53.380444238178917</v>
      </c>
      <c r="F212" s="472">
        <f>+I195</f>
        <v>2.4634524705882352</v>
      </c>
      <c r="G212" s="463">
        <f>+I190</f>
        <v>9.3335544878278895</v>
      </c>
      <c r="H212" s="221">
        <f>+I191</f>
        <v>616.20195902069281</v>
      </c>
      <c r="I212" s="286">
        <f>+I192</f>
        <v>1.6071926162966876</v>
      </c>
      <c r="J212" s="221">
        <f>+I193</f>
        <v>7.7263618715312017</v>
      </c>
      <c r="K212" s="286">
        <f>+I194</f>
        <v>187.17239364882639</v>
      </c>
      <c r="L212" s="480">
        <f>+I212/C212</f>
        <v>1.0152827645588678</v>
      </c>
      <c r="M212" s="481">
        <f>+J212/C212</f>
        <v>4.8808350420285542</v>
      </c>
      <c r="P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</row>
    <row r="213" spans="1:55" thickBot="1" x14ac:dyDescent="0.3">
      <c r="A213" s="114"/>
      <c r="B213" s="114"/>
      <c r="C213" s="114"/>
      <c r="D213" s="106"/>
      <c r="E213" s="62"/>
      <c r="F213" s="115"/>
      <c r="G213" s="62"/>
      <c r="H213" s="62"/>
      <c r="I213" s="62"/>
      <c r="J213" s="115"/>
      <c r="K213" s="62"/>
      <c r="L213" s="115"/>
      <c r="M213" s="62"/>
      <c r="N213" s="62"/>
      <c r="O213" s="62"/>
      <c r="P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</row>
    <row r="214" spans="1:55" thickBot="1" x14ac:dyDescent="0.3">
      <c r="A214" s="553"/>
      <c r="B214" s="554"/>
      <c r="C214" s="554"/>
      <c r="D214" s="554"/>
      <c r="E214" s="554"/>
      <c r="F214" s="554"/>
      <c r="G214" s="554"/>
      <c r="H214" s="554"/>
      <c r="I214" s="554"/>
      <c r="J214" s="554"/>
      <c r="K214" s="554"/>
      <c r="L214" s="554"/>
      <c r="M214" s="554"/>
      <c r="N214" s="554"/>
      <c r="O214" s="554"/>
      <c r="P214" s="555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</row>
    <row r="215" spans="1:55" thickBot="1" x14ac:dyDescent="0.3">
      <c r="A215" s="114"/>
      <c r="B215" s="114"/>
      <c r="C215" s="114"/>
      <c r="D215" s="106"/>
      <c r="E215" s="62"/>
      <c r="F215" s="115"/>
      <c r="G215" s="62"/>
      <c r="H215" s="62"/>
      <c r="I215" s="62"/>
      <c r="J215" s="115"/>
      <c r="K215" s="62"/>
      <c r="L215" s="115"/>
      <c r="M215" s="62"/>
      <c r="N215" s="62"/>
      <c r="O215" s="62"/>
      <c r="P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</row>
    <row r="216" spans="1:55" thickBot="1" x14ac:dyDescent="0.3">
      <c r="A216" s="114"/>
      <c r="B216" s="114"/>
      <c r="C216" s="114"/>
      <c r="D216" s="106"/>
      <c r="E216" s="62"/>
      <c r="F216" s="115"/>
      <c r="G216" s="62"/>
      <c r="H216" s="62"/>
      <c r="I216" s="62"/>
      <c r="J216" s="115"/>
      <c r="K216" s="62"/>
      <c r="L216" s="115"/>
      <c r="M216" s="62"/>
      <c r="N216" s="62"/>
      <c r="O216" s="62"/>
      <c r="P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</row>
    <row r="217" spans="1:55" thickBot="1" x14ac:dyDescent="0.3">
      <c r="A217" s="114"/>
      <c r="B217" s="114"/>
      <c r="C217" s="114"/>
      <c r="D217" s="106"/>
      <c r="E217" s="62"/>
      <c r="F217" s="115"/>
      <c r="G217" s="62"/>
      <c r="H217" s="62"/>
      <c r="I217" s="62"/>
      <c r="J217" s="115"/>
      <c r="K217" s="62"/>
      <c r="L217" s="247"/>
      <c r="M217" s="62"/>
      <c r="N217" s="62"/>
      <c r="O217" s="62"/>
      <c r="P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</row>
    <row r="218" spans="1:55" thickBot="1" x14ac:dyDescent="0.3">
      <c r="A218" s="114"/>
      <c r="B218" s="114"/>
      <c r="C218" s="114"/>
      <c r="D218" s="106"/>
      <c r="E218" s="62"/>
      <c r="F218" s="115"/>
      <c r="G218" s="62"/>
      <c r="H218" s="62"/>
      <c r="I218" s="62"/>
      <c r="J218" s="115"/>
      <c r="K218" s="62"/>
      <c r="L218" s="247"/>
      <c r="M218" s="62"/>
      <c r="N218" s="62"/>
      <c r="O218" s="62"/>
      <c r="P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</row>
    <row r="219" spans="1:55" thickBot="1" x14ac:dyDescent="0.3">
      <c r="A219" s="114"/>
      <c r="B219" s="114"/>
      <c r="C219" s="114"/>
      <c r="D219" s="114"/>
      <c r="E219" s="114"/>
      <c r="F219" s="247"/>
      <c r="G219" s="114"/>
      <c r="H219" s="114"/>
      <c r="I219" s="114"/>
      <c r="J219" s="247"/>
      <c r="K219" s="114"/>
      <c r="L219" s="247"/>
      <c r="M219" s="62"/>
      <c r="N219" s="62"/>
      <c r="O219" s="62"/>
      <c r="P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</row>
    <row r="220" spans="1:55" thickBot="1" x14ac:dyDescent="0.3">
      <c r="A220" s="114"/>
      <c r="B220" s="114"/>
      <c r="C220" s="114"/>
      <c r="D220" s="114"/>
      <c r="E220" s="114"/>
      <c r="F220" s="247"/>
      <c r="G220" s="114"/>
      <c r="H220" s="114"/>
      <c r="I220" s="114"/>
      <c r="J220" s="247"/>
      <c r="K220" s="114"/>
      <c r="L220" s="247"/>
      <c r="M220" s="62"/>
      <c r="N220" s="62"/>
      <c r="O220" s="62"/>
      <c r="P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</row>
    <row r="221" spans="1:55" thickBot="1" x14ac:dyDescent="0.3">
      <c r="A221" s="114"/>
      <c r="B221" s="114"/>
      <c r="C221" s="114"/>
      <c r="D221" s="106"/>
      <c r="E221" s="114"/>
      <c r="F221" s="247"/>
      <c r="G221" s="114"/>
      <c r="H221" s="114"/>
      <c r="I221" s="114"/>
      <c r="J221" s="247"/>
      <c r="K221" s="114"/>
      <c r="L221" s="247"/>
      <c r="M221" s="62"/>
      <c r="N221" s="62"/>
      <c r="O221" s="62"/>
      <c r="P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</row>
    <row r="222" spans="1:55" thickBot="1" x14ac:dyDescent="0.3">
      <c r="A222" s="114"/>
      <c r="B222" s="114"/>
      <c r="C222" s="114"/>
      <c r="D222" s="106"/>
      <c r="E222" s="114"/>
      <c r="F222" s="247"/>
      <c r="G222" s="114"/>
      <c r="H222" s="114"/>
      <c r="I222" s="114"/>
      <c r="J222" s="247"/>
      <c r="K222" s="114"/>
      <c r="L222" s="247"/>
      <c r="M222" s="62"/>
      <c r="N222" s="62"/>
      <c r="O222" s="62"/>
      <c r="P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</row>
    <row r="223" spans="1:55" thickBot="1" x14ac:dyDescent="0.3">
      <c r="A223" s="114"/>
      <c r="B223" s="114"/>
      <c r="C223" s="114"/>
      <c r="D223" s="106"/>
      <c r="E223" s="114"/>
      <c r="F223" s="247"/>
      <c r="G223" s="114"/>
      <c r="H223" s="114"/>
      <c r="I223" s="114"/>
      <c r="J223" s="247"/>
      <c r="K223" s="114"/>
      <c r="L223" s="247"/>
      <c r="M223" s="62"/>
      <c r="N223" s="62"/>
      <c r="O223" s="62"/>
      <c r="P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</row>
    <row r="224" spans="1:55" thickBot="1" x14ac:dyDescent="0.3">
      <c r="A224" s="62"/>
      <c r="B224" s="62"/>
      <c r="C224" s="62"/>
      <c r="D224" s="106"/>
      <c r="E224" s="62"/>
      <c r="F224" s="115"/>
      <c r="G224" s="62"/>
      <c r="H224" s="62"/>
      <c r="I224" s="62"/>
      <c r="J224" s="115"/>
      <c r="K224" s="62"/>
      <c r="L224" s="115"/>
      <c r="M224" s="62"/>
      <c r="N224" s="62"/>
      <c r="O224" s="62"/>
      <c r="P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</row>
    <row r="225" spans="1:16" thickBot="1" x14ac:dyDescent="0.3">
      <c r="A225" s="62"/>
      <c r="B225" s="62"/>
      <c r="C225" s="62"/>
      <c r="D225" s="106"/>
      <c r="E225" s="62"/>
      <c r="F225" s="115"/>
      <c r="G225" s="62"/>
      <c r="H225" s="62"/>
      <c r="I225" s="62"/>
      <c r="J225" s="115"/>
      <c r="K225" s="62"/>
      <c r="L225" s="115"/>
      <c r="M225" s="62"/>
      <c r="N225" s="62"/>
      <c r="O225" s="62"/>
      <c r="P225" s="62"/>
    </row>
    <row r="226" spans="1:16" thickBot="1" x14ac:dyDescent="0.3">
      <c r="A226" s="62"/>
      <c r="B226" s="62"/>
      <c r="C226" s="62"/>
      <c r="D226" s="106"/>
      <c r="E226" s="62"/>
      <c r="F226" s="115"/>
      <c r="G226" s="62"/>
      <c r="H226" s="62"/>
      <c r="I226" s="62"/>
      <c r="J226" s="115"/>
      <c r="K226" s="62"/>
      <c r="L226" s="115"/>
      <c r="M226" s="62"/>
      <c r="N226" s="62"/>
      <c r="O226" s="62"/>
      <c r="P226" s="62"/>
    </row>
    <row r="227" spans="1:16" thickBot="1" x14ac:dyDescent="0.3">
      <c r="A227" s="62"/>
      <c r="B227" s="62"/>
      <c r="C227" s="62"/>
      <c r="D227" s="106"/>
      <c r="E227" s="62"/>
      <c r="F227" s="115"/>
      <c r="G227" s="62"/>
      <c r="H227" s="62"/>
      <c r="I227" s="62"/>
      <c r="J227" s="115"/>
      <c r="K227" s="62"/>
      <c r="L227" s="115"/>
      <c r="M227" s="62"/>
      <c r="N227" s="62"/>
      <c r="O227" s="62"/>
      <c r="P227" s="62"/>
    </row>
    <row r="228" spans="1:16" thickBot="1" x14ac:dyDescent="0.3">
      <c r="A228" s="62"/>
      <c r="B228" s="62"/>
      <c r="C228" s="62"/>
      <c r="D228" s="106"/>
      <c r="E228" s="62"/>
      <c r="F228" s="115"/>
      <c r="G228" s="62"/>
      <c r="H228" s="62"/>
      <c r="I228" s="62"/>
      <c r="J228" s="115"/>
      <c r="K228" s="62"/>
      <c r="L228" s="115"/>
      <c r="M228" s="62"/>
      <c r="N228" s="62"/>
      <c r="O228" s="62"/>
      <c r="P228" s="62"/>
    </row>
    <row r="229" spans="1:16" thickBot="1" x14ac:dyDescent="0.3">
      <c r="A229" s="62"/>
      <c r="B229" s="62"/>
      <c r="C229" s="62"/>
      <c r="D229" s="106"/>
      <c r="E229" s="62"/>
      <c r="F229" s="115"/>
      <c r="G229" s="62"/>
      <c r="H229" s="62"/>
      <c r="I229" s="62"/>
      <c r="J229" s="115"/>
      <c r="K229" s="62"/>
      <c r="L229" s="115"/>
      <c r="M229" s="62"/>
      <c r="N229" s="62"/>
      <c r="O229" s="62"/>
      <c r="P229" s="62"/>
    </row>
    <row r="230" spans="1:16" thickBot="1" x14ac:dyDescent="0.3">
      <c r="A230" s="62"/>
      <c r="B230" s="62"/>
      <c r="C230" s="62"/>
      <c r="D230" s="106"/>
      <c r="E230" s="62"/>
      <c r="F230" s="115"/>
      <c r="G230" s="62"/>
      <c r="H230" s="62"/>
      <c r="I230" s="62"/>
      <c r="J230" s="115"/>
      <c r="K230" s="62"/>
      <c r="L230" s="115"/>
      <c r="M230" s="62"/>
      <c r="N230" s="62"/>
      <c r="O230" s="62"/>
      <c r="P230" s="62"/>
    </row>
    <row r="231" spans="1:16" thickBot="1" x14ac:dyDescent="0.3">
      <c r="A231" s="62"/>
      <c r="B231" s="62"/>
      <c r="C231" s="62"/>
      <c r="D231" s="106"/>
      <c r="E231" s="62"/>
      <c r="F231" s="115"/>
      <c r="G231" s="62"/>
      <c r="H231" s="62"/>
      <c r="I231" s="62"/>
      <c r="J231" s="115"/>
      <c r="K231" s="62"/>
      <c r="L231" s="115"/>
      <c r="M231" s="62"/>
      <c r="N231" s="62"/>
      <c r="O231" s="62"/>
      <c r="P231" s="62"/>
    </row>
    <row r="232" spans="1:16" thickBot="1" x14ac:dyDescent="0.3">
      <c r="A232" s="62"/>
      <c r="B232" s="62"/>
      <c r="C232" s="62"/>
      <c r="D232" s="106"/>
      <c r="E232" s="62"/>
      <c r="F232" s="115"/>
      <c r="G232" s="62"/>
      <c r="H232" s="62"/>
      <c r="I232" s="62"/>
      <c r="J232" s="115"/>
      <c r="K232" s="62"/>
      <c r="L232" s="115"/>
      <c r="M232" s="62"/>
      <c r="N232" s="62"/>
      <c r="O232" s="62"/>
      <c r="P232" s="62"/>
    </row>
    <row r="233" spans="1:16" thickBot="1" x14ac:dyDescent="0.3">
      <c r="A233" s="62"/>
      <c r="B233" s="62"/>
      <c r="C233" s="62"/>
      <c r="D233" s="106"/>
      <c r="E233" s="62"/>
      <c r="F233" s="115"/>
      <c r="G233" s="62"/>
      <c r="H233" s="62"/>
      <c r="I233" s="62"/>
      <c r="J233" s="115"/>
      <c r="K233" s="62"/>
      <c r="L233" s="115"/>
      <c r="M233" s="62"/>
      <c r="N233" s="62"/>
      <c r="O233" s="62"/>
      <c r="P233" s="62"/>
    </row>
    <row r="234" spans="1:16" thickBot="1" x14ac:dyDescent="0.3">
      <c r="A234" s="62"/>
      <c r="B234" s="62"/>
      <c r="C234" s="62"/>
      <c r="D234" s="106"/>
      <c r="E234" s="62"/>
      <c r="F234" s="115"/>
      <c r="G234" s="62"/>
      <c r="H234" s="62"/>
      <c r="I234" s="62"/>
      <c r="J234" s="115"/>
      <c r="K234" s="62"/>
      <c r="L234" s="115"/>
      <c r="M234" s="62"/>
      <c r="N234" s="62"/>
      <c r="O234" s="62"/>
      <c r="P234" s="62"/>
    </row>
    <row r="235" spans="1:16" thickBot="1" x14ac:dyDescent="0.3">
      <c r="A235" s="62"/>
      <c r="B235" s="62"/>
      <c r="C235" s="62"/>
      <c r="D235" s="106"/>
      <c r="E235" s="62"/>
      <c r="F235" s="115"/>
      <c r="G235" s="62"/>
      <c r="H235" s="62"/>
      <c r="I235" s="62"/>
      <c r="J235" s="115"/>
      <c r="K235" s="62"/>
      <c r="L235" s="115"/>
      <c r="M235" s="62"/>
      <c r="N235" s="62"/>
      <c r="O235" s="62"/>
      <c r="P235" s="62"/>
    </row>
    <row r="236" spans="1:16" thickBot="1" x14ac:dyDescent="0.3">
      <c r="A236" s="62"/>
      <c r="B236" s="62"/>
      <c r="C236" s="62"/>
      <c r="D236" s="106"/>
      <c r="E236" s="62"/>
      <c r="F236" s="115"/>
      <c r="G236" s="62"/>
      <c r="H236" s="62"/>
      <c r="I236" s="62"/>
      <c r="J236" s="115"/>
      <c r="K236" s="62"/>
      <c r="L236" s="115"/>
      <c r="M236" s="62"/>
      <c r="N236" s="62"/>
      <c r="O236" s="62"/>
      <c r="P236" s="62"/>
    </row>
    <row r="237" spans="1:16" thickBot="1" x14ac:dyDescent="0.3">
      <c r="A237" s="62"/>
      <c r="B237" s="62"/>
      <c r="C237" s="62"/>
      <c r="D237" s="106"/>
      <c r="E237" s="62"/>
      <c r="F237" s="115"/>
      <c r="G237" s="62"/>
      <c r="H237" s="62"/>
      <c r="I237" s="62"/>
      <c r="J237" s="115"/>
      <c r="K237" s="62"/>
      <c r="L237" s="115"/>
      <c r="M237" s="62"/>
      <c r="N237" s="62"/>
      <c r="O237" s="62"/>
      <c r="P237" s="62"/>
    </row>
    <row r="238" spans="1:16" thickBot="1" x14ac:dyDescent="0.3">
      <c r="A238" s="62"/>
      <c r="B238" s="62"/>
      <c r="C238" s="62"/>
      <c r="D238" s="106"/>
      <c r="E238" s="62"/>
      <c r="F238" s="115"/>
      <c r="G238" s="62"/>
      <c r="H238" s="62"/>
      <c r="I238" s="62"/>
      <c r="J238" s="115"/>
      <c r="K238" s="62"/>
      <c r="L238" s="115"/>
      <c r="M238" s="62"/>
      <c r="N238" s="62"/>
      <c r="O238" s="62"/>
      <c r="P238" s="62"/>
    </row>
    <row r="239" spans="1:16" thickBot="1" x14ac:dyDescent="0.3">
      <c r="A239" s="62"/>
      <c r="B239" s="62"/>
      <c r="C239" s="62"/>
      <c r="D239" s="106"/>
      <c r="E239" s="62"/>
      <c r="F239" s="115"/>
      <c r="G239" s="62"/>
      <c r="H239" s="62"/>
      <c r="I239" s="62"/>
      <c r="J239" s="115"/>
      <c r="K239" s="62"/>
      <c r="L239" s="115"/>
      <c r="M239" s="62"/>
      <c r="N239" s="62"/>
      <c r="O239" s="62"/>
      <c r="P239" s="62"/>
    </row>
    <row r="240" spans="1:16" thickBot="1" x14ac:dyDescent="0.3">
      <c r="A240" s="62"/>
      <c r="B240" s="62"/>
      <c r="C240" s="62"/>
      <c r="D240" s="106"/>
      <c r="E240" s="62"/>
      <c r="F240" s="115"/>
      <c r="G240" s="62"/>
      <c r="H240" s="62"/>
      <c r="I240" s="62"/>
      <c r="J240" s="115"/>
      <c r="K240" s="62"/>
      <c r="L240" s="115"/>
      <c r="M240" s="62"/>
      <c r="N240" s="62"/>
      <c r="O240" s="62"/>
      <c r="P240" s="62"/>
    </row>
    <row r="241" spans="1:16" thickBot="1" x14ac:dyDescent="0.3">
      <c r="A241" s="62"/>
      <c r="B241" s="62"/>
      <c r="C241" s="62"/>
      <c r="D241" s="106"/>
      <c r="E241" s="62"/>
      <c r="F241" s="115"/>
      <c r="G241" s="62"/>
      <c r="H241" s="62"/>
      <c r="I241" s="62"/>
      <c r="J241" s="115"/>
      <c r="K241" s="62"/>
      <c r="L241" s="115"/>
      <c r="M241" s="62"/>
      <c r="N241" s="62"/>
      <c r="O241" s="62"/>
      <c r="P241" s="62"/>
    </row>
    <row r="242" spans="1:16" thickBot="1" x14ac:dyDescent="0.3">
      <c r="A242" s="62"/>
      <c r="B242" s="62"/>
      <c r="C242" s="62"/>
      <c r="D242" s="106"/>
      <c r="E242" s="62"/>
      <c r="F242" s="115"/>
      <c r="G242" s="62"/>
      <c r="H242" s="62"/>
      <c r="I242" s="62"/>
      <c r="J242" s="115"/>
      <c r="K242" s="62"/>
      <c r="L242" s="115"/>
      <c r="M242" s="62"/>
      <c r="N242" s="62"/>
      <c r="O242" s="62"/>
      <c r="P242" s="62"/>
    </row>
    <row r="243" spans="1:16" thickBot="1" x14ac:dyDescent="0.3">
      <c r="A243" s="62"/>
      <c r="B243" s="62"/>
      <c r="C243" s="62"/>
      <c r="D243" s="106"/>
      <c r="E243" s="62"/>
      <c r="F243" s="115"/>
      <c r="G243" s="62"/>
      <c r="H243" s="62"/>
      <c r="I243" s="62"/>
      <c r="J243" s="115"/>
      <c r="K243" s="62"/>
      <c r="L243" s="115"/>
      <c r="M243" s="62"/>
      <c r="N243" s="62"/>
      <c r="O243" s="62"/>
      <c r="P243" s="62"/>
    </row>
    <row r="244" spans="1:16" thickBot="1" x14ac:dyDescent="0.3">
      <c r="A244" s="62"/>
      <c r="B244" s="62"/>
      <c r="C244" s="62"/>
      <c r="D244" s="106"/>
      <c r="E244" s="62"/>
      <c r="F244" s="115"/>
      <c r="G244" s="62"/>
      <c r="H244" s="62"/>
      <c r="I244" s="62"/>
      <c r="J244" s="115"/>
      <c r="K244" s="62"/>
      <c r="L244" s="115"/>
      <c r="M244" s="62"/>
      <c r="N244" s="62"/>
      <c r="O244" s="62"/>
      <c r="P244" s="62"/>
    </row>
    <row r="245" spans="1:16" thickBot="1" x14ac:dyDescent="0.3">
      <c r="A245" s="62"/>
      <c r="B245" s="62"/>
      <c r="C245" s="62"/>
      <c r="D245" s="106"/>
      <c r="E245" s="62"/>
      <c r="F245" s="115"/>
      <c r="G245" s="62"/>
      <c r="H245" s="62"/>
      <c r="I245" s="62"/>
      <c r="J245" s="115"/>
      <c r="K245" s="62"/>
      <c r="L245" s="115"/>
      <c r="M245" s="62"/>
      <c r="N245" s="62"/>
      <c r="O245" s="62"/>
      <c r="P245" s="62"/>
    </row>
    <row r="246" spans="1:16" thickBot="1" x14ac:dyDescent="0.3">
      <c r="A246" s="62"/>
      <c r="B246" s="62"/>
      <c r="C246" s="62"/>
      <c r="D246" s="106"/>
      <c r="E246" s="62"/>
      <c r="F246" s="115"/>
      <c r="G246" s="62"/>
      <c r="H246" s="62"/>
      <c r="I246" s="62"/>
      <c r="J246" s="115"/>
      <c r="K246" s="62"/>
      <c r="L246" s="115"/>
      <c r="M246" s="62"/>
      <c r="N246" s="62"/>
      <c r="O246" s="62"/>
      <c r="P246" s="62"/>
    </row>
    <row r="247" spans="1:16" thickBot="1" x14ac:dyDescent="0.3">
      <c r="A247" s="62"/>
      <c r="B247" s="62"/>
      <c r="C247" s="62"/>
      <c r="D247" s="106"/>
      <c r="E247" s="62"/>
      <c r="F247" s="115"/>
      <c r="G247" s="62"/>
      <c r="H247" s="62"/>
      <c r="I247" s="62"/>
      <c r="J247" s="115"/>
      <c r="K247" s="62"/>
      <c r="L247" s="115"/>
      <c r="M247" s="62"/>
      <c r="N247" s="62"/>
      <c r="O247" s="62"/>
      <c r="P247" s="62"/>
    </row>
    <row r="248" spans="1:16" thickBot="1" x14ac:dyDescent="0.3">
      <c r="A248" s="62"/>
      <c r="B248" s="62"/>
      <c r="C248" s="62"/>
      <c r="D248" s="106"/>
      <c r="E248" s="62"/>
      <c r="F248" s="115"/>
      <c r="G248" s="62"/>
      <c r="H248" s="62"/>
      <c r="I248" s="62"/>
      <c r="J248" s="115"/>
      <c r="K248" s="62"/>
      <c r="L248" s="115"/>
      <c r="M248" s="62"/>
      <c r="N248" s="62"/>
      <c r="O248" s="62"/>
      <c r="P248" s="62"/>
    </row>
    <row r="249" spans="1:16" thickBot="1" x14ac:dyDescent="0.3">
      <c r="A249" s="62"/>
      <c r="B249" s="62"/>
      <c r="C249" s="62"/>
      <c r="D249" s="106"/>
      <c r="E249" s="62"/>
      <c r="F249" s="115"/>
      <c r="G249" s="62"/>
      <c r="H249" s="62"/>
      <c r="I249" s="62"/>
      <c r="J249" s="115"/>
      <c r="K249" s="62"/>
      <c r="L249" s="115"/>
      <c r="M249" s="62"/>
      <c r="N249" s="62"/>
      <c r="O249" s="62"/>
      <c r="P249" s="62"/>
    </row>
    <row r="250" spans="1:16" thickBot="1" x14ac:dyDescent="0.3">
      <c r="A250" s="62"/>
      <c r="B250" s="62"/>
      <c r="C250" s="62"/>
      <c r="D250" s="106"/>
      <c r="E250" s="62"/>
      <c r="F250" s="115"/>
      <c r="G250" s="62"/>
      <c r="H250" s="62"/>
      <c r="I250" s="62"/>
      <c r="J250" s="115"/>
      <c r="K250" s="62"/>
      <c r="L250" s="115"/>
      <c r="M250" s="62"/>
      <c r="N250" s="62"/>
      <c r="O250" s="62"/>
      <c r="P250" s="62"/>
    </row>
    <row r="251" spans="1:16" thickBot="1" x14ac:dyDescent="0.3">
      <c r="A251" s="62"/>
      <c r="B251" s="62"/>
      <c r="C251" s="62"/>
      <c r="D251" s="106"/>
      <c r="E251" s="62"/>
      <c r="F251" s="115"/>
      <c r="G251" s="62"/>
      <c r="H251" s="62"/>
      <c r="I251" s="62"/>
      <c r="J251" s="115"/>
      <c r="K251" s="62"/>
      <c r="L251" s="115"/>
      <c r="M251" s="62"/>
      <c r="N251" s="62"/>
      <c r="O251" s="62"/>
      <c r="P251" s="62"/>
    </row>
    <row r="252" spans="1:16" thickBot="1" x14ac:dyDescent="0.3">
      <c r="A252" s="62"/>
      <c r="B252" s="62"/>
      <c r="C252" s="62"/>
      <c r="D252" s="106"/>
      <c r="E252" s="62"/>
      <c r="F252" s="115"/>
      <c r="G252" s="62"/>
      <c r="H252" s="62"/>
      <c r="I252" s="62"/>
      <c r="J252" s="115"/>
      <c r="K252" s="62"/>
      <c r="L252" s="115"/>
      <c r="M252" s="62"/>
      <c r="N252" s="62"/>
      <c r="O252" s="62"/>
      <c r="P252" s="62"/>
    </row>
    <row r="253" spans="1:16" thickBot="1" x14ac:dyDescent="0.3">
      <c r="A253" s="62"/>
      <c r="B253" s="62"/>
      <c r="C253" s="62"/>
      <c r="D253" s="106"/>
      <c r="E253" s="62"/>
      <c r="F253" s="115"/>
      <c r="G253" s="62"/>
      <c r="H253" s="62"/>
      <c r="I253" s="62"/>
      <c r="J253" s="115"/>
      <c r="K253" s="62"/>
      <c r="L253" s="115"/>
      <c r="M253" s="62"/>
      <c r="N253" s="62"/>
      <c r="O253" s="62"/>
      <c r="P253" s="62"/>
    </row>
    <row r="254" spans="1:16" thickBot="1" x14ac:dyDescent="0.3">
      <c r="A254" s="62"/>
      <c r="B254" s="62"/>
      <c r="C254" s="62"/>
      <c r="D254" s="106"/>
      <c r="E254" s="62"/>
      <c r="F254" s="115"/>
      <c r="G254" s="62"/>
      <c r="H254" s="62"/>
      <c r="I254" s="62"/>
      <c r="J254" s="115"/>
      <c r="K254" s="62"/>
      <c r="L254" s="115"/>
      <c r="M254" s="62"/>
      <c r="N254" s="62"/>
      <c r="O254" s="62"/>
      <c r="P254" s="62"/>
    </row>
    <row r="255" spans="1:16" thickBot="1" x14ac:dyDescent="0.3">
      <c r="A255" s="62"/>
      <c r="B255" s="62"/>
      <c r="C255" s="62"/>
      <c r="D255" s="106"/>
      <c r="E255" s="62"/>
      <c r="F255" s="115"/>
      <c r="G255" s="62"/>
      <c r="H255" s="62"/>
      <c r="I255" s="62"/>
      <c r="J255" s="115"/>
      <c r="K255" s="62"/>
      <c r="L255" s="115"/>
      <c r="M255" s="62"/>
      <c r="N255" s="62"/>
      <c r="O255" s="62"/>
      <c r="P255" s="62"/>
    </row>
    <row r="256" spans="1:16" thickBot="1" x14ac:dyDescent="0.3">
      <c r="A256" s="62"/>
      <c r="B256" s="62"/>
      <c r="C256" s="62"/>
      <c r="D256" s="106"/>
      <c r="E256" s="62"/>
      <c r="F256" s="115"/>
      <c r="G256" s="62"/>
      <c r="H256" s="62"/>
      <c r="I256" s="62"/>
      <c r="J256" s="115"/>
      <c r="K256" s="62"/>
      <c r="L256" s="115"/>
      <c r="M256" s="62"/>
      <c r="N256" s="62"/>
      <c r="O256" s="62"/>
      <c r="P256" s="62"/>
    </row>
    <row r="257" spans="1:16" thickBot="1" x14ac:dyDescent="0.3">
      <c r="A257" s="62"/>
      <c r="B257" s="62"/>
      <c r="C257" s="62"/>
      <c r="D257" s="106"/>
      <c r="E257" s="62"/>
      <c r="F257" s="115"/>
      <c r="G257" s="62"/>
      <c r="H257" s="62"/>
      <c r="I257" s="62"/>
      <c r="J257" s="115"/>
      <c r="K257" s="62"/>
      <c r="L257" s="115"/>
      <c r="M257" s="62"/>
      <c r="N257" s="62"/>
      <c r="O257" s="62"/>
      <c r="P257" s="62"/>
    </row>
    <row r="258" spans="1:16" thickBot="1" x14ac:dyDescent="0.3">
      <c r="A258" s="62"/>
      <c r="B258" s="62"/>
      <c r="C258" s="62"/>
      <c r="D258" s="106"/>
      <c r="E258" s="62"/>
      <c r="F258" s="115"/>
      <c r="G258" s="62"/>
      <c r="H258" s="62"/>
      <c r="I258" s="62"/>
      <c r="J258" s="115"/>
      <c r="K258" s="62"/>
      <c r="L258" s="115"/>
      <c r="M258" s="62"/>
      <c r="N258" s="62"/>
      <c r="O258" s="62"/>
      <c r="P258" s="62"/>
    </row>
    <row r="259" spans="1:16" thickBot="1" x14ac:dyDescent="0.3">
      <c r="A259" s="62"/>
      <c r="B259" s="62"/>
      <c r="C259" s="62"/>
      <c r="D259" s="106"/>
      <c r="E259" s="62"/>
      <c r="F259" s="115"/>
      <c r="G259" s="62"/>
      <c r="H259" s="62"/>
      <c r="I259" s="62"/>
      <c r="J259" s="115"/>
      <c r="K259" s="62"/>
      <c r="L259" s="115"/>
      <c r="M259" s="62"/>
      <c r="N259" s="62"/>
      <c r="O259" s="62"/>
      <c r="P259" s="62"/>
    </row>
    <row r="260" spans="1:16" thickBot="1" x14ac:dyDescent="0.3">
      <c r="A260" s="62"/>
      <c r="B260" s="62"/>
      <c r="C260" s="62"/>
      <c r="D260" s="106"/>
      <c r="E260" s="62"/>
      <c r="F260" s="115"/>
      <c r="G260" s="62"/>
      <c r="H260" s="62"/>
      <c r="I260" s="62"/>
      <c r="J260" s="115"/>
      <c r="K260" s="62"/>
      <c r="L260" s="115"/>
      <c r="M260" s="62"/>
      <c r="N260" s="62"/>
      <c r="O260" s="62"/>
      <c r="P260" s="62"/>
    </row>
    <row r="261" spans="1:16" thickBot="1" x14ac:dyDescent="0.3">
      <c r="A261" s="62"/>
      <c r="B261" s="62"/>
      <c r="C261" s="62"/>
      <c r="D261" s="106"/>
      <c r="E261" s="62"/>
      <c r="F261" s="115"/>
      <c r="G261" s="62"/>
      <c r="H261" s="62"/>
      <c r="I261" s="62"/>
      <c r="J261" s="115"/>
      <c r="K261" s="62"/>
      <c r="L261" s="115"/>
      <c r="M261" s="62"/>
      <c r="N261" s="62"/>
      <c r="O261" s="62"/>
      <c r="P261" s="62"/>
    </row>
    <row r="262" spans="1:16" thickBot="1" x14ac:dyDescent="0.3">
      <c r="A262" s="62"/>
      <c r="B262" s="62"/>
      <c r="C262" s="62"/>
      <c r="D262" s="106"/>
      <c r="E262" s="62"/>
      <c r="F262" s="115"/>
      <c r="G262" s="62"/>
      <c r="H262" s="62"/>
      <c r="I262" s="62"/>
      <c r="J262" s="115"/>
      <c r="K262" s="62"/>
      <c r="L262" s="115"/>
      <c r="M262" s="62"/>
      <c r="N262" s="62"/>
      <c r="O262" s="62"/>
      <c r="P262" s="62"/>
    </row>
    <row r="263" spans="1:16" thickBot="1" x14ac:dyDescent="0.3">
      <c r="A263" s="62"/>
      <c r="B263" s="62"/>
      <c r="C263" s="62"/>
      <c r="D263" s="106"/>
      <c r="E263" s="62"/>
      <c r="F263" s="115"/>
      <c r="G263" s="62"/>
      <c r="H263" s="62"/>
      <c r="I263" s="62"/>
      <c r="J263" s="115"/>
      <c r="K263" s="62"/>
      <c r="L263" s="115"/>
      <c r="M263" s="62"/>
      <c r="N263" s="62"/>
      <c r="O263" s="62"/>
      <c r="P263" s="62"/>
    </row>
    <row r="264" spans="1:16" thickBot="1" x14ac:dyDescent="0.3">
      <c r="A264" s="62"/>
      <c r="B264" s="62"/>
      <c r="C264" s="62"/>
      <c r="D264" s="106"/>
      <c r="E264" s="62"/>
      <c r="F264" s="115"/>
      <c r="G264" s="62"/>
      <c r="H264" s="62"/>
      <c r="I264" s="62"/>
      <c r="J264" s="115"/>
      <c r="K264" s="62"/>
      <c r="L264" s="115"/>
      <c r="M264" s="62"/>
      <c r="N264" s="62"/>
      <c r="O264" s="62"/>
      <c r="P264" s="62"/>
    </row>
    <row r="265" spans="1:16" thickBot="1" x14ac:dyDescent="0.3">
      <c r="A265" s="62"/>
      <c r="B265" s="62"/>
      <c r="C265" s="62"/>
      <c r="D265" s="106"/>
      <c r="E265" s="62"/>
      <c r="F265" s="115"/>
      <c r="G265" s="62"/>
      <c r="H265" s="62"/>
      <c r="I265" s="62"/>
      <c r="J265" s="115"/>
      <c r="K265" s="62"/>
      <c r="L265" s="115"/>
      <c r="M265" s="62"/>
      <c r="N265" s="62"/>
      <c r="O265" s="62"/>
      <c r="P265" s="62"/>
    </row>
    <row r="266" spans="1:16" thickBot="1" x14ac:dyDescent="0.3">
      <c r="A266" s="62"/>
      <c r="B266" s="62"/>
      <c r="C266" s="62"/>
      <c r="D266" s="106"/>
      <c r="E266" s="62"/>
      <c r="F266" s="115"/>
      <c r="G266" s="62"/>
      <c r="H266" s="62"/>
      <c r="I266" s="62"/>
      <c r="J266" s="115"/>
      <c r="K266" s="62"/>
      <c r="L266" s="115"/>
      <c r="M266" s="62"/>
      <c r="N266" s="62"/>
      <c r="O266" s="62"/>
      <c r="P266" s="62"/>
    </row>
    <row r="267" spans="1:16" thickBot="1" x14ac:dyDescent="0.3">
      <c r="A267" s="62"/>
      <c r="B267" s="62"/>
      <c r="C267" s="62"/>
      <c r="D267" s="106"/>
      <c r="E267" s="62"/>
      <c r="F267" s="115"/>
      <c r="G267" s="62"/>
      <c r="H267" s="62"/>
      <c r="I267" s="62"/>
      <c r="J267" s="115"/>
      <c r="K267" s="62"/>
      <c r="L267" s="115"/>
      <c r="M267" s="62"/>
      <c r="N267" s="62"/>
      <c r="O267" s="62"/>
      <c r="P267" s="62"/>
    </row>
    <row r="268" spans="1:16" thickBot="1" x14ac:dyDescent="0.3">
      <c r="A268" s="62"/>
      <c r="B268" s="62"/>
      <c r="C268" s="62"/>
      <c r="D268" s="106"/>
      <c r="E268" s="62"/>
      <c r="F268" s="115"/>
      <c r="G268" s="62"/>
      <c r="H268" s="62"/>
      <c r="I268" s="62"/>
      <c r="J268" s="115"/>
      <c r="K268" s="62"/>
      <c r="L268" s="115"/>
      <c r="M268" s="62"/>
      <c r="N268" s="62"/>
      <c r="O268" s="62"/>
      <c r="P268" s="62"/>
    </row>
    <row r="269" spans="1:16" thickBot="1" x14ac:dyDescent="0.3">
      <c r="A269" s="62"/>
      <c r="B269" s="62"/>
      <c r="C269" s="62"/>
      <c r="D269" s="106"/>
      <c r="E269" s="62"/>
      <c r="F269" s="115"/>
      <c r="G269" s="62"/>
      <c r="H269" s="62"/>
      <c r="I269" s="62"/>
      <c r="J269" s="115"/>
      <c r="K269" s="62"/>
      <c r="L269" s="115"/>
      <c r="M269" s="62"/>
      <c r="N269" s="62"/>
      <c r="O269" s="62"/>
      <c r="P269" s="62"/>
    </row>
    <row r="270" spans="1:16" thickBot="1" x14ac:dyDescent="0.3">
      <c r="A270" s="62"/>
      <c r="B270" s="62"/>
      <c r="C270" s="62"/>
      <c r="D270" s="106"/>
      <c r="E270" s="62"/>
      <c r="F270" s="115"/>
      <c r="G270" s="62"/>
      <c r="H270" s="62"/>
      <c r="I270" s="62"/>
      <c r="J270" s="115"/>
      <c r="K270" s="62"/>
      <c r="L270" s="115"/>
      <c r="M270" s="62"/>
      <c r="N270" s="62"/>
      <c r="O270" s="62"/>
      <c r="P270" s="62"/>
    </row>
    <row r="271" spans="1:16" thickBot="1" x14ac:dyDescent="0.3">
      <c r="A271" s="62"/>
      <c r="B271" s="62"/>
      <c r="C271" s="62"/>
      <c r="D271" s="106"/>
      <c r="E271" s="62"/>
      <c r="F271" s="115"/>
      <c r="G271" s="62"/>
      <c r="H271" s="62"/>
      <c r="I271" s="62"/>
      <c r="J271" s="115"/>
      <c r="K271" s="62"/>
      <c r="L271" s="115"/>
      <c r="M271" s="62"/>
      <c r="N271" s="62"/>
      <c r="O271" s="62"/>
      <c r="P271" s="62"/>
    </row>
    <row r="272" spans="1:16" thickBot="1" x14ac:dyDescent="0.3">
      <c r="A272" s="62"/>
      <c r="B272" s="62"/>
      <c r="C272" s="62"/>
      <c r="D272" s="106"/>
      <c r="E272" s="62"/>
      <c r="F272" s="115"/>
      <c r="G272" s="62"/>
      <c r="H272" s="62"/>
      <c r="I272" s="62"/>
      <c r="J272" s="115"/>
      <c r="K272" s="62"/>
      <c r="L272" s="115"/>
      <c r="M272" s="62"/>
      <c r="N272" s="62"/>
      <c r="O272" s="62"/>
      <c r="P272" s="62"/>
    </row>
    <row r="273" spans="1:16" thickBot="1" x14ac:dyDescent="0.3">
      <c r="A273" s="62"/>
      <c r="B273" s="62"/>
      <c r="C273" s="62"/>
      <c r="D273" s="106"/>
      <c r="E273" s="62"/>
      <c r="F273" s="115"/>
      <c r="G273" s="62"/>
      <c r="H273" s="62"/>
      <c r="I273" s="62"/>
      <c r="J273" s="115"/>
      <c r="K273" s="62"/>
      <c r="L273" s="115"/>
      <c r="M273" s="62"/>
      <c r="N273" s="62"/>
      <c r="O273" s="62"/>
      <c r="P273" s="62"/>
    </row>
    <row r="274" spans="1:16" thickBot="1" x14ac:dyDescent="0.3">
      <c r="A274" s="62"/>
      <c r="B274" s="62"/>
      <c r="C274" s="62"/>
      <c r="D274" s="106"/>
      <c r="E274" s="62"/>
      <c r="F274" s="115"/>
      <c r="G274" s="62"/>
      <c r="H274" s="62"/>
      <c r="I274" s="62"/>
      <c r="J274" s="115"/>
      <c r="K274" s="62"/>
      <c r="L274" s="115"/>
      <c r="M274" s="62"/>
      <c r="N274" s="62"/>
      <c r="O274" s="62"/>
      <c r="P274" s="62"/>
    </row>
    <row r="275" spans="1:16" thickBot="1" x14ac:dyDescent="0.3">
      <c r="A275" s="62"/>
      <c r="B275" s="62"/>
      <c r="C275" s="62"/>
      <c r="D275" s="106"/>
      <c r="E275" s="62"/>
      <c r="F275" s="115"/>
      <c r="G275" s="62"/>
      <c r="H275" s="62"/>
      <c r="I275" s="62"/>
      <c r="J275" s="115"/>
      <c r="K275" s="62"/>
      <c r="L275" s="115"/>
      <c r="M275" s="62"/>
      <c r="N275" s="62"/>
      <c r="O275" s="62"/>
      <c r="P275" s="62"/>
    </row>
    <row r="276" spans="1:16" thickBot="1" x14ac:dyDescent="0.3">
      <c r="A276" s="62"/>
      <c r="B276" s="62"/>
      <c r="C276" s="62"/>
      <c r="D276" s="106"/>
      <c r="E276" s="62"/>
      <c r="F276" s="115"/>
      <c r="G276" s="62"/>
      <c r="H276" s="62"/>
      <c r="I276" s="62"/>
      <c r="J276" s="115"/>
      <c r="K276" s="62"/>
      <c r="L276" s="115"/>
      <c r="M276" s="62"/>
      <c r="N276" s="62"/>
      <c r="O276" s="62"/>
      <c r="P276" s="62"/>
    </row>
    <row r="277" spans="1:16" thickBot="1" x14ac:dyDescent="0.3">
      <c r="A277" s="62"/>
      <c r="B277" s="62"/>
      <c r="C277" s="62"/>
      <c r="D277" s="106"/>
      <c r="E277" s="62"/>
      <c r="F277" s="115"/>
      <c r="G277" s="62"/>
      <c r="H277" s="62"/>
      <c r="I277" s="62"/>
      <c r="J277" s="115"/>
      <c r="K277" s="62"/>
      <c r="L277" s="115"/>
      <c r="M277" s="62"/>
      <c r="N277" s="62"/>
      <c r="O277" s="62"/>
      <c r="P277" s="62"/>
    </row>
    <row r="278" spans="1:16" thickBot="1" x14ac:dyDescent="0.3">
      <c r="A278" s="62"/>
      <c r="B278" s="62"/>
      <c r="C278" s="62"/>
      <c r="D278" s="106"/>
      <c r="E278" s="62"/>
      <c r="F278" s="115"/>
      <c r="G278" s="62"/>
      <c r="H278" s="62"/>
      <c r="I278" s="62"/>
      <c r="J278" s="115"/>
      <c r="K278" s="62"/>
      <c r="L278" s="115"/>
      <c r="M278" s="62"/>
      <c r="N278" s="62"/>
      <c r="O278" s="62"/>
      <c r="P278" s="62"/>
    </row>
    <row r="279" spans="1:16" thickBot="1" x14ac:dyDescent="0.3">
      <c r="A279" s="62"/>
      <c r="B279" s="62"/>
      <c r="C279" s="62"/>
      <c r="D279" s="106"/>
      <c r="E279" s="62"/>
      <c r="F279" s="115"/>
      <c r="G279" s="62"/>
      <c r="H279" s="62"/>
      <c r="I279" s="62"/>
      <c r="J279" s="115"/>
      <c r="K279" s="62"/>
      <c r="L279" s="115"/>
      <c r="M279" s="62"/>
      <c r="N279" s="62"/>
      <c r="O279" s="62"/>
      <c r="P279" s="62"/>
    </row>
    <row r="280" spans="1:16" thickBot="1" x14ac:dyDescent="0.3">
      <c r="A280" s="62"/>
      <c r="B280" s="62"/>
      <c r="C280" s="62"/>
      <c r="D280" s="106"/>
      <c r="E280" s="62"/>
      <c r="F280" s="115"/>
      <c r="G280" s="62"/>
      <c r="H280" s="62"/>
      <c r="I280" s="62"/>
      <c r="J280" s="115"/>
      <c r="K280" s="62"/>
      <c r="L280" s="115"/>
      <c r="M280" s="62"/>
      <c r="N280" s="62"/>
      <c r="O280" s="62"/>
      <c r="P280" s="62"/>
    </row>
    <row r="281" spans="1:16" thickBot="1" x14ac:dyDescent="0.3">
      <c r="A281" s="62"/>
      <c r="B281" s="62"/>
      <c r="C281" s="62"/>
      <c r="D281" s="106"/>
      <c r="E281" s="62"/>
      <c r="F281" s="115"/>
      <c r="G281" s="62"/>
      <c r="H281" s="62"/>
      <c r="I281" s="62"/>
      <c r="J281" s="115"/>
      <c r="K281" s="62"/>
      <c r="L281" s="115"/>
      <c r="M281" s="62"/>
      <c r="N281" s="62"/>
      <c r="O281" s="62"/>
      <c r="P281" s="62"/>
    </row>
    <row r="282" spans="1:16" thickBot="1" x14ac:dyDescent="0.3">
      <c r="A282" s="62"/>
      <c r="B282" s="62"/>
      <c r="C282" s="62"/>
      <c r="D282" s="106"/>
      <c r="E282" s="62"/>
      <c r="F282" s="115"/>
      <c r="G282" s="62"/>
      <c r="H282" s="62"/>
      <c r="I282" s="62"/>
      <c r="J282" s="115"/>
      <c r="K282" s="62"/>
      <c r="L282" s="115"/>
      <c r="M282" s="62"/>
      <c r="N282" s="62"/>
      <c r="O282" s="62"/>
      <c r="P282" s="62"/>
    </row>
    <row r="283" spans="1:16" thickBot="1" x14ac:dyDescent="0.3">
      <c r="A283" s="62"/>
      <c r="B283" s="62"/>
      <c r="C283" s="62"/>
      <c r="D283" s="106"/>
      <c r="E283" s="62"/>
      <c r="F283" s="115"/>
      <c r="G283" s="62"/>
      <c r="H283" s="62"/>
      <c r="I283" s="62"/>
      <c r="J283" s="115"/>
      <c r="K283" s="62"/>
      <c r="L283" s="115"/>
      <c r="M283" s="62"/>
      <c r="N283" s="62"/>
      <c r="O283" s="62"/>
      <c r="P283" s="62"/>
    </row>
    <row r="284" spans="1:16" thickBot="1" x14ac:dyDescent="0.3">
      <c r="A284" s="62"/>
      <c r="B284" s="62"/>
      <c r="C284" s="62"/>
      <c r="D284" s="106"/>
      <c r="E284" s="62"/>
      <c r="F284" s="115"/>
      <c r="G284" s="62"/>
      <c r="H284" s="62"/>
      <c r="I284" s="62"/>
      <c r="J284" s="115"/>
      <c r="K284" s="62"/>
      <c r="L284" s="115"/>
      <c r="M284" s="62"/>
      <c r="N284" s="62"/>
      <c r="O284" s="62"/>
      <c r="P284" s="62"/>
    </row>
    <row r="285" spans="1:16" thickBot="1" x14ac:dyDescent="0.3">
      <c r="A285" s="62"/>
      <c r="B285" s="62"/>
      <c r="C285" s="62"/>
      <c r="D285" s="106"/>
      <c r="E285" s="62"/>
      <c r="F285" s="115"/>
      <c r="G285" s="62"/>
      <c r="H285" s="62"/>
      <c r="I285" s="62"/>
      <c r="J285" s="115"/>
      <c r="K285" s="62"/>
      <c r="L285" s="115"/>
      <c r="M285" s="62"/>
      <c r="N285" s="62"/>
      <c r="O285" s="62"/>
      <c r="P285" s="62"/>
    </row>
    <row r="286" spans="1:16" thickBot="1" x14ac:dyDescent="0.3">
      <c r="A286" s="62"/>
      <c r="B286" s="62"/>
      <c r="C286" s="62"/>
      <c r="D286" s="106"/>
      <c r="E286" s="62"/>
      <c r="F286" s="115"/>
      <c r="G286" s="62"/>
      <c r="H286" s="62"/>
      <c r="I286" s="62"/>
      <c r="J286" s="115"/>
      <c r="K286" s="62"/>
      <c r="L286" s="115"/>
      <c r="M286" s="62"/>
      <c r="N286" s="62"/>
      <c r="O286" s="62"/>
      <c r="P286" s="62"/>
    </row>
    <row r="287" spans="1:16" thickBot="1" x14ac:dyDescent="0.3">
      <c r="A287" s="62"/>
      <c r="B287" s="62"/>
      <c r="C287" s="62"/>
      <c r="D287" s="106"/>
      <c r="E287" s="62"/>
      <c r="F287" s="115"/>
      <c r="G287" s="62"/>
      <c r="H287" s="62"/>
      <c r="I287" s="62"/>
      <c r="J287" s="115"/>
      <c r="K287" s="62"/>
      <c r="L287" s="115"/>
      <c r="M287" s="62"/>
      <c r="N287" s="62"/>
      <c r="O287" s="62"/>
      <c r="P287" s="62"/>
    </row>
    <row r="288" spans="1:16" thickBot="1" x14ac:dyDescent="0.3">
      <c r="A288" s="62"/>
      <c r="B288" s="62"/>
      <c r="C288" s="62"/>
      <c r="D288" s="106"/>
      <c r="E288" s="62"/>
      <c r="F288" s="115"/>
      <c r="G288" s="62"/>
      <c r="H288" s="62"/>
      <c r="I288" s="62"/>
      <c r="J288" s="115"/>
      <c r="K288" s="62"/>
      <c r="L288" s="115"/>
      <c r="M288" s="62"/>
      <c r="N288" s="62"/>
      <c r="O288" s="62"/>
      <c r="P288" s="62"/>
    </row>
    <row r="289" spans="1:16" thickBot="1" x14ac:dyDescent="0.3">
      <c r="A289" s="62"/>
      <c r="B289" s="62"/>
      <c r="C289" s="62"/>
      <c r="D289" s="106"/>
      <c r="E289" s="62"/>
      <c r="F289" s="115"/>
      <c r="G289" s="62"/>
      <c r="H289" s="62"/>
      <c r="I289" s="62"/>
      <c r="J289" s="115"/>
      <c r="K289" s="62"/>
      <c r="L289" s="115"/>
      <c r="M289" s="62"/>
      <c r="N289" s="62"/>
      <c r="O289" s="62"/>
      <c r="P289" s="62"/>
    </row>
    <row r="290" spans="1:16" thickBot="1" x14ac:dyDescent="0.3">
      <c r="A290" s="62"/>
      <c r="B290" s="62"/>
      <c r="C290" s="62"/>
      <c r="D290" s="106"/>
      <c r="E290" s="62"/>
      <c r="F290" s="115"/>
      <c r="G290" s="62"/>
      <c r="H290" s="62"/>
      <c r="I290" s="62"/>
      <c r="J290" s="115"/>
      <c r="K290" s="62"/>
      <c r="L290" s="115"/>
      <c r="M290" s="62"/>
      <c r="N290" s="62"/>
      <c r="O290" s="62"/>
      <c r="P290" s="62"/>
    </row>
    <row r="291" spans="1:16" thickBot="1" x14ac:dyDescent="0.3">
      <c r="A291" s="62"/>
      <c r="B291" s="62"/>
      <c r="C291" s="62"/>
      <c r="D291" s="106"/>
      <c r="E291" s="62"/>
      <c r="F291" s="115"/>
      <c r="G291" s="62"/>
      <c r="H291" s="62"/>
      <c r="I291" s="62"/>
      <c r="J291" s="115"/>
      <c r="K291" s="62"/>
      <c r="L291" s="115"/>
      <c r="M291" s="62"/>
      <c r="N291" s="62"/>
      <c r="O291" s="62"/>
      <c r="P291" s="62"/>
    </row>
    <row r="292" spans="1:16" thickBot="1" x14ac:dyDescent="0.3">
      <c r="A292" s="62"/>
      <c r="B292" s="62"/>
      <c r="C292" s="62"/>
      <c r="D292" s="106"/>
      <c r="E292" s="62"/>
      <c r="F292" s="115"/>
      <c r="G292" s="62"/>
      <c r="H292" s="62"/>
      <c r="I292" s="62"/>
      <c r="J292" s="115"/>
      <c r="K292" s="62"/>
      <c r="L292" s="115"/>
      <c r="M292" s="62"/>
      <c r="N292" s="62"/>
      <c r="O292" s="62"/>
      <c r="P292" s="62"/>
    </row>
    <row r="293" spans="1:16" thickBot="1" x14ac:dyDescent="0.3">
      <c r="A293" s="62"/>
      <c r="B293" s="62"/>
      <c r="C293" s="62"/>
      <c r="D293" s="106"/>
      <c r="E293" s="62"/>
      <c r="F293" s="115"/>
      <c r="G293" s="62"/>
      <c r="H293" s="62"/>
      <c r="I293" s="62"/>
      <c r="J293" s="115"/>
      <c r="K293" s="62"/>
      <c r="L293" s="115"/>
      <c r="M293" s="62"/>
      <c r="N293" s="62"/>
      <c r="O293" s="62"/>
      <c r="P293" s="62"/>
    </row>
  </sheetData>
  <mergeCells count="35">
    <mergeCell ref="S168:W168"/>
    <mergeCell ref="A203:P203"/>
    <mergeCell ref="A124:P124"/>
    <mergeCell ref="L8:O8"/>
    <mergeCell ref="G3:I3"/>
    <mergeCell ref="G17:J17"/>
    <mergeCell ref="G24:J24"/>
    <mergeCell ref="A214:P214"/>
    <mergeCell ref="L16:O16"/>
    <mergeCell ref="F102:H102"/>
    <mergeCell ref="F93:H93"/>
    <mergeCell ref="B99:D99"/>
    <mergeCell ref="A30:P30"/>
    <mergeCell ref="A91:P91"/>
    <mergeCell ref="A71:P71"/>
    <mergeCell ref="A186:P186"/>
    <mergeCell ref="A184:P184"/>
    <mergeCell ref="A50:A56"/>
    <mergeCell ref="A154:P154"/>
    <mergeCell ref="K114:L114"/>
    <mergeCell ref="B205:M205"/>
    <mergeCell ref="D206:F206"/>
    <mergeCell ref="G206:M206"/>
    <mergeCell ref="G2:J2"/>
    <mergeCell ref="L2:O2"/>
    <mergeCell ref="L3:O4"/>
    <mergeCell ref="G12:J12"/>
    <mergeCell ref="A58:P58"/>
    <mergeCell ref="B49:I49"/>
    <mergeCell ref="B23:E24"/>
    <mergeCell ref="G8:J8"/>
    <mergeCell ref="G20:J20"/>
    <mergeCell ref="G22:J22"/>
    <mergeCell ref="B21:E21"/>
    <mergeCell ref="L12:O12"/>
  </mergeCells>
  <hyperlinks>
    <hyperlink ref="T170" r:id="rId1" xr:uid="{6A86A144-94C8-4D7B-AF3D-1D2355923387}"/>
    <hyperlink ref="T169" r:id="rId2" tooltip="Persistent link using digital object identifier" xr:uid="{B3129D3C-52D4-4940-9F73-F0F7F326497B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EYE_2">
                <anchor moveWithCells="1" sizeWithCells="1">
                  <from>
                    <xdr:col>10</xdr:col>
                    <xdr:colOff>38100</xdr:colOff>
                    <xdr:row>179</xdr:row>
                    <xdr:rowOff>47625</xdr:rowOff>
                  </from>
                  <to>
                    <xdr:col>11</xdr:col>
                    <xdr:colOff>1314450</xdr:colOff>
                    <xdr:row>181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0FF48BB-A37E-487B-B213-9692C9009663}">
          <x14:formula1>
            <xm:f>'D:\Desktop\[Calculo Hornillas CIMPA.xlsm]Mod Program'!#REF!</xm:f>
          </x14:formula1>
          <xm:sqref>D13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Cimpa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2019-08-06T15:54:57Z</dcterms:modified>
</cp:coreProperties>
</file>