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44476765-39C8-46CF-B2E7-3DD0E059EB82}" xr6:coauthVersionLast="44" xr6:coauthVersionMax="44" xr10:uidLastSave="{00000000-0000-0000-0000-000000000000}"/>
  <bookViews>
    <workbookView xWindow="-120" yWindow="-120" windowWidth="29040" windowHeight="17640" activeTab="1" xr2:uid="{00000000-000D-0000-FFFF-FFFF00000000}"/>
  </bookViews>
  <sheets>
    <sheet name="D_Inicial" sheetId="2" r:id="rId1"/>
    <sheet name="D_Energetico_A" sheetId="4" r:id="rId2"/>
    <sheet name="Diseño Economico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13" i="4" l="1"/>
  <c r="X55" i="4"/>
  <c r="X43" i="4"/>
  <c r="F66" i="4"/>
  <c r="G66" i="4"/>
  <c r="H66" i="4"/>
  <c r="I66" i="4"/>
  <c r="E66" i="4"/>
  <c r="X41" i="4"/>
  <c r="F69" i="4"/>
  <c r="G69" i="4"/>
  <c r="H69" i="4"/>
  <c r="I69" i="4"/>
  <c r="E69" i="4"/>
  <c r="I122" i="4" l="1"/>
  <c r="L66" i="4"/>
  <c r="J113" i="4" s="1"/>
  <c r="N95" i="2"/>
  <c r="M95" i="2"/>
  <c r="L95" i="2"/>
  <c r="K95" i="2"/>
  <c r="J95" i="2"/>
  <c r="N83" i="2"/>
  <c r="M83" i="2"/>
  <c r="L83" i="2"/>
  <c r="K83" i="2"/>
  <c r="J83" i="2"/>
  <c r="N82" i="2"/>
  <c r="M82" i="2"/>
  <c r="L82" i="2"/>
  <c r="K82" i="2"/>
  <c r="J82" i="2"/>
  <c r="N81" i="2"/>
  <c r="M81" i="2"/>
  <c r="L81" i="2"/>
  <c r="K81" i="2"/>
  <c r="J81" i="2"/>
  <c r="E122" i="4" l="1"/>
  <c r="F122" i="4"/>
  <c r="G122" i="4"/>
  <c r="H122" i="4"/>
  <c r="I170" i="4"/>
  <c r="I171" i="4"/>
  <c r="I172" i="4"/>
  <c r="I179" i="4"/>
  <c r="I126" i="4"/>
  <c r="I133" i="4"/>
  <c r="I140" i="4" s="1"/>
  <c r="I148" i="4" s="1"/>
  <c r="I134" i="4"/>
  <c r="I149" i="4"/>
  <c r="I74" i="4"/>
  <c r="P80" i="4" s="1"/>
  <c r="I86" i="4"/>
  <c r="I45" i="4"/>
  <c r="I161" i="4" s="1"/>
  <c r="I46" i="4"/>
  <c r="I73" i="4" s="1"/>
  <c r="I47" i="4"/>
  <c r="I58" i="4"/>
  <c r="L69" i="2"/>
  <c r="P68" i="2" s="1"/>
  <c r="P69" i="2" s="1"/>
  <c r="P67" i="2"/>
  <c r="L66" i="2"/>
  <c r="L77" i="2" s="1"/>
  <c r="I87" i="4" l="1"/>
  <c r="I181" i="4"/>
  <c r="P70" i="2"/>
  <c r="L73" i="2" s="1"/>
  <c r="L71" i="2"/>
  <c r="L47" i="2"/>
  <c r="P46" i="2" s="1"/>
  <c r="P47" i="2" s="1"/>
  <c r="P45" i="2"/>
  <c r="L44" i="2"/>
  <c r="L55" i="2" s="1"/>
  <c r="L75" i="2" l="1"/>
  <c r="P48" i="2"/>
  <c r="L51" i="2" s="1"/>
  <c r="L49" i="2"/>
  <c r="L53" i="2" s="1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M11" i="5"/>
  <c r="K32" i="5"/>
  <c r="L6" i="5"/>
  <c r="L11" i="5" s="1"/>
  <c r="L15" i="5" s="1"/>
  <c r="L14" i="5" s="1"/>
  <c r="M38" i="5"/>
  <c r="F6" i="5" l="1"/>
  <c r="F5" i="5"/>
  <c r="F7" i="5" s="1"/>
  <c r="F41" i="5"/>
  <c r="F40" i="5"/>
  <c r="F39" i="5"/>
  <c r="F23" i="5"/>
  <c r="F22" i="5"/>
  <c r="E48" i="5"/>
  <c r="F48" i="5" s="1"/>
  <c r="F46" i="5"/>
  <c r="F38" i="5"/>
  <c r="F36" i="5"/>
  <c r="F37" i="5"/>
  <c r="F27" i="5"/>
  <c r="F28" i="5"/>
  <c r="F29" i="5"/>
  <c r="F30" i="5"/>
  <c r="F31" i="5"/>
  <c r="F32" i="5"/>
  <c r="F33" i="5"/>
  <c r="F34" i="5"/>
  <c r="F35" i="5"/>
  <c r="F47" i="5"/>
  <c r="I31" i="5"/>
  <c r="F10" i="5"/>
  <c r="F11" i="5"/>
  <c r="F12" i="5"/>
  <c r="F13" i="5"/>
  <c r="F14" i="5"/>
  <c r="F15" i="5"/>
  <c r="F16" i="5"/>
  <c r="F17" i="5"/>
  <c r="F18" i="5"/>
  <c r="F19" i="5"/>
  <c r="F20" i="5"/>
  <c r="F21" i="5"/>
  <c r="F24" i="5" l="1"/>
  <c r="F42" i="5"/>
  <c r="F49" i="5"/>
  <c r="F50" i="5" s="1"/>
  <c r="F43" i="5" l="1"/>
  <c r="F52" i="5"/>
  <c r="F53" i="5" s="1"/>
  <c r="A57" i="5" s="1"/>
  <c r="A58" i="5" l="1"/>
  <c r="C57" i="5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D89" i="5"/>
  <c r="D88" i="5"/>
  <c r="D87" i="5"/>
  <c r="D90" i="5" s="1"/>
  <c r="D95" i="5" s="1"/>
  <c r="C96" i="4" l="1"/>
  <c r="I107" i="4" l="1"/>
  <c r="E37" i="4"/>
  <c r="Y65" i="4"/>
  <c r="Y66" i="4" s="1"/>
  <c r="Y67" i="4" s="1"/>
  <c r="X81" i="4"/>
  <c r="F74" i="4" l="1"/>
  <c r="P77" i="4" s="1"/>
  <c r="E75" i="4"/>
  <c r="E29" i="4" l="1"/>
  <c r="U47" i="2" l="1"/>
  <c r="Y46" i="2" s="1"/>
  <c r="Y47" i="2" s="1"/>
  <c r="Y45" i="2"/>
  <c r="U44" i="2"/>
  <c r="U55" i="2" s="1"/>
  <c r="H47" i="2"/>
  <c r="I47" i="2" s="1"/>
  <c r="G47" i="2"/>
  <c r="H46" i="2" s="1"/>
  <c r="I46" i="2" s="1"/>
  <c r="E47" i="2"/>
  <c r="I48" i="2" l="1"/>
  <c r="Y48" i="2"/>
  <c r="U51" i="2" s="1"/>
  <c r="U49" i="2"/>
  <c r="U53" i="2" s="1"/>
  <c r="X16" i="2"/>
  <c r="X17" i="2" s="1"/>
  <c r="I51" i="2" l="1"/>
  <c r="I50" i="2"/>
  <c r="F86" i="4"/>
  <c r="G86" i="4"/>
  <c r="H86" i="4"/>
  <c r="E86" i="4"/>
  <c r="E74" i="4" l="1"/>
  <c r="P76" i="4" l="1"/>
  <c r="E172" i="4"/>
  <c r="E171" i="4"/>
  <c r="F214" i="4" l="1"/>
  <c r="E214" i="4"/>
  <c r="D214" i="4"/>
  <c r="C214" i="4"/>
  <c r="K213" i="4"/>
  <c r="E213" i="4"/>
  <c r="C213" i="4"/>
  <c r="C212" i="4"/>
  <c r="C211" i="4"/>
  <c r="C210" i="4"/>
  <c r="D200" i="4"/>
  <c r="J214" i="4"/>
  <c r="M214" i="4" s="1"/>
  <c r="H188" i="4"/>
  <c r="H179" i="4"/>
  <c r="G179" i="4"/>
  <c r="F179" i="4"/>
  <c r="E179" i="4"/>
  <c r="H172" i="4"/>
  <c r="G172" i="4"/>
  <c r="F172" i="4"/>
  <c r="G171" i="4"/>
  <c r="F171" i="4"/>
  <c r="E170" i="4"/>
  <c r="H149" i="4"/>
  <c r="G149" i="4"/>
  <c r="G188" i="4" s="1"/>
  <c r="F149" i="4"/>
  <c r="E149" i="4"/>
  <c r="H134" i="4"/>
  <c r="G134" i="4"/>
  <c r="F134" i="4"/>
  <c r="E134" i="4"/>
  <c r="H133" i="4"/>
  <c r="H140" i="4" s="1"/>
  <c r="H148" i="4" s="1"/>
  <c r="G133" i="4"/>
  <c r="G140" i="4" s="1"/>
  <c r="G148" i="4" s="1"/>
  <c r="F133" i="4"/>
  <c r="F140" i="4" s="1"/>
  <c r="F148" i="4" s="1"/>
  <c r="E133" i="4"/>
  <c r="E140" i="4" s="1"/>
  <c r="E148" i="4" s="1"/>
  <c r="H126" i="4"/>
  <c r="G126" i="4"/>
  <c r="F126" i="4"/>
  <c r="E126" i="4"/>
  <c r="G110" i="4"/>
  <c r="P109" i="4"/>
  <c r="C106" i="4"/>
  <c r="S104" i="4"/>
  <c r="L98" i="4"/>
  <c r="Q95" i="4"/>
  <c r="S95" i="4" s="1"/>
  <c r="S99" i="4" s="1"/>
  <c r="C95" i="4"/>
  <c r="H171" i="4"/>
  <c r="H170" i="4"/>
  <c r="G170" i="4"/>
  <c r="F170" i="4"/>
  <c r="H58" i="4"/>
  <c r="G58" i="4"/>
  <c r="F58" i="4"/>
  <c r="E58" i="4"/>
  <c r="H47" i="4"/>
  <c r="G47" i="4"/>
  <c r="F47" i="4"/>
  <c r="E47" i="4"/>
  <c r="H46" i="4"/>
  <c r="H73" i="4" s="1"/>
  <c r="G46" i="4"/>
  <c r="G73" i="4" s="1"/>
  <c r="F46" i="4"/>
  <c r="F73" i="4" s="1"/>
  <c r="E46" i="4"/>
  <c r="E73" i="4" s="1"/>
  <c r="H45" i="4"/>
  <c r="H161" i="4" s="1"/>
  <c r="G45" i="4"/>
  <c r="G161" i="4" s="1"/>
  <c r="F45" i="4"/>
  <c r="F161" i="4" s="1"/>
  <c r="E45" i="4"/>
  <c r="E161" i="4" s="1"/>
  <c r="F29" i="4"/>
  <c r="E31" i="4"/>
  <c r="D21" i="4"/>
  <c r="Q20" i="4"/>
  <c r="Q18" i="4"/>
  <c r="Q17" i="4"/>
  <c r="Q16" i="4"/>
  <c r="D13" i="4"/>
  <c r="I30" i="4" s="1"/>
  <c r="Q6" i="4"/>
  <c r="Q5" i="4"/>
  <c r="Q4" i="4"/>
  <c r="K109" i="4"/>
  <c r="F30" i="4" l="1"/>
  <c r="G29" i="4" s="1"/>
  <c r="C98" i="4"/>
  <c r="E34" i="4"/>
  <c r="E33" i="4"/>
  <c r="R110" i="4"/>
  <c r="R111" i="4" s="1"/>
  <c r="S100" i="4"/>
  <c r="S103" i="4"/>
  <c r="E128" i="4"/>
  <c r="F212" i="4"/>
  <c r="D22" i="4"/>
  <c r="E188" i="4"/>
  <c r="C208" i="4" s="1"/>
  <c r="F188" i="4"/>
  <c r="C209" i="4" s="1"/>
  <c r="I38" i="4" l="1"/>
  <c r="G30" i="4"/>
  <c r="H29" i="4" s="1"/>
  <c r="F31" i="4"/>
  <c r="F128" i="4"/>
  <c r="F38" i="4"/>
  <c r="E38" i="4"/>
  <c r="G38" i="4"/>
  <c r="E39" i="4"/>
  <c r="H37" i="4"/>
  <c r="H39" i="4" s="1"/>
  <c r="F37" i="4"/>
  <c r="F39" i="4" s="1"/>
  <c r="G37" i="4"/>
  <c r="G39" i="4" s="1"/>
  <c r="Q10" i="4"/>
  <c r="Q9" i="4"/>
  <c r="Q8" i="4"/>
  <c r="Q13" i="4" s="1"/>
  <c r="G31" i="4" l="1"/>
  <c r="H30" i="4"/>
  <c r="F34" i="4"/>
  <c r="F33" i="4"/>
  <c r="Q14" i="4"/>
  <c r="Q12" i="4"/>
  <c r="G128" i="4"/>
  <c r="I29" i="4" l="1"/>
  <c r="H38" i="4"/>
  <c r="H31" i="4"/>
  <c r="G33" i="4"/>
  <c r="G34" i="4"/>
  <c r="H128" i="4"/>
  <c r="I128" i="4" s="1"/>
  <c r="H34" i="4" l="1"/>
  <c r="H33" i="4"/>
  <c r="I31" i="4"/>
  <c r="I37" i="4"/>
  <c r="I39" i="4" s="1"/>
  <c r="AA6" i="2"/>
  <c r="AC6" i="2"/>
  <c r="AC7" i="2"/>
  <c r="AC10" i="2" s="1"/>
  <c r="D10" i="2"/>
  <c r="X21" i="2" s="1"/>
  <c r="R5" i="2"/>
  <c r="R6" i="2"/>
  <c r="D24" i="2"/>
  <c r="R17" i="2"/>
  <c r="R18" i="2"/>
  <c r="R20" i="2"/>
  <c r="D36" i="2"/>
  <c r="D37" i="2" s="1"/>
  <c r="F46" i="2"/>
  <c r="F48" i="2" s="1"/>
  <c r="F51" i="2" s="1"/>
  <c r="G46" i="2"/>
  <c r="I55" i="2" l="1"/>
  <c r="I54" i="2"/>
  <c r="I56" i="2" s="1"/>
  <c r="R16" i="2"/>
  <c r="E46" i="2"/>
  <c r="E48" i="2" s="1"/>
  <c r="I33" i="4"/>
  <c r="I34" i="4"/>
  <c r="K8" i="2"/>
  <c r="K9" i="2" s="1"/>
  <c r="G48" i="2"/>
  <c r="G51" i="2" s="1"/>
  <c r="R4" i="2"/>
  <c r="E55" i="2"/>
  <c r="E54" i="2"/>
  <c r="E56" i="2" s="1"/>
  <c r="E51" i="2"/>
  <c r="E50" i="2"/>
  <c r="H54" i="2"/>
  <c r="H56" i="2" s="1"/>
  <c r="H48" i="2"/>
  <c r="R10" i="2"/>
  <c r="R9" i="2"/>
  <c r="G54" i="2"/>
  <c r="G56" i="2" s="1"/>
  <c r="G50" i="2"/>
  <c r="R8" i="2"/>
  <c r="F54" i="2"/>
  <c r="F56" i="2" s="1"/>
  <c r="F50" i="2"/>
  <c r="H55" i="2"/>
  <c r="G55" i="2"/>
  <c r="F55" i="2"/>
  <c r="K10" i="2" l="1"/>
  <c r="K11" i="2" s="1"/>
  <c r="K15" i="2" s="1"/>
  <c r="X6" i="2"/>
  <c r="X7" i="2" s="1"/>
  <c r="X9" i="2" s="1"/>
  <c r="R14" i="2"/>
  <c r="E87" i="4"/>
  <c r="E181" i="4"/>
  <c r="H51" i="2"/>
  <c r="H50" i="2"/>
  <c r="R13" i="2"/>
  <c r="R12" i="2"/>
  <c r="K12" i="2"/>
  <c r="K13" i="2" s="1"/>
  <c r="X15" i="2" l="1"/>
  <c r="X18" i="2" s="1"/>
  <c r="X20" i="2" s="1"/>
  <c r="X25" i="2" s="1"/>
  <c r="K14" i="2"/>
  <c r="D19" i="2" s="1"/>
  <c r="D3" i="4" s="1"/>
  <c r="H74" i="4"/>
  <c r="P79" i="4" s="1"/>
  <c r="C93" i="4" l="1"/>
  <c r="Q21" i="4"/>
  <c r="Z6" i="4"/>
  <c r="F7" i="4"/>
  <c r="X26" i="2"/>
  <c r="Z26" i="2" s="1"/>
  <c r="X28" i="2"/>
  <c r="X31" i="2" s="1"/>
  <c r="Y31" i="2" s="1"/>
  <c r="K23" i="2"/>
  <c r="F49" i="2" s="1"/>
  <c r="G49" i="2" s="1"/>
  <c r="H87" i="4"/>
  <c r="H181" i="4"/>
  <c r="I49" i="2" l="1"/>
  <c r="H49" i="2"/>
  <c r="K26" i="2"/>
  <c r="K21" i="2"/>
  <c r="E49" i="2" s="1"/>
  <c r="K24" i="2"/>
  <c r="K25" i="2"/>
  <c r="K19" i="2"/>
  <c r="K27" i="2"/>
  <c r="K35" i="2" s="1"/>
  <c r="K22" i="2" l="1"/>
  <c r="I57" i="2"/>
  <c r="I58" i="2" s="1"/>
  <c r="I52" i="2"/>
  <c r="I53" i="2" s="1"/>
  <c r="K34" i="2"/>
  <c r="K20" i="2"/>
  <c r="D35" i="2"/>
  <c r="K37" i="2"/>
  <c r="K18" i="2"/>
  <c r="K29" i="2" s="1"/>
  <c r="K33" i="2"/>
  <c r="K36" i="2" s="1"/>
  <c r="K30" i="2" l="1"/>
  <c r="F19" i="2" s="1"/>
  <c r="D20" i="2" s="1"/>
  <c r="Y32" i="2" s="1"/>
  <c r="K28" i="2" l="1"/>
  <c r="R21" i="2"/>
  <c r="R22" i="2" s="1"/>
  <c r="D21" i="2"/>
  <c r="E57" i="2" l="1"/>
  <c r="E58" i="2" s="1"/>
  <c r="E52" i="2"/>
  <c r="E53" i="2" s="1"/>
  <c r="F57" i="2" l="1"/>
  <c r="F58" i="2" s="1"/>
  <c r="F52" i="2"/>
  <c r="F53" i="2" s="1"/>
  <c r="G52" i="2" l="1"/>
  <c r="G53" i="2" s="1"/>
  <c r="G57" i="2"/>
  <c r="G58" i="2" s="1"/>
  <c r="H57" i="2" l="1"/>
  <c r="H58" i="2" s="1"/>
  <c r="H52" i="2"/>
  <c r="H53" i="2" s="1"/>
  <c r="G74" i="4" l="1"/>
  <c r="P78" i="4" s="1"/>
  <c r="G87" i="4" l="1"/>
  <c r="G181" i="4"/>
  <c r="F87" i="4"/>
  <c r="F181" i="4"/>
  <c r="G97" i="4"/>
  <c r="C104" i="4"/>
  <c r="D199" i="4"/>
  <c r="K13" i="4"/>
  <c r="K8" i="4"/>
  <c r="M181" i="4" l="1"/>
  <c r="Q102" i="4"/>
  <c r="G112" i="4"/>
  <c r="Q22" i="4"/>
  <c r="AI4" i="4" s="1"/>
  <c r="K11" i="4"/>
  <c r="F32" i="4" s="1"/>
  <c r="G32" i="4" s="1"/>
  <c r="H32" i="4" s="1"/>
  <c r="I32" i="4" s="1"/>
  <c r="K6" i="4"/>
  <c r="G96" i="4"/>
  <c r="G94" i="4"/>
  <c r="G95" i="4"/>
  <c r="G105" i="4" s="1"/>
  <c r="I40" i="4" l="1"/>
  <c r="I35" i="4"/>
  <c r="I36" i="4" s="1"/>
  <c r="I41" i="4"/>
  <c r="E32" i="4"/>
  <c r="E78" i="4"/>
  <c r="G98" i="4"/>
  <c r="G99" i="4" s="1"/>
  <c r="G103" i="4"/>
  <c r="G104" i="4" s="1"/>
  <c r="K4" i="4"/>
  <c r="K9" i="4"/>
  <c r="K22" i="4" s="1"/>
  <c r="K7" i="4"/>
  <c r="K10" i="4"/>
  <c r="K12" i="4"/>
  <c r="K20" i="4" s="1"/>
  <c r="AG6" i="4"/>
  <c r="AL6" i="4"/>
  <c r="AH6" i="4"/>
  <c r="Q94" i="4"/>
  <c r="S94" i="4" s="1"/>
  <c r="AI6" i="4"/>
  <c r="AJ6" i="4"/>
  <c r="AJ16" i="4"/>
  <c r="S102" i="4"/>
  <c r="S105" i="4" s="1"/>
  <c r="E76" i="4"/>
  <c r="F78" i="4" l="1"/>
  <c r="K19" i="4"/>
  <c r="AJ7" i="4"/>
  <c r="AJ8" i="4" s="1"/>
  <c r="AG7" i="4"/>
  <c r="AG8" i="4" s="1"/>
  <c r="AL7" i="4"/>
  <c r="AH7" i="4"/>
  <c r="AH8" i="4" s="1"/>
  <c r="K18" i="4"/>
  <c r="G107" i="4"/>
  <c r="G100" i="4"/>
  <c r="AI7" i="4"/>
  <c r="D20" i="4"/>
  <c r="K5" i="4"/>
  <c r="K3" i="4"/>
  <c r="K14" i="4" s="1"/>
  <c r="K94" i="4"/>
  <c r="K93" i="4"/>
  <c r="K21" i="4" l="1"/>
  <c r="D6" i="4" s="1"/>
  <c r="K15" i="4"/>
  <c r="Z11" i="4"/>
  <c r="AI10" i="4"/>
  <c r="AL10" i="4"/>
  <c r="G101" i="4"/>
  <c r="G106" i="4" s="1"/>
  <c r="G108" i="4"/>
  <c r="AH10" i="4"/>
  <c r="AH11" i="4" s="1"/>
  <c r="AH9" i="4"/>
  <c r="AG9" i="4"/>
  <c r="AG10" i="4"/>
  <c r="AG11" i="4" s="1"/>
  <c r="AI8" i="4"/>
  <c r="AL8" i="4"/>
  <c r="AL11" i="4" s="1"/>
  <c r="AJ9" i="4"/>
  <c r="AJ10" i="4"/>
  <c r="AJ11" i="4" s="1"/>
  <c r="K96" i="4"/>
  <c r="K110" i="4"/>
  <c r="F4" i="4" l="1"/>
  <c r="F6" i="4" s="1"/>
  <c r="F8" i="4" s="1"/>
  <c r="F9" i="4" s="1"/>
  <c r="D202" i="4"/>
  <c r="AI11" i="4"/>
  <c r="AK11" i="4"/>
  <c r="AK5" i="4" s="1"/>
  <c r="Q96" i="4" s="1"/>
  <c r="K97" i="4"/>
  <c r="K95" i="4"/>
  <c r="G109" i="4"/>
  <c r="G111" i="4"/>
  <c r="AL9" i="4"/>
  <c r="E35" i="4"/>
  <c r="E36" i="4" s="1"/>
  <c r="E40" i="4"/>
  <c r="E41" i="4" s="1"/>
  <c r="AI9" i="4"/>
  <c r="K98" i="4" l="1"/>
  <c r="K99" i="4" s="1"/>
  <c r="L74" i="4" s="1"/>
  <c r="AK8" i="4"/>
  <c r="Q98" i="4" s="1"/>
  <c r="Q104" i="4" s="1"/>
  <c r="Q100" i="4"/>
  <c r="AK9" i="4"/>
  <c r="AK7" i="4"/>
  <c r="AK10" i="4"/>
  <c r="Q99" i="4" s="1"/>
  <c r="Q103" i="4" s="1"/>
  <c r="AK6" i="4"/>
  <c r="Q97" i="4" s="1"/>
  <c r="K102" i="4"/>
  <c r="K101" i="4"/>
  <c r="K104" i="4"/>
  <c r="K103" i="4"/>
  <c r="F40" i="4"/>
  <c r="F41" i="4" s="1"/>
  <c r="F35" i="4"/>
  <c r="F36" i="4" s="1"/>
  <c r="K105" i="4"/>
  <c r="K100" i="4"/>
  <c r="L75" i="4" l="1"/>
  <c r="F198" i="4"/>
  <c r="F75" i="4"/>
  <c r="E90" i="4"/>
  <c r="E195" i="4"/>
  <c r="F208" i="4" s="1"/>
  <c r="E77" i="4"/>
  <c r="E83" i="4" s="1"/>
  <c r="Q105" i="4"/>
  <c r="H35" i="4"/>
  <c r="H36" i="4" s="1"/>
  <c r="H40" i="4"/>
  <c r="H41" i="4" s="1"/>
  <c r="K106" i="4"/>
  <c r="G35" i="4"/>
  <c r="G36" i="4" s="1"/>
  <c r="G40" i="4"/>
  <c r="G41" i="4" s="1"/>
  <c r="E79" i="4"/>
  <c r="P107" i="4" l="1"/>
  <c r="P111" i="4" s="1"/>
  <c r="E116" i="4" s="1"/>
  <c r="E117" i="4" s="1"/>
  <c r="F195" i="4"/>
  <c r="F209" i="4" s="1"/>
  <c r="E189" i="4"/>
  <c r="E84" i="4"/>
  <c r="D208" i="4"/>
  <c r="E80" i="4"/>
  <c r="E85" i="4"/>
  <c r="E82" i="4"/>
  <c r="Q34" i="4"/>
  <c r="E212" i="4"/>
  <c r="F213" i="4"/>
  <c r="K214" i="4"/>
  <c r="E88" i="4"/>
  <c r="F76" i="4"/>
  <c r="E118" i="4"/>
  <c r="L76" i="4" l="1"/>
  <c r="F90" i="4"/>
  <c r="F77" i="4"/>
  <c r="G78" i="4"/>
  <c r="G75" i="4"/>
  <c r="E196" i="4"/>
  <c r="E208" i="4" s="1"/>
  <c r="F79" i="4"/>
  <c r="E119" i="4"/>
  <c r="E89" i="4"/>
  <c r="E191" i="4" l="1"/>
  <c r="H208" i="4" s="1"/>
  <c r="E120" i="4"/>
  <c r="E121" i="4" s="1"/>
  <c r="F116" i="4"/>
  <c r="E194" i="4"/>
  <c r="K208" i="4" s="1"/>
  <c r="G195" i="4"/>
  <c r="F210" i="4" s="1"/>
  <c r="H78" i="4"/>
  <c r="F84" i="4"/>
  <c r="F189" i="4"/>
  <c r="F80" i="4"/>
  <c r="D209" i="4"/>
  <c r="F83" i="4"/>
  <c r="F85" i="4"/>
  <c r="F82" i="4"/>
  <c r="E136" i="4"/>
  <c r="E137" i="4" s="1"/>
  <c r="F88" i="4"/>
  <c r="F118" i="4"/>
  <c r="G76" i="4"/>
  <c r="L77" i="4" l="1"/>
  <c r="E127" i="4"/>
  <c r="E131" i="4" s="1"/>
  <c r="F117" i="4"/>
  <c r="G116" i="4" s="1"/>
  <c r="G90" i="4"/>
  <c r="H195" i="4"/>
  <c r="F211" i="4" s="1"/>
  <c r="I78" i="4"/>
  <c r="G77" i="4"/>
  <c r="H75" i="4"/>
  <c r="E163" i="4"/>
  <c r="F196" i="4"/>
  <c r="E209" i="4" s="1"/>
  <c r="F89" i="4"/>
  <c r="F119" i="4"/>
  <c r="E129" i="4"/>
  <c r="G79" i="4"/>
  <c r="G118" i="4"/>
  <c r="E130" i="4"/>
  <c r="E162" i="4" l="1"/>
  <c r="E177" i="4" s="1"/>
  <c r="E156" i="4"/>
  <c r="E158" i="4" s="1"/>
  <c r="E165" i="4" s="1"/>
  <c r="E132" i="4"/>
  <c r="E139" i="4" s="1"/>
  <c r="E135" i="4"/>
  <c r="E141" i="4" s="1"/>
  <c r="F120" i="4"/>
  <c r="F127" i="4" s="1"/>
  <c r="F132" i="4" s="1"/>
  <c r="F191" i="4"/>
  <c r="H209" i="4" s="1"/>
  <c r="F194" i="4"/>
  <c r="K209" i="4" s="1"/>
  <c r="G117" i="4"/>
  <c r="H116" i="4" s="1"/>
  <c r="H117" i="4" s="1"/>
  <c r="I116" i="4" s="1"/>
  <c r="I117" i="4" s="1"/>
  <c r="G189" i="4"/>
  <c r="D210" i="4"/>
  <c r="G80" i="4"/>
  <c r="G84" i="4"/>
  <c r="F136" i="4"/>
  <c r="F137" i="4" s="1"/>
  <c r="G83" i="4"/>
  <c r="G82" i="4"/>
  <c r="G85" i="4"/>
  <c r="E138" i="4"/>
  <c r="G88" i="4"/>
  <c r="F129" i="4"/>
  <c r="H118" i="4"/>
  <c r="H76" i="4"/>
  <c r="G119" i="4"/>
  <c r="F130" i="4"/>
  <c r="I118" i="4"/>
  <c r="H77" i="4" l="1"/>
  <c r="H83" i="4" s="1"/>
  <c r="L78" i="4"/>
  <c r="H90" i="4"/>
  <c r="I75" i="4"/>
  <c r="E157" i="4"/>
  <c r="E164" i="4" s="1"/>
  <c r="E175" i="4" s="1"/>
  <c r="F162" i="4"/>
  <c r="F135" i="4"/>
  <c r="F121" i="4"/>
  <c r="F156" i="4"/>
  <c r="F131" i="4"/>
  <c r="F139" i="4" s="1"/>
  <c r="G191" i="4"/>
  <c r="H210" i="4" s="1"/>
  <c r="G120" i="4"/>
  <c r="G121" i="4" s="1"/>
  <c r="G194" i="4"/>
  <c r="K210" i="4" s="1"/>
  <c r="H194" i="4"/>
  <c r="K211" i="4" s="1"/>
  <c r="F163" i="4"/>
  <c r="G196" i="4"/>
  <c r="E210" i="4" s="1"/>
  <c r="E146" i="4"/>
  <c r="E176" i="4"/>
  <c r="E143" i="4"/>
  <c r="E142" i="4"/>
  <c r="E145" i="4"/>
  <c r="E147" i="4" s="1"/>
  <c r="E150" i="4" s="1"/>
  <c r="H79" i="4"/>
  <c r="H119" i="4"/>
  <c r="I119" i="4"/>
  <c r="G89" i="4"/>
  <c r="H80" i="4" l="1"/>
  <c r="H84" i="4"/>
  <c r="D211" i="4"/>
  <c r="H189" i="4"/>
  <c r="H82" i="4"/>
  <c r="H85" i="4"/>
  <c r="F158" i="4"/>
  <c r="F165" i="4" s="1"/>
  <c r="F176" i="4" s="1"/>
  <c r="F157" i="4"/>
  <c r="F164" i="4" s="1"/>
  <c r="F175" i="4" s="1"/>
  <c r="E178" i="4"/>
  <c r="F177" i="4"/>
  <c r="F138" i="4"/>
  <c r="F141" i="4"/>
  <c r="F143" i="4" s="1"/>
  <c r="I120" i="4"/>
  <c r="G136" i="4"/>
  <c r="G137" i="4" s="1"/>
  <c r="P115" i="4"/>
  <c r="G127" i="4"/>
  <c r="G162" i="4" s="1"/>
  <c r="H191" i="4"/>
  <c r="H211" i="4" s="1"/>
  <c r="H120" i="4"/>
  <c r="H127" i="4" s="1"/>
  <c r="H162" i="4" s="1"/>
  <c r="E144" i="4"/>
  <c r="E152" i="4"/>
  <c r="E192" i="4" s="1"/>
  <c r="I208" i="4" s="1"/>
  <c r="L208" i="4" s="1"/>
  <c r="E151" i="4"/>
  <c r="J213" i="4"/>
  <c r="M213" i="4" s="1"/>
  <c r="K212" i="4"/>
  <c r="I214" i="4"/>
  <c r="L214" i="4" s="1"/>
  <c r="G213" i="4"/>
  <c r="H212" i="4"/>
  <c r="I76" i="4"/>
  <c r="G130" i="4"/>
  <c r="H88" i="4"/>
  <c r="G129" i="4"/>
  <c r="H130" i="4"/>
  <c r="H89" i="4"/>
  <c r="H129" i="4"/>
  <c r="I90" i="4" l="1"/>
  <c r="I77" i="4"/>
  <c r="L79" i="4"/>
  <c r="H196" i="4"/>
  <c r="E211" i="4" s="1"/>
  <c r="F145" i="4"/>
  <c r="F147" i="4" s="1"/>
  <c r="F150" i="4" s="1"/>
  <c r="F152" i="4" s="1"/>
  <c r="F192" i="4" s="1"/>
  <c r="I209" i="4" s="1"/>
  <c r="L209" i="4" s="1"/>
  <c r="F146" i="4"/>
  <c r="F142" i="4"/>
  <c r="F144" i="4" s="1"/>
  <c r="G163" i="4"/>
  <c r="G177" i="4" s="1"/>
  <c r="I121" i="4"/>
  <c r="I127" i="4"/>
  <c r="H136" i="4"/>
  <c r="H137" i="4" s="1"/>
  <c r="G131" i="4"/>
  <c r="G138" i="4" s="1"/>
  <c r="G156" i="4"/>
  <c r="H131" i="4"/>
  <c r="H138" i="4" s="1"/>
  <c r="G135" i="4"/>
  <c r="G132" i="4"/>
  <c r="E180" i="4"/>
  <c r="H121" i="4"/>
  <c r="H156" i="4"/>
  <c r="H135" i="4"/>
  <c r="H132" i="4"/>
  <c r="F178" i="4"/>
  <c r="E193" i="4"/>
  <c r="J208" i="4" s="1"/>
  <c r="M208" i="4" s="1"/>
  <c r="I129" i="4"/>
  <c r="P117" i="4"/>
  <c r="I79" i="4"/>
  <c r="I130" i="4"/>
  <c r="I80" i="4" l="1"/>
  <c r="D213" i="4" s="1"/>
  <c r="I84" i="4"/>
  <c r="D212" i="4"/>
  <c r="I82" i="4"/>
  <c r="I85" i="4"/>
  <c r="I83" i="4"/>
  <c r="G158" i="4"/>
  <c r="G165" i="4" s="1"/>
  <c r="G176" i="4" s="1"/>
  <c r="G157" i="4"/>
  <c r="G164" i="4" s="1"/>
  <c r="G175" i="4" s="1"/>
  <c r="H158" i="4"/>
  <c r="H165" i="4" s="1"/>
  <c r="H157" i="4"/>
  <c r="H164" i="4" s="1"/>
  <c r="H163" i="4"/>
  <c r="H177" i="4" s="1"/>
  <c r="F151" i="4"/>
  <c r="I135" i="4"/>
  <c r="I131" i="4"/>
  <c r="I162" i="4"/>
  <c r="I132" i="4"/>
  <c r="I156" i="4"/>
  <c r="H139" i="4"/>
  <c r="H141" i="4"/>
  <c r="G141" i="4"/>
  <c r="G139" i="4"/>
  <c r="F193" i="4"/>
  <c r="J209" i="4" s="1"/>
  <c r="M209" i="4" s="1"/>
  <c r="F180" i="4"/>
  <c r="F182" i="4" s="1"/>
  <c r="E182" i="4"/>
  <c r="E190" i="4"/>
  <c r="G208" i="4" s="1"/>
  <c r="P118" i="4"/>
  <c r="I88" i="4"/>
  <c r="I89" i="4"/>
  <c r="L80" i="4" l="1"/>
  <c r="I158" i="4"/>
  <c r="I165" i="4" s="1"/>
  <c r="I157" i="4"/>
  <c r="I164" i="4" s="1"/>
  <c r="H176" i="4"/>
  <c r="H175" i="4"/>
  <c r="I136" i="4"/>
  <c r="I163" i="4" s="1"/>
  <c r="I177" i="4" s="1"/>
  <c r="I139" i="4"/>
  <c r="I138" i="4"/>
  <c r="I141" i="4"/>
  <c r="H146" i="4"/>
  <c r="H143" i="4"/>
  <c r="H147" i="4" s="1"/>
  <c r="H150" i="4" s="1"/>
  <c r="H152" i="4" s="1"/>
  <c r="H192" i="4" s="1"/>
  <c r="I211" i="4" s="1"/>
  <c r="L211" i="4" s="1"/>
  <c r="H145" i="4"/>
  <c r="H142" i="4"/>
  <c r="G142" i="4"/>
  <c r="G146" i="4"/>
  <c r="G145" i="4"/>
  <c r="G143" i="4"/>
  <c r="G147" i="4" s="1"/>
  <c r="G150" i="4" s="1"/>
  <c r="G152" i="4" s="1"/>
  <c r="G192" i="4" s="1"/>
  <c r="I210" i="4" s="1"/>
  <c r="L210" i="4" s="1"/>
  <c r="G178" i="4"/>
  <c r="G193" i="4" s="1"/>
  <c r="J210" i="4" s="1"/>
  <c r="M210" i="4" s="1"/>
  <c r="F190" i="4"/>
  <c r="G209" i="4" s="1"/>
  <c r="Q114" i="4"/>
  <c r="P121" i="4"/>
  <c r="P119" i="4" s="1"/>
  <c r="H178" i="4" l="1"/>
  <c r="H180" i="4" s="1"/>
  <c r="I137" i="4"/>
  <c r="I145" i="4" s="1"/>
  <c r="I176" i="4"/>
  <c r="I175" i="4"/>
  <c r="I142" i="4"/>
  <c r="I143" i="4"/>
  <c r="I147" i="4" s="1"/>
  <c r="I150" i="4" s="1"/>
  <c r="H144" i="4"/>
  <c r="H151" i="4"/>
  <c r="G151" i="4"/>
  <c r="G144" i="4"/>
  <c r="G180" i="4"/>
  <c r="H213" i="4"/>
  <c r="I212" i="4"/>
  <c r="L212" i="4" s="1"/>
  <c r="G214" i="4"/>
  <c r="H193" i="4" l="1"/>
  <c r="J211" i="4" s="1"/>
  <c r="M211" i="4" s="1"/>
  <c r="I146" i="4"/>
  <c r="I178" i="4"/>
  <c r="G190" i="4"/>
  <c r="G210" i="4" s="1"/>
  <c r="I152" i="4"/>
  <c r="I151" i="4"/>
  <c r="I144" i="4"/>
  <c r="G182" i="4"/>
  <c r="H190" i="4"/>
  <c r="G211" i="4" s="1"/>
  <c r="H182" i="4"/>
  <c r="I180" i="4" l="1"/>
  <c r="I182" i="4" s="1"/>
  <c r="G212" i="4"/>
  <c r="J212" i="4"/>
  <c r="M212" i="4" s="1"/>
  <c r="I213" i="4"/>
  <c r="L213" i="4" s="1"/>
  <c r="H214" i="4"/>
  <c r="M180" i="4" l="1"/>
  <c r="M182" i="4"/>
  <c r="D201" i="4" l="1"/>
  <c r="P122" i="4"/>
  <c r="E202" i="4"/>
</calcChain>
</file>

<file path=xl/sharedStrings.xml><?xml version="1.0" encoding="utf-8"?>
<sst xmlns="http://schemas.openxmlformats.org/spreadsheetml/2006/main" count="1483" uniqueCount="730">
  <si>
    <t>Datos de Entrada</t>
  </si>
  <si>
    <t>Masas</t>
  </si>
  <si>
    <t>Capacidad de la hornilla</t>
  </si>
  <si>
    <r>
      <t>m</t>
    </r>
    <r>
      <rPr>
        <sz val="8"/>
        <color theme="1"/>
        <rFont val="Calibri"/>
        <family val="2"/>
        <scheme val="minor"/>
      </rPr>
      <t>p</t>
    </r>
  </si>
  <si>
    <t>Kg/h</t>
  </si>
  <si>
    <r>
      <t>E</t>
    </r>
    <r>
      <rPr>
        <sz val="8"/>
        <color theme="1"/>
        <rFont val="Calibri"/>
        <family val="2"/>
        <scheme val="minor"/>
      </rPr>
      <t>ff</t>
    </r>
  </si>
  <si>
    <t>%</t>
  </si>
  <si>
    <t>Poder Calorifico Vagazo</t>
  </si>
  <si>
    <t>VCN</t>
  </si>
  <si>
    <t>MJ/kg</t>
  </si>
  <si>
    <t>Bagazillo en Prelimpiador</t>
  </si>
  <si>
    <t>Bgz</t>
  </si>
  <si>
    <r>
      <t>T</t>
    </r>
    <r>
      <rPr>
        <sz val="8"/>
        <color theme="1"/>
        <rFont val="Calibri"/>
        <family val="2"/>
        <scheme val="minor"/>
      </rPr>
      <t>Sclf</t>
    </r>
  </si>
  <si>
    <t>°C</t>
  </si>
  <si>
    <t>Cachaza</t>
  </si>
  <si>
    <t>Chz</t>
  </si>
  <si>
    <r>
      <t>T</t>
    </r>
    <r>
      <rPr>
        <sz val="8"/>
        <color theme="1"/>
        <rFont val="Calibri"/>
        <family val="2"/>
        <scheme val="minor"/>
      </rPr>
      <t>SEva</t>
    </r>
  </si>
  <si>
    <t>Calor Suministrado</t>
  </si>
  <si>
    <r>
      <t>Q</t>
    </r>
    <r>
      <rPr>
        <sz val="8"/>
        <color theme="1"/>
        <rFont val="Calibri"/>
        <family val="2"/>
        <scheme val="minor"/>
      </rPr>
      <t>sum</t>
    </r>
  </si>
  <si>
    <t>KW</t>
  </si>
  <si>
    <t>CSS del Jugo De Caña</t>
  </si>
  <si>
    <r>
      <t>Css</t>
    </r>
    <r>
      <rPr>
        <sz val="8"/>
        <color theme="1"/>
        <rFont val="Calibri"/>
        <family val="2"/>
        <scheme val="minor"/>
      </rPr>
      <t>i</t>
    </r>
  </si>
  <si>
    <t>°Bx</t>
  </si>
  <si>
    <r>
      <t>T</t>
    </r>
    <r>
      <rPr>
        <sz val="8"/>
        <color theme="1"/>
        <rFont val="Calibri"/>
        <family val="2"/>
        <scheme val="minor"/>
      </rPr>
      <t>SCon</t>
    </r>
  </si>
  <si>
    <t>CSS  del Jugo Calrificado</t>
  </si>
  <si>
    <r>
      <t>Css</t>
    </r>
    <r>
      <rPr>
        <sz val="8"/>
        <color theme="1"/>
        <rFont val="Calibri"/>
        <family val="2"/>
        <scheme val="minor"/>
      </rPr>
      <t>Cl</t>
    </r>
  </si>
  <si>
    <t>Area de Parrilla</t>
  </si>
  <si>
    <t>Apar</t>
  </si>
  <si>
    <t>m^2</t>
  </si>
  <si>
    <t>CSS  del Jugo Posevaporacion</t>
  </si>
  <si>
    <r>
      <t>Css</t>
    </r>
    <r>
      <rPr>
        <sz val="8"/>
        <color theme="1"/>
        <rFont val="Calibri"/>
        <family val="2"/>
        <scheme val="minor"/>
      </rPr>
      <t>TE</t>
    </r>
  </si>
  <si>
    <t>kg</t>
  </si>
  <si>
    <r>
      <rPr>
        <sz val="11"/>
        <color theme="1"/>
        <rFont val="Calibri"/>
        <family val="2"/>
      </rPr>
      <t>ΔH</t>
    </r>
    <r>
      <rPr>
        <sz val="8"/>
        <color theme="1"/>
        <rFont val="Calibri"/>
        <family val="2"/>
      </rPr>
      <t>v</t>
    </r>
  </si>
  <si>
    <t>KJ/kg</t>
  </si>
  <si>
    <t>CSS Jugo Concentrado</t>
  </si>
  <si>
    <r>
      <t>B</t>
    </r>
    <r>
      <rPr>
        <sz val="8"/>
        <color theme="1"/>
        <rFont val="Calibri"/>
        <family val="2"/>
        <scheme val="minor"/>
      </rPr>
      <t>p</t>
    </r>
  </si>
  <si>
    <r>
      <t>m</t>
    </r>
    <r>
      <rPr>
        <sz val="8"/>
        <color theme="1"/>
        <rFont val="Calibri"/>
        <family val="2"/>
        <scheme val="minor"/>
      </rPr>
      <t>EV</t>
    </r>
  </si>
  <si>
    <r>
      <t>m</t>
    </r>
    <r>
      <rPr>
        <sz val="8"/>
        <color theme="1"/>
        <rFont val="Calibri"/>
        <family val="2"/>
        <scheme val="minor"/>
      </rPr>
      <t>ev</t>
    </r>
  </si>
  <si>
    <t>Kg</t>
  </si>
  <si>
    <t>CSS Panela</t>
  </si>
  <si>
    <r>
      <t>m</t>
    </r>
    <r>
      <rPr>
        <sz val="8"/>
        <color theme="1"/>
        <rFont val="Calibri"/>
        <family val="2"/>
        <scheme val="minor"/>
      </rPr>
      <t>Cn</t>
    </r>
  </si>
  <si>
    <t>Tipo de camara</t>
  </si>
  <si>
    <t>Tpcam</t>
  </si>
  <si>
    <t>Ad</t>
  </si>
  <si>
    <t>Humedad del bagazo</t>
  </si>
  <si>
    <r>
      <t>H</t>
    </r>
    <r>
      <rPr>
        <sz val="8"/>
        <color theme="1"/>
        <rFont val="Calibri"/>
        <family val="2"/>
        <scheme val="minor"/>
      </rPr>
      <t>b</t>
    </r>
  </si>
  <si>
    <r>
      <t>C</t>
    </r>
    <r>
      <rPr>
        <sz val="8"/>
        <color theme="1"/>
        <rFont val="Calibri"/>
        <family val="2"/>
        <scheme val="minor"/>
      </rPr>
      <t>p</t>
    </r>
  </si>
  <si>
    <t>KJ/Kg °C</t>
  </si>
  <si>
    <t>Exceso de Aire</t>
  </si>
  <si>
    <t>λ</t>
  </si>
  <si>
    <r>
      <rPr>
        <sz val="11"/>
        <color theme="1"/>
        <rFont val="Calibri"/>
        <family val="2"/>
      </rPr>
      <t>ρ</t>
    </r>
    <r>
      <rPr>
        <sz val="8"/>
        <color theme="1"/>
        <rFont val="Calibri"/>
        <family val="2"/>
      </rPr>
      <t>Clf</t>
    </r>
  </si>
  <si>
    <t>kg/m3</t>
  </si>
  <si>
    <t>Extraccion</t>
  </si>
  <si>
    <t>Extr</t>
  </si>
  <si>
    <r>
      <t>ρ</t>
    </r>
    <r>
      <rPr>
        <sz val="8"/>
        <color theme="1"/>
        <rFont val="Calibri"/>
        <family val="2"/>
      </rPr>
      <t>Eva1</t>
    </r>
  </si>
  <si>
    <t>Porcentaje de Fibra</t>
  </si>
  <si>
    <t>f</t>
  </si>
  <si>
    <r>
      <t>ρ</t>
    </r>
    <r>
      <rPr>
        <sz val="8"/>
        <color theme="1"/>
        <rFont val="Calibri"/>
        <family val="2"/>
      </rPr>
      <t>Con</t>
    </r>
  </si>
  <si>
    <t>Altura del Sitio</t>
  </si>
  <si>
    <t>h</t>
  </si>
  <si>
    <t>m</t>
  </si>
  <si>
    <t>Qcl</t>
  </si>
  <si>
    <t>Temperatura Ambiente</t>
  </si>
  <si>
    <r>
      <t>T</t>
    </r>
    <r>
      <rPr>
        <sz val="8"/>
        <color theme="1"/>
        <rFont val="Calibri"/>
        <family val="2"/>
        <scheme val="minor"/>
      </rPr>
      <t>a</t>
    </r>
  </si>
  <si>
    <t>Qev1</t>
  </si>
  <si>
    <t>Humedad inicial bagazo</t>
  </si>
  <si>
    <t>Hibv</t>
  </si>
  <si>
    <t>Qcn</t>
  </si>
  <si>
    <t>Qt</t>
  </si>
  <si>
    <t>Presion Atmosferica</t>
  </si>
  <si>
    <r>
      <t>P</t>
    </r>
    <r>
      <rPr>
        <sz val="8"/>
        <color theme="1"/>
        <rFont val="Calibri"/>
        <family val="2"/>
        <scheme val="minor"/>
      </rPr>
      <t>a</t>
    </r>
  </si>
  <si>
    <t>mmHG</t>
  </si>
  <si>
    <t>Temperatura Ebullición Agua</t>
  </si>
  <si>
    <r>
      <t>T</t>
    </r>
    <r>
      <rPr>
        <sz val="8"/>
        <color theme="1"/>
        <rFont val="Calibri"/>
        <family val="2"/>
        <scheme val="minor"/>
      </rPr>
      <t>e</t>
    </r>
  </si>
  <si>
    <t>Factor Consumo Bagazo</t>
  </si>
  <si>
    <t>Fcb</t>
  </si>
  <si>
    <t>Kg/Kg</t>
  </si>
  <si>
    <t>Numero de Pailas</t>
  </si>
  <si>
    <t>Paila N°</t>
  </si>
  <si>
    <t>Npa</t>
  </si>
  <si>
    <t>Orden del flujo</t>
  </si>
  <si>
    <t>Orf</t>
  </si>
  <si>
    <t>Tipo de Paila</t>
  </si>
  <si>
    <t>TpPA</t>
  </si>
  <si>
    <t>Altura Fondo</t>
  </si>
  <si>
    <t>H fn (m)</t>
  </si>
  <si>
    <t>Ancho del Fondo</t>
  </si>
  <si>
    <t>A  (m)</t>
  </si>
  <si>
    <t>Altura de Falca</t>
  </si>
  <si>
    <t>H fl (m)</t>
  </si>
  <si>
    <t>Angulo de Falca</t>
  </si>
  <si>
    <t>Ang  α °</t>
  </si>
  <si>
    <t>Longitud</t>
  </si>
  <si>
    <t>L  (m)</t>
  </si>
  <si>
    <t>Aleteada</t>
  </si>
  <si>
    <t>si/no</t>
  </si>
  <si>
    <t>NO</t>
  </si>
  <si>
    <t>Numero de Aletas</t>
  </si>
  <si>
    <t>N Aletas</t>
  </si>
  <si>
    <t>Altura de Aletas</t>
  </si>
  <si>
    <t>Hal (m)</t>
  </si>
  <si>
    <t>Altura del Casco</t>
  </si>
  <si>
    <t>hc (m)</t>
  </si>
  <si>
    <t>Longitud del Lado Canal</t>
  </si>
  <si>
    <t>Lc  (m)</t>
  </si>
  <si>
    <t>Longitud lado tubo</t>
  </si>
  <si>
    <t>Lt  (m)</t>
  </si>
  <si>
    <t>Area de Flujo</t>
  </si>
  <si>
    <t>A</t>
  </si>
  <si>
    <t>Perimetro</t>
  </si>
  <si>
    <t>P</t>
  </si>
  <si>
    <t>Diametro Hidraulico</t>
  </si>
  <si>
    <r>
      <t>D</t>
    </r>
    <r>
      <rPr>
        <sz val="8"/>
        <color theme="1"/>
        <rFont val="Calibri"/>
        <family val="2"/>
      </rPr>
      <t>h</t>
    </r>
  </si>
  <si>
    <t>Altura del Ducto</t>
  </si>
  <si>
    <t>Hd</t>
  </si>
  <si>
    <r>
      <t>A</t>
    </r>
    <r>
      <rPr>
        <sz val="8"/>
        <rFont val="Calibri"/>
        <family val="2"/>
        <scheme val="minor"/>
      </rPr>
      <t>pd</t>
    </r>
  </si>
  <si>
    <r>
      <t>A</t>
    </r>
    <r>
      <rPr>
        <sz val="8"/>
        <rFont val="Calibri"/>
        <family val="2"/>
        <scheme val="minor"/>
      </rPr>
      <t>pi</t>
    </r>
  </si>
  <si>
    <t>Area Paila</t>
  </si>
  <si>
    <r>
      <t>A</t>
    </r>
    <r>
      <rPr>
        <sz val="8"/>
        <rFont val="Calibri"/>
        <family val="2"/>
      </rPr>
      <t>gas</t>
    </r>
  </si>
  <si>
    <t>º</t>
  </si>
  <si>
    <t>ad</t>
  </si>
  <si>
    <t>Orsde según Concentracion</t>
  </si>
  <si>
    <t>Orccs</t>
  </si>
  <si>
    <t>Concentracion de Solidos Inicial</t>
  </si>
  <si>
    <t>ºBrix</t>
  </si>
  <si>
    <t>Concentracion de Solidos Final</t>
  </si>
  <si>
    <t>Concentracion de Solidos Promedio</t>
  </si>
  <si>
    <t>mj</t>
  </si>
  <si>
    <t>Calor Especifico P Cte jugo</t>
  </si>
  <si>
    <t>CPj</t>
  </si>
  <si>
    <t>T E ss CSS</t>
  </si>
  <si>
    <t>ºC</t>
  </si>
  <si>
    <t>Entalpia de Vaporización</t>
  </si>
  <si>
    <t>∆hv</t>
  </si>
  <si>
    <t>Masa de Agua a Evaporar</t>
  </si>
  <si>
    <r>
      <t>m</t>
    </r>
    <r>
      <rPr>
        <sz val="8"/>
        <rFont val="Calibri"/>
        <family val="2"/>
        <scheme val="minor"/>
      </rPr>
      <t>H2O</t>
    </r>
  </si>
  <si>
    <t>Calor Nece Calc por Etapa</t>
  </si>
  <si>
    <t>Q cc</t>
  </si>
  <si>
    <t>Cssi</t>
  </si>
  <si>
    <t>Cssf</t>
  </si>
  <si>
    <t>Cssp</t>
  </si>
  <si>
    <t>Gases</t>
  </si>
  <si>
    <t>Masa de Bagazo</t>
  </si>
  <si>
    <t>Eficiencia de Combustion</t>
  </si>
  <si>
    <t>Humedad del Bagazo</t>
  </si>
  <si>
    <t>Exeso de Aire</t>
  </si>
  <si>
    <t>Humedad del Aire</t>
  </si>
  <si>
    <t>Temeratura Ambiente</t>
  </si>
  <si>
    <t>K</t>
  </si>
  <si>
    <t>Composiscion de bagazo seco en %</t>
  </si>
  <si>
    <t>Carbono</t>
  </si>
  <si>
    <t>C</t>
  </si>
  <si>
    <t>Hidrogeno</t>
  </si>
  <si>
    <t>H</t>
  </si>
  <si>
    <t>Oxigeno</t>
  </si>
  <si>
    <t>O</t>
  </si>
  <si>
    <t>Escorias</t>
  </si>
  <si>
    <t>E</t>
  </si>
  <si>
    <t>Masa de Bagazo Seco</t>
  </si>
  <si>
    <t>g/mol</t>
  </si>
  <si>
    <t>H2</t>
  </si>
  <si>
    <t>CO2</t>
  </si>
  <si>
    <t>CO</t>
  </si>
  <si>
    <t>H2O</t>
  </si>
  <si>
    <t>O2</t>
  </si>
  <si>
    <t>N2</t>
  </si>
  <si>
    <t>Entrada</t>
  </si>
  <si>
    <t>C en bagazo</t>
  </si>
  <si>
    <t>kmol</t>
  </si>
  <si>
    <t>H2 en bagazo</t>
  </si>
  <si>
    <t>O2 en bagazo</t>
  </si>
  <si>
    <t>H2O en bagazo</t>
  </si>
  <si>
    <t>O2 req</t>
  </si>
  <si>
    <t>O2 sum</t>
  </si>
  <si>
    <t>N2 sum</t>
  </si>
  <si>
    <t>H2O en aire</t>
  </si>
  <si>
    <t>Salida</t>
  </si>
  <si>
    <t>CO2 producidos</t>
  </si>
  <si>
    <t>mol</t>
  </si>
  <si>
    <t>CO producidos</t>
  </si>
  <si>
    <t>H2O producidos</t>
  </si>
  <si>
    <t>H2O Totales</t>
  </si>
  <si>
    <t>O2 producidos</t>
  </si>
  <si>
    <t>N2 producidos</t>
  </si>
  <si>
    <t>Temperatura de llama</t>
  </si>
  <si>
    <t>Gases Totales</t>
  </si>
  <si>
    <t>masa de Gases Total</t>
  </si>
  <si>
    <t>g</t>
  </si>
  <si>
    <t>Kw</t>
  </si>
  <si>
    <t>Potencia Inicial del Gas</t>
  </si>
  <si>
    <t>Numero de Paila</t>
  </si>
  <si>
    <t>Temperatura</t>
  </si>
  <si>
    <t>T</t>
  </si>
  <si>
    <t>Presion</t>
  </si>
  <si>
    <t>atm</t>
  </si>
  <si>
    <t>Calor Especifico a Presión Cte</t>
  </si>
  <si>
    <t>Cp</t>
  </si>
  <si>
    <t>KJ/kg.°C</t>
  </si>
  <si>
    <t>Densidad</t>
  </si>
  <si>
    <t>ρ</t>
  </si>
  <si>
    <t>kg/m^3</t>
  </si>
  <si>
    <t>Viscosidad Dinamica</t>
  </si>
  <si>
    <t>μ</t>
  </si>
  <si>
    <t>Kg/m s</t>
  </si>
  <si>
    <t>Coef Conduct Termica</t>
  </si>
  <si>
    <t>KW/m°C</t>
  </si>
  <si>
    <t>Velocidad de Gases</t>
  </si>
  <si>
    <t>√</t>
  </si>
  <si>
    <t>m/s</t>
  </si>
  <si>
    <t>Temperatura deSuperficie</t>
  </si>
  <si>
    <r>
      <t>T</t>
    </r>
    <r>
      <rPr>
        <sz val="8"/>
        <color theme="1"/>
        <rFont val="Calibri"/>
        <family val="2"/>
      </rPr>
      <t>sp</t>
    </r>
  </si>
  <si>
    <t>Visc Dinamic Superfi</t>
  </si>
  <si>
    <t>Kg/ m s</t>
  </si>
  <si>
    <t>Viscosidad Cinematica</t>
  </si>
  <si>
    <t>ϑ</t>
  </si>
  <si>
    <t>Kg/m^2</t>
  </si>
  <si>
    <t>N° Prandlt</t>
  </si>
  <si>
    <t>N pr</t>
  </si>
  <si>
    <t>Numero de Reynolds</t>
  </si>
  <si>
    <r>
      <t>N</t>
    </r>
    <r>
      <rPr>
        <sz val="8"/>
        <color theme="1"/>
        <rFont val="Calibri"/>
        <family val="2"/>
      </rPr>
      <t>re</t>
    </r>
  </si>
  <si>
    <t xml:space="preserve">No. Nusselt </t>
  </si>
  <si>
    <r>
      <t>N</t>
    </r>
    <r>
      <rPr>
        <sz val="8"/>
        <color theme="1"/>
        <rFont val="Calibri"/>
        <family val="2"/>
      </rPr>
      <t>u</t>
    </r>
  </si>
  <si>
    <t>Area Transferencia Calor Paila</t>
  </si>
  <si>
    <r>
      <t>A</t>
    </r>
    <r>
      <rPr>
        <sz val="8"/>
        <color theme="1"/>
        <rFont val="Calibri"/>
        <family val="2"/>
        <scheme val="minor"/>
      </rPr>
      <t>TTC</t>
    </r>
  </si>
  <si>
    <t>Coeficiente de convección</t>
  </si>
  <si>
    <t>KW/m^2°C</t>
  </si>
  <si>
    <t>Calor por Conveccion</t>
  </si>
  <si>
    <r>
      <t>Q</t>
    </r>
    <r>
      <rPr>
        <sz val="9"/>
        <color theme="1"/>
        <rFont val="Calibri"/>
        <family val="2"/>
        <scheme val="minor"/>
      </rPr>
      <t>cnv</t>
    </r>
  </si>
  <si>
    <t>Temperatura del Gas</t>
  </si>
  <si>
    <t>Tgas</t>
  </si>
  <si>
    <t>Temperatua Pared</t>
  </si>
  <si>
    <t>Tpad</t>
  </si>
  <si>
    <t>Temperatura Piso</t>
  </si>
  <si>
    <t>Tpis</t>
  </si>
  <si>
    <t>Temperatura Gases</t>
  </si>
  <si>
    <r>
      <t>T</t>
    </r>
    <r>
      <rPr>
        <sz val="8"/>
        <rFont val="Calibri"/>
        <family val="2"/>
        <scheme val="minor"/>
      </rPr>
      <t>g</t>
    </r>
  </si>
  <si>
    <t>Temperatura Fondo Paila</t>
  </si>
  <si>
    <r>
      <t>T</t>
    </r>
    <r>
      <rPr>
        <sz val="8"/>
        <rFont val="Calibri"/>
        <family val="2"/>
        <scheme val="minor"/>
      </rPr>
      <t>fp</t>
    </r>
  </si>
  <si>
    <t>Temperatura Pared</t>
  </si>
  <si>
    <r>
      <t>T</t>
    </r>
    <r>
      <rPr>
        <sz val="8"/>
        <rFont val="Calibri"/>
        <family val="2"/>
        <scheme val="minor"/>
      </rPr>
      <t>pd</t>
    </r>
  </si>
  <si>
    <r>
      <t>T</t>
    </r>
    <r>
      <rPr>
        <sz val="8"/>
        <rFont val="Calibri"/>
        <family val="2"/>
        <scheme val="minor"/>
      </rPr>
      <t>pi</t>
    </r>
  </si>
  <si>
    <t>C. de Boltzman</t>
  </si>
  <si>
    <t>σ</t>
  </si>
  <si>
    <t>W/m^2*K^4</t>
  </si>
  <si>
    <t>Emisividad Gases</t>
  </si>
  <si>
    <r>
      <t>ϵ</t>
    </r>
    <r>
      <rPr>
        <sz val="6"/>
        <rFont val="Calibri"/>
        <family val="2"/>
        <scheme val="minor"/>
      </rPr>
      <t>g</t>
    </r>
  </si>
  <si>
    <t>Emisividad Fondo Paila</t>
  </si>
  <si>
    <r>
      <t>ϵ</t>
    </r>
    <r>
      <rPr>
        <sz val="6"/>
        <rFont val="Calibri"/>
        <family val="2"/>
        <scheme val="minor"/>
      </rPr>
      <t>fp</t>
    </r>
  </si>
  <si>
    <t>Emisividad Ducto</t>
  </si>
  <si>
    <r>
      <t>ϵ</t>
    </r>
    <r>
      <rPr>
        <sz val="6"/>
        <rFont val="Calibri"/>
        <family val="2"/>
        <scheme val="minor"/>
      </rPr>
      <t>d</t>
    </r>
  </si>
  <si>
    <t>Factor de forma Pared</t>
  </si>
  <si>
    <r>
      <t>F</t>
    </r>
    <r>
      <rPr>
        <sz val="8"/>
        <rFont val="Calibri"/>
        <family val="2"/>
        <scheme val="minor"/>
      </rPr>
      <t>FPA</t>
    </r>
  </si>
  <si>
    <t>Factor de Forma Piso</t>
  </si>
  <si>
    <r>
      <t>F</t>
    </r>
    <r>
      <rPr>
        <sz val="8"/>
        <rFont val="Calibri"/>
        <family val="2"/>
        <scheme val="minor"/>
      </rPr>
      <t>FPI</t>
    </r>
  </si>
  <si>
    <t>Calor desde las Paredes</t>
  </si>
  <si>
    <r>
      <t>Q</t>
    </r>
    <r>
      <rPr>
        <sz val="8"/>
        <color theme="1"/>
        <rFont val="Calibri"/>
        <family val="2"/>
        <scheme val="minor"/>
      </rPr>
      <t>rpd</t>
    </r>
  </si>
  <si>
    <t>Calor desde el Piso</t>
  </si>
  <si>
    <r>
      <t>Q</t>
    </r>
    <r>
      <rPr>
        <sz val="8"/>
        <color theme="1"/>
        <rFont val="Calibri"/>
        <family val="2"/>
        <scheme val="minor"/>
      </rPr>
      <t>rpi</t>
    </r>
  </si>
  <si>
    <t>Calor desde el Gas</t>
  </si>
  <si>
    <r>
      <t>Q</t>
    </r>
    <r>
      <rPr>
        <sz val="8"/>
        <color theme="1"/>
        <rFont val="Calibri"/>
        <family val="2"/>
        <scheme val="minor"/>
      </rPr>
      <t>rgas</t>
    </r>
  </si>
  <si>
    <t>Total Q R P Paila</t>
  </si>
  <si>
    <r>
      <t>TQ</t>
    </r>
    <r>
      <rPr>
        <sz val="8"/>
        <color theme="1"/>
        <rFont val="Calibri"/>
        <family val="2"/>
        <scheme val="minor"/>
      </rPr>
      <t>rppa</t>
    </r>
  </si>
  <si>
    <t>No. Nusselt P.S.E</t>
  </si>
  <si>
    <t>No. Nusselt  Nre&lt;1e5</t>
  </si>
  <si>
    <t>No. Nusselt  Nre&gt;5e5</t>
  </si>
  <si>
    <t>No. Nusselt  1e5&lt; Nre &lt;5e5</t>
  </si>
  <si>
    <t>No. Nusselt Pirotubular Re&lt;2,3e3</t>
  </si>
  <si>
    <t>Calor Total</t>
  </si>
  <si>
    <t>Calcular</t>
  </si>
  <si>
    <t>Viscosidad del Jugo</t>
  </si>
  <si>
    <t>Kg/m.s</t>
  </si>
  <si>
    <t>Tension Superficial</t>
  </si>
  <si>
    <t>Vj</t>
  </si>
  <si>
    <t>Tn S j</t>
  </si>
  <si>
    <t>Kg/s^2</t>
  </si>
  <si>
    <t>Kg/m^3</t>
  </si>
  <si>
    <t>D j</t>
  </si>
  <si>
    <t>w/m K</t>
  </si>
  <si>
    <t>T Pared L Jugo</t>
  </si>
  <si>
    <t>Tppj</t>
  </si>
  <si>
    <t>flux Calor Paila</t>
  </si>
  <si>
    <t>Area Interior Paila</t>
  </si>
  <si>
    <t>Qx</t>
  </si>
  <si>
    <t>Aintp</t>
  </si>
  <si>
    <t>W/m^2</t>
  </si>
  <si>
    <t>Gas Total</t>
  </si>
  <si>
    <t>Flujo Masico</t>
  </si>
  <si>
    <t>kg/s</t>
  </si>
  <si>
    <t>% Molar</t>
  </si>
  <si>
    <t>Espesor de Lamina</t>
  </si>
  <si>
    <t>EsL(m)</t>
  </si>
  <si>
    <t>T Pared L Gas</t>
  </si>
  <si>
    <t>Tppg</t>
  </si>
  <si>
    <t>Temperatura Flama Ad</t>
  </si>
  <si>
    <t>Energia inicial Gas</t>
  </si>
  <si>
    <t>Perdidas</t>
  </si>
  <si>
    <t>Pedidas según 14%</t>
  </si>
  <si>
    <t>Temperarura antes de Paila</t>
  </si>
  <si>
    <t>Temperatura despues de Paila</t>
  </si>
  <si>
    <t>Temperatura Bajo la Paila</t>
  </si>
  <si>
    <t>Calor del Gas antes de Paila</t>
  </si>
  <si>
    <t>Calor Gas despues paila</t>
  </si>
  <si>
    <t>Calore Transferidos</t>
  </si>
  <si>
    <t>Qtt</t>
  </si>
  <si>
    <t>Qgap</t>
  </si>
  <si>
    <t>Qdap</t>
  </si>
  <si>
    <t>Tgap</t>
  </si>
  <si>
    <t>Tdap</t>
  </si>
  <si>
    <t>Psr</t>
  </si>
  <si>
    <t>Ps14</t>
  </si>
  <si>
    <t>Perdtot</t>
  </si>
  <si>
    <t>Calor Transferido desde el gas</t>
  </si>
  <si>
    <t>Qtdg</t>
  </si>
  <si>
    <t>Masa Jugo Entrada</t>
  </si>
  <si>
    <t>Kjug</t>
  </si>
  <si>
    <t>Mjug</t>
  </si>
  <si>
    <t>Temperatura jugo</t>
  </si>
  <si>
    <t>Tjug</t>
  </si>
  <si>
    <t>Concentrancion y Propiedades del jugo según calor cedido por el gas</t>
  </si>
  <si>
    <t>Masa de Jugo Entrada</t>
  </si>
  <si>
    <t>Calor de Diseño Pailas</t>
  </si>
  <si>
    <t>Qdp</t>
  </si>
  <si>
    <t>Error entre calores</t>
  </si>
  <si>
    <t>Porfavor no modificar de aquí para arriba porquer la CAGA</t>
  </si>
  <si>
    <t>Tabla de Resultados Hornilla</t>
  </si>
  <si>
    <t>Calor por Radacion Paila</t>
  </si>
  <si>
    <t>Eficiencia Calculada</t>
  </si>
  <si>
    <t>Stage</t>
  </si>
  <si>
    <t>Área de transferencia (m)*</t>
  </si>
  <si>
    <t>Sugarcane Juice</t>
  </si>
  <si>
    <t>Flue gas</t>
  </si>
  <si>
    <t>Potencia térmica requerida jugo (kW)</t>
  </si>
  <si>
    <t>Outlet temperature (°C)</t>
  </si>
  <si>
    <t>Q conveccion</t>
  </si>
  <si>
    <t xml:space="preserve">  Q radiacion</t>
  </si>
  <si>
    <t>Thermal Outlet potential (kW)</t>
  </si>
  <si>
    <t>Masa de Agua  Evaporada</t>
  </si>
  <si>
    <r>
      <t>M</t>
    </r>
    <r>
      <rPr>
        <sz val="8"/>
        <color theme="1"/>
        <rFont val="Calibri"/>
        <family val="2"/>
        <scheme val="minor"/>
      </rPr>
      <t>H2O</t>
    </r>
  </si>
  <si>
    <t>Masa de agua evaporada (Kg)</t>
  </si>
  <si>
    <t>Tabla resultados Articulo</t>
  </si>
  <si>
    <t>Temp. Jugo (°C)</t>
  </si>
  <si>
    <t>Conductividad del jugo</t>
  </si>
  <si>
    <t>Area Paredes Radiantes</t>
  </si>
  <si>
    <t>Area Piso radiante</t>
  </si>
  <si>
    <t>Area  Total Transferencia Paila</t>
  </si>
  <si>
    <t>Area Lisa</t>
  </si>
  <si>
    <t>Coeficiente de convección corregido</t>
  </si>
  <si>
    <r>
      <t xml:space="preserve">kg </t>
    </r>
    <r>
      <rPr>
        <sz val="8"/>
        <rFont val="Calibri"/>
        <family val="2"/>
        <scheme val="minor"/>
      </rPr>
      <t>H2O</t>
    </r>
    <r>
      <rPr>
        <sz val="11"/>
        <rFont val="Calibri"/>
        <family val="2"/>
        <scheme val="minor"/>
      </rPr>
      <t>/kg</t>
    </r>
    <r>
      <rPr>
        <sz val="8"/>
        <rFont val="Calibri"/>
        <family val="2"/>
        <scheme val="minor"/>
      </rPr>
      <t xml:space="preserve"> aire seco</t>
    </r>
  </si>
  <si>
    <t>Calor por Radiación</t>
  </si>
  <si>
    <t>Flux conveccion (kW/m^2)</t>
  </si>
  <si>
    <t xml:space="preserve">  Flux radiacion (kW/m^2)</t>
  </si>
  <si>
    <t>Velocidad I</t>
  </si>
  <si>
    <t>Temp. Pared L. Jugo (ºC)</t>
  </si>
  <si>
    <t>Tin</t>
  </si>
  <si>
    <t>Tout</t>
  </si>
  <si>
    <t>kJ/s</t>
  </si>
  <si>
    <t>Q gas</t>
  </si>
  <si>
    <t>Q recuperado</t>
  </si>
  <si>
    <t>Masa de Panela Ad</t>
  </si>
  <si>
    <t>Q aprovechado en Panela</t>
  </si>
  <si>
    <t>Factor de produccion de Panela</t>
  </si>
  <si>
    <t>Recuperador de Calor</t>
  </si>
  <si>
    <t>Eficiencia Global</t>
  </si>
  <si>
    <t>Ancho Seccion</t>
  </si>
  <si>
    <t>Area Calculada</t>
  </si>
  <si>
    <t>Especial &gt; 40 Kg</t>
  </si>
  <si>
    <t>Arp</t>
  </si>
  <si>
    <t>Longitud Seccion</t>
  </si>
  <si>
    <t>Ancho de Seccion</t>
  </si>
  <si>
    <t>Ansp</t>
  </si>
  <si>
    <t>N° Secciones An</t>
  </si>
  <si>
    <t>Lonsp</t>
  </si>
  <si>
    <t>N° Secciones An cl</t>
  </si>
  <si>
    <t>Numero de Secciones</t>
  </si>
  <si>
    <t>N°sp</t>
  </si>
  <si>
    <t>AD</t>
  </si>
  <si>
    <t>N° Secciones Lon</t>
  </si>
  <si>
    <t>Numero de Hileras</t>
  </si>
  <si>
    <t>N°hPrr</t>
  </si>
  <si>
    <t>Secciones Totales</t>
  </si>
  <si>
    <t>Ancho de Parrilla</t>
  </si>
  <si>
    <t>AnPrr</t>
  </si>
  <si>
    <t>ArpC</t>
  </si>
  <si>
    <t>Volumen Calculado</t>
  </si>
  <si>
    <t>Vcam</t>
  </si>
  <si>
    <t>m^3</t>
  </si>
  <si>
    <t>Ancho de camara</t>
  </si>
  <si>
    <t>AnCam</t>
  </si>
  <si>
    <t>Longitud Camara</t>
  </si>
  <si>
    <t>LonCam</t>
  </si>
  <si>
    <t xml:space="preserve">Altura camara </t>
  </si>
  <si>
    <t>Hcam</t>
  </si>
  <si>
    <t>Parrilla</t>
  </si>
  <si>
    <t>Calculada</t>
  </si>
  <si>
    <t>Manual</t>
  </si>
  <si>
    <t>Geometria camara</t>
  </si>
  <si>
    <t>Jugo</t>
  </si>
  <si>
    <t>Caña</t>
  </si>
  <si>
    <t>Agua a Evaporar</t>
  </si>
  <si>
    <t>A Evaporacion</t>
  </si>
  <si>
    <t>A Concentracion</t>
  </si>
  <si>
    <t>A Clarificacion</t>
  </si>
  <si>
    <t>Temperatura Ebullicion</t>
  </si>
  <si>
    <t>Calor espesifico jugo</t>
  </si>
  <si>
    <t xml:space="preserve"> Clarificacion</t>
  </si>
  <si>
    <r>
      <t>m</t>
    </r>
    <r>
      <rPr>
        <sz val="8"/>
        <color theme="1"/>
        <rFont val="Calibri"/>
        <family val="2"/>
        <scheme val="minor"/>
      </rPr>
      <t>bs</t>
    </r>
  </si>
  <si>
    <r>
      <rPr>
        <sz val="11"/>
        <color theme="1"/>
        <rFont val="Calibri"/>
        <family val="2"/>
        <scheme val="minor"/>
      </rPr>
      <t>m</t>
    </r>
    <r>
      <rPr>
        <sz val="8"/>
        <color theme="1"/>
        <rFont val="Calibri"/>
        <family val="2"/>
        <scheme val="minor"/>
      </rPr>
      <t>bsum</t>
    </r>
  </si>
  <si>
    <t>Evaporacion</t>
  </si>
  <si>
    <t>Concentracion</t>
  </si>
  <si>
    <t>Total</t>
  </si>
  <si>
    <t>Total (F.L.)</t>
  </si>
  <si>
    <t>Jugo Clarificado</t>
  </si>
  <si>
    <t>Jugo Pre Limp</t>
  </si>
  <si>
    <t>Bagazillo</t>
  </si>
  <si>
    <t>Calor Requerido por Etapa</t>
  </si>
  <si>
    <t>Inicial P. Clf</t>
  </si>
  <si>
    <t>Inicial P. Eva 1</t>
  </si>
  <si>
    <t>Inicial P. Con</t>
  </si>
  <si>
    <t>Clarificacón</t>
  </si>
  <si>
    <t>Evaporación</t>
  </si>
  <si>
    <t>Concentración</t>
  </si>
  <si>
    <t>Entalpia de Evaporizacion</t>
  </si>
  <si>
    <t>Propiedades de los Jugos</t>
  </si>
  <si>
    <t>Bag. Suministrado</t>
  </si>
  <si>
    <t>Bag. humedo</t>
  </si>
  <si>
    <t>Bag. seco</t>
  </si>
  <si>
    <t xml:space="preserve"> Inicial</t>
  </si>
  <si>
    <t>Clarificado</t>
  </si>
  <si>
    <t>Eva</t>
  </si>
  <si>
    <r>
      <t>m</t>
    </r>
    <r>
      <rPr>
        <sz val="6"/>
        <color theme="1"/>
        <rFont val="Calibri"/>
        <family val="2"/>
        <scheme val="minor"/>
      </rPr>
      <t>c</t>
    </r>
  </si>
  <si>
    <r>
      <t>m</t>
    </r>
    <r>
      <rPr>
        <sz val="6"/>
        <color theme="1"/>
        <rFont val="Calibri"/>
        <family val="2"/>
        <scheme val="minor"/>
      </rPr>
      <t>j</t>
    </r>
  </si>
  <si>
    <r>
      <t>m</t>
    </r>
    <r>
      <rPr>
        <sz val="6"/>
        <color theme="1"/>
        <rFont val="Calibri"/>
        <family val="2"/>
        <scheme val="minor"/>
      </rPr>
      <t>bzll</t>
    </r>
  </si>
  <si>
    <r>
      <t>m</t>
    </r>
    <r>
      <rPr>
        <sz val="6"/>
        <color theme="1"/>
        <rFont val="Calibri"/>
        <family val="2"/>
        <scheme val="minor"/>
      </rPr>
      <t>Cl</t>
    </r>
  </si>
  <si>
    <r>
      <t>m</t>
    </r>
    <r>
      <rPr>
        <sz val="6"/>
        <color theme="1"/>
        <rFont val="Calibri"/>
        <family val="2"/>
        <scheme val="minor"/>
      </rPr>
      <t>chz</t>
    </r>
  </si>
  <si>
    <r>
      <t>m</t>
    </r>
    <r>
      <rPr>
        <sz val="6"/>
        <color theme="1"/>
        <rFont val="Calibri"/>
        <family val="2"/>
        <scheme val="minor"/>
      </rPr>
      <t>EV</t>
    </r>
  </si>
  <si>
    <r>
      <t>m</t>
    </r>
    <r>
      <rPr>
        <sz val="6"/>
        <color theme="1"/>
        <rFont val="Calibri"/>
        <family val="2"/>
        <scheme val="minor"/>
      </rPr>
      <t>H2O</t>
    </r>
  </si>
  <si>
    <t>MAX</t>
  </si>
  <si>
    <t>Area Necesaria</t>
  </si>
  <si>
    <t>Area TTL Cam</t>
  </si>
  <si>
    <t>Refractario</t>
  </si>
  <si>
    <t>Tipo de ladrillo</t>
  </si>
  <si>
    <t>Comun</t>
  </si>
  <si>
    <t>-----</t>
  </si>
  <si>
    <t>Semirefractario</t>
  </si>
  <si>
    <t>W/m°C</t>
  </si>
  <si>
    <t>Esp Camara</t>
  </si>
  <si>
    <t>Q Perd Camara</t>
  </si>
  <si>
    <t>W</t>
  </si>
  <si>
    <t>m2</t>
  </si>
  <si>
    <t>m3</t>
  </si>
  <si>
    <t>Volumen</t>
  </si>
  <si>
    <t>L</t>
  </si>
  <si>
    <t>rad</t>
  </si>
  <si>
    <r>
      <t xml:space="preserve">Ang  </t>
    </r>
    <r>
      <rPr>
        <sz val="12"/>
        <color theme="1"/>
        <rFont val="Calibri"/>
        <family val="2"/>
      </rPr>
      <t>α</t>
    </r>
  </si>
  <si>
    <r>
      <t>A</t>
    </r>
    <r>
      <rPr>
        <sz val="6"/>
        <color theme="1"/>
        <rFont val="Calibri"/>
        <family val="2"/>
        <scheme val="minor"/>
      </rPr>
      <t>TC</t>
    </r>
  </si>
  <si>
    <r>
      <t>V</t>
    </r>
    <r>
      <rPr>
        <sz val="6"/>
        <color theme="1"/>
        <rFont val="Calibri"/>
        <family val="2"/>
        <scheme val="minor"/>
      </rPr>
      <t>TPA</t>
    </r>
  </si>
  <si>
    <r>
      <t>V</t>
    </r>
    <r>
      <rPr>
        <sz val="6"/>
        <color theme="1"/>
        <rFont val="Calibri"/>
        <family val="2"/>
        <scheme val="minor"/>
      </rPr>
      <t>FA</t>
    </r>
  </si>
  <si>
    <r>
      <t>V</t>
    </r>
    <r>
      <rPr>
        <sz val="6"/>
        <color theme="1"/>
        <rFont val="Calibri"/>
        <family val="2"/>
        <scheme val="minor"/>
      </rPr>
      <t>TJ</t>
    </r>
  </si>
  <si>
    <t>V</t>
  </si>
  <si>
    <t>A2</t>
  </si>
  <si>
    <t>x</t>
  </si>
  <si>
    <t>h fa</t>
  </si>
  <si>
    <t>R</t>
  </si>
  <si>
    <t>A1</t>
  </si>
  <si>
    <t xml:space="preserve">A </t>
  </si>
  <si>
    <r>
      <t xml:space="preserve">H </t>
    </r>
    <r>
      <rPr>
        <sz val="8"/>
        <rFont val="Calibri"/>
        <family val="2"/>
        <scheme val="minor"/>
      </rPr>
      <t xml:space="preserve">fn </t>
    </r>
  </si>
  <si>
    <t>Temperatura de Salida</t>
  </si>
  <si>
    <t>Temperatura de Entrada</t>
  </si>
  <si>
    <t>En Litros</t>
  </si>
  <si>
    <t>m^3/kg</t>
  </si>
  <si>
    <t>Vol Jugo</t>
  </si>
  <si>
    <r>
      <t>ρ</t>
    </r>
    <r>
      <rPr>
        <sz val="8"/>
        <color theme="1"/>
        <rFont val="Calibri"/>
        <family val="2"/>
      </rPr>
      <t>jug</t>
    </r>
  </si>
  <si>
    <t>Densidad del Jugo</t>
  </si>
  <si>
    <t>Semiesferica</t>
  </si>
  <si>
    <t>Tip P</t>
  </si>
  <si>
    <t>Orfg</t>
  </si>
  <si>
    <t>Orsde según Flujo de Gas</t>
  </si>
  <si>
    <t>ward</t>
  </si>
  <si>
    <t>Capacidad Estimada de la hornilla</t>
  </si>
  <si>
    <t>Masa De panela</t>
  </si>
  <si>
    <t>sem</t>
  </si>
  <si>
    <r>
      <t>J</t>
    </r>
    <r>
      <rPr>
        <sz val="6"/>
        <color theme="1"/>
        <rFont val="Calibri"/>
        <family val="2"/>
        <scheme val="minor"/>
      </rPr>
      <t>dT</t>
    </r>
  </si>
  <si>
    <t>Jornada de Trabajo</t>
  </si>
  <si>
    <t>T/h</t>
  </si>
  <si>
    <r>
      <t>C</t>
    </r>
    <r>
      <rPr>
        <sz val="6"/>
        <color theme="1"/>
        <rFont val="Calibri"/>
        <family val="2"/>
        <scheme val="minor"/>
      </rPr>
      <t>ssi</t>
    </r>
  </si>
  <si>
    <t>CSS de la Caña</t>
  </si>
  <si>
    <t>Jugo Crudo</t>
  </si>
  <si>
    <t>T/Ha</t>
  </si>
  <si>
    <r>
      <t>C</t>
    </r>
    <r>
      <rPr>
        <sz val="6"/>
        <color theme="1"/>
        <rFont val="Calibri"/>
        <family val="2"/>
        <scheme val="minor"/>
      </rPr>
      <t>ñH</t>
    </r>
  </si>
  <si>
    <t>Caña por Hectarea Esperada</t>
  </si>
  <si>
    <t>Caña Molida por Hora</t>
  </si>
  <si>
    <t>meses</t>
  </si>
  <si>
    <r>
      <t>P</t>
    </r>
    <r>
      <rPr>
        <sz val="6"/>
        <color theme="1"/>
        <rFont val="Calibri"/>
        <family val="2"/>
        <scheme val="minor"/>
      </rPr>
      <t>vg</t>
    </r>
  </si>
  <si>
    <t>Periodo vegetatio</t>
  </si>
  <si>
    <t>T/sem</t>
  </si>
  <si>
    <t>Caña molida a la semana</t>
  </si>
  <si>
    <t>Ha</t>
  </si>
  <si>
    <r>
      <t>A</t>
    </r>
    <r>
      <rPr>
        <sz val="6"/>
        <color theme="1"/>
        <rFont val="Calibri"/>
        <family val="2"/>
        <scheme val="minor"/>
      </rPr>
      <t>spc</t>
    </r>
  </si>
  <si>
    <t>Area de Caña Sembrada Para Calculo</t>
  </si>
  <si>
    <t>Ha/mes</t>
  </si>
  <si>
    <t>Area Cosechada al mes</t>
  </si>
  <si>
    <r>
      <t>A</t>
    </r>
    <r>
      <rPr>
        <sz val="6"/>
        <color theme="1"/>
        <rFont val="Calibri"/>
        <family val="2"/>
        <scheme val="minor"/>
      </rPr>
      <t>sp</t>
    </r>
  </si>
  <si>
    <t>Area de Caña Sembrada Propia</t>
  </si>
  <si>
    <t>Capacidad del Molino</t>
  </si>
  <si>
    <t>T/mes</t>
  </si>
  <si>
    <t>Caña molida al mes</t>
  </si>
  <si>
    <r>
      <t>A</t>
    </r>
    <r>
      <rPr>
        <sz val="6"/>
        <color theme="1"/>
        <rFont val="Calibri"/>
        <family val="2"/>
        <scheme val="minor"/>
      </rPr>
      <t>sar</t>
    </r>
  </si>
  <si>
    <t>Area de Caña Sembrada al rededor</t>
  </si>
  <si>
    <t>Transporte</t>
  </si>
  <si>
    <t xml:space="preserve">Cosecha </t>
  </si>
  <si>
    <t>Alimentacion de Caña</t>
  </si>
  <si>
    <t>Alimentacion de Bagazo</t>
  </si>
  <si>
    <t>Producto</t>
  </si>
  <si>
    <t>Calor por Convección</t>
  </si>
  <si>
    <t>Diseño Inicial</t>
  </si>
  <si>
    <t>Geometrias Basdas en Diseño Inicial</t>
  </si>
  <si>
    <t>- La Paila Concentradora se Diseño para Obtener Puntos cada 15 minutos de 1/4 de la producción estimada por hora</t>
  </si>
  <si>
    <t>Observación</t>
  </si>
  <si>
    <t>Energia Total Por Etapa</t>
  </si>
  <si>
    <t>Area Paredes Radiación</t>
  </si>
  <si>
    <t>Area Piso Radiación</t>
  </si>
  <si>
    <t>NA</t>
  </si>
  <si>
    <t>m²</t>
  </si>
  <si>
    <t>Area Paredes Piso y TechoPara Perdidas</t>
  </si>
  <si>
    <t>Area Chimenea</t>
  </si>
  <si>
    <t>Area Total</t>
  </si>
  <si>
    <t>Calor Especifico  jugo</t>
  </si>
  <si>
    <t>F1-2</t>
  </si>
  <si>
    <t>F1-3</t>
  </si>
  <si>
    <t>F1-4</t>
  </si>
  <si>
    <t>F1-5</t>
  </si>
  <si>
    <t>F1-6</t>
  </si>
  <si>
    <t>F1-1</t>
  </si>
  <si>
    <t>F2-1</t>
  </si>
  <si>
    <t>F2-2</t>
  </si>
  <si>
    <t>F2-3</t>
  </si>
  <si>
    <t>F2-4</t>
  </si>
  <si>
    <t>F2-5</t>
  </si>
  <si>
    <t>F2-6</t>
  </si>
  <si>
    <t>F3-1</t>
  </si>
  <si>
    <t>F3-2</t>
  </si>
  <si>
    <t>F4-1</t>
  </si>
  <si>
    <t>F5-1</t>
  </si>
  <si>
    <t>F6-1</t>
  </si>
  <si>
    <t>F3-3</t>
  </si>
  <si>
    <t>F3-4</t>
  </si>
  <si>
    <t>F3-5</t>
  </si>
  <si>
    <t>F3-6</t>
  </si>
  <si>
    <t>F4-2</t>
  </si>
  <si>
    <t>F4-3</t>
  </si>
  <si>
    <t>F4-4</t>
  </si>
  <si>
    <t>F4-5</t>
  </si>
  <si>
    <t>F4-6</t>
  </si>
  <si>
    <t>F5-2</t>
  </si>
  <si>
    <t>F5-3</t>
  </si>
  <si>
    <t>F5-4</t>
  </si>
  <si>
    <t>F5-5</t>
  </si>
  <si>
    <t>F5-6</t>
  </si>
  <si>
    <t>F6-2</t>
  </si>
  <si>
    <t>F6-3</t>
  </si>
  <si>
    <t>F6-4</t>
  </si>
  <si>
    <t>F6-5</t>
  </si>
  <si>
    <t>F6-6</t>
  </si>
  <si>
    <t>Horas al Dia</t>
  </si>
  <si>
    <t>consumo</t>
  </si>
  <si>
    <t>Diesel</t>
  </si>
  <si>
    <t>Potencia</t>
  </si>
  <si>
    <t>Consumo</t>
  </si>
  <si>
    <t>tiempo de Uso</t>
  </si>
  <si>
    <t>Hp</t>
  </si>
  <si>
    <t>L/h</t>
  </si>
  <si>
    <t>Consumo Total</t>
  </si>
  <si>
    <t>Precio Galon Diesel</t>
  </si>
  <si>
    <t>Gastado en la Molienda</t>
  </si>
  <si>
    <t>h/mes</t>
  </si>
  <si>
    <t>L/mes</t>
  </si>
  <si>
    <t>$/gal</t>
  </si>
  <si>
    <t>$/mes</t>
  </si>
  <si>
    <t>Electrico</t>
  </si>
  <si>
    <t>Corriente</t>
  </si>
  <si>
    <t>Precio KWh</t>
  </si>
  <si>
    <t>Consumo Trifasico</t>
  </si>
  <si>
    <t>v</t>
  </si>
  <si>
    <t>Potencia Nomina</t>
  </si>
  <si>
    <t>Eficiencia</t>
  </si>
  <si>
    <t xml:space="preserve">Coseno </t>
  </si>
  <si>
    <t>Tiempo de Uso</t>
  </si>
  <si>
    <t>$/KWh</t>
  </si>
  <si>
    <t>Potencia Activa</t>
  </si>
  <si>
    <t>Potencia Reactiva</t>
  </si>
  <si>
    <t>KVAR</t>
  </si>
  <si>
    <t>KWh</t>
  </si>
  <si>
    <t>Panela</t>
  </si>
  <si>
    <t>Dias de Trabajo</t>
  </si>
  <si>
    <t>Dias</t>
  </si>
  <si>
    <t>Diseño Geometrico Inicial</t>
  </si>
  <si>
    <t>Costo de Cultivo</t>
  </si>
  <si>
    <t>$/Año</t>
  </si>
  <si>
    <t>Precio de Panela</t>
  </si>
  <si>
    <t>$/Kg</t>
  </si>
  <si>
    <t>Costo Operario</t>
  </si>
  <si>
    <t>$</t>
  </si>
  <si>
    <t>Numero de Operarios</t>
  </si>
  <si>
    <t>Otros Insumos</t>
  </si>
  <si>
    <t>Producion Mensual</t>
  </si>
  <si>
    <t>Total Costos</t>
  </si>
  <si>
    <t>U</t>
  </si>
  <si>
    <t>Total Producción</t>
  </si>
  <si>
    <t>Bagazo Almazenado</t>
  </si>
  <si>
    <t>Kg/semana</t>
  </si>
  <si>
    <t>Densidad del Bagazo</t>
  </si>
  <si>
    <t>mp</t>
  </si>
  <si>
    <t>Eff</t>
  </si>
  <si>
    <t>Qsum</t>
  </si>
  <si>
    <t>Calor Necesario</t>
  </si>
  <si>
    <t>Bagazo</t>
  </si>
  <si>
    <t>Cantidad </t>
  </si>
  <si>
    <t>Valor Unitario ($) </t>
  </si>
  <si>
    <t>Valor Total ($) </t>
  </si>
  <si>
    <t>ÍTEM </t>
  </si>
  <si>
    <t>Salario Mensual ($) </t>
  </si>
  <si>
    <t>Ingeniero </t>
  </si>
  <si>
    <t>4,449917055932E+09 mm^3 (Relative Error = 0,020578%)</t>
  </si>
  <si>
    <t xml:space="preserve">Dimensiones </t>
  </si>
  <si>
    <t>Ladrillo</t>
  </si>
  <si>
    <t>Item</t>
  </si>
  <si>
    <t>Cantidad</t>
  </si>
  <si>
    <t>Nombre</t>
  </si>
  <si>
    <t>Valor unitario</t>
  </si>
  <si>
    <t>Tubo sanitario acero inoxidable 3"</t>
  </si>
  <si>
    <t>Codos sanitarios 3" acero inoxidable</t>
  </si>
  <si>
    <t>Válvula de bola 2 1/2" acero inoxidable</t>
  </si>
  <si>
    <t>ferula sanitaria 3" acero inoxidable</t>
  </si>
  <si>
    <t>Abrazadera sanitaria 3" acero inoxidable</t>
  </si>
  <si>
    <t>Empaque de silicona alta temperatura 3"</t>
  </si>
  <si>
    <t>Paila planna aleteada Curva</t>
  </si>
  <si>
    <t>Paila Evaporadora Plana</t>
  </si>
  <si>
    <t>Total Costruccion Hornilla</t>
  </si>
  <si>
    <t>Prelimpiador</t>
  </si>
  <si>
    <t>tanque recibidor</t>
  </si>
  <si>
    <t>Ladrillos Ducto</t>
  </si>
  <si>
    <t>Pegante</t>
  </si>
  <si>
    <t>Molino el Panelero R2-s con motor</t>
  </si>
  <si>
    <t>Molino</t>
  </si>
  <si>
    <t>Ducto</t>
  </si>
  <si>
    <t>Total Costos Operativos de cosntruccion</t>
  </si>
  <si>
    <t>Maestro de obra</t>
  </si>
  <si>
    <t>costos Operarios de Construccion Construccion</t>
  </si>
  <si>
    <t>Costos otras Areas</t>
  </si>
  <si>
    <t>Bloque 40x11,5x23 (0,06 m2 / ladrillo)</t>
  </si>
  <si>
    <t>Cemento (Bulto de 50 kg)</t>
  </si>
  <si>
    <t>Arena (m3)</t>
  </si>
  <si>
    <t>Mano de obra</t>
  </si>
  <si>
    <t xml:space="preserve">Angulo 1 1/2" x 3/16" x 6 metros </t>
  </si>
  <si>
    <t>Platina 1 1/2" x 3/16"</t>
  </si>
  <si>
    <t>Malla galvanizada electrosoldada recubierta en PVC calibre 16, abertura de 1/4". Altura de 1.2 metros o angeo de ancho 1.2 metros</t>
  </si>
  <si>
    <t>Soldadura y accesorios</t>
  </si>
  <si>
    <t>Teja Perfil 7 Gris</t>
  </si>
  <si>
    <t>Teja Ondulada Transparente Policarbonato</t>
  </si>
  <si>
    <t>Tubo rectangular 90 x 50 x 2mm Cal.14 x 6m</t>
  </si>
  <si>
    <t>Cercha Metalica De 3.00 Mt</t>
  </si>
  <si>
    <t>Obrero</t>
  </si>
  <si>
    <t>Seccion de parrilla</t>
  </si>
  <si>
    <t>Entada de hornilla</t>
  </si>
  <si>
    <t>Meson de acero inoxidable</t>
  </si>
  <si>
    <t>Gaberas</t>
  </si>
  <si>
    <t>Total Costruccion otras Areas</t>
  </si>
  <si>
    <t>Arrancador Electromágnetico Directo 32A</t>
  </si>
  <si>
    <t>Total coso Molino</t>
  </si>
  <si>
    <t>Estibas</t>
  </si>
  <si>
    <t>Total Costos de Construcción</t>
  </si>
  <si>
    <t>Costos de transportes</t>
  </si>
  <si>
    <t>Imprevistos</t>
  </si>
  <si>
    <t>Total coste Proyecto de construccion</t>
  </si>
  <si>
    <t>Costos Materiales</t>
  </si>
  <si>
    <t>Costo Total Materiales</t>
  </si>
  <si>
    <t>Año</t>
  </si>
  <si>
    <t>Valor</t>
  </si>
  <si>
    <t>Periodo</t>
  </si>
  <si>
    <t>Inversion</t>
  </si>
  <si>
    <t>Financiacion</t>
  </si>
  <si>
    <t>Total Inversion</t>
  </si>
  <si>
    <t>Valor de Salvamento</t>
  </si>
  <si>
    <t>Depreciacion</t>
  </si>
  <si>
    <t>costos operación mantenimiento</t>
  </si>
  <si>
    <t>Flujo de Caja</t>
  </si>
  <si>
    <t>TIR</t>
  </si>
  <si>
    <t>VPN</t>
  </si>
  <si>
    <t>TIO</t>
  </si>
  <si>
    <t>Ingresos</t>
  </si>
  <si>
    <t>Grandes</t>
  </si>
  <si>
    <t>Pequeñas</t>
  </si>
  <si>
    <t>Unidad 60 Kg/h</t>
  </si>
  <si>
    <t>R 2-S</t>
  </si>
  <si>
    <t>R 4-A</t>
  </si>
  <si>
    <t>R 4-S</t>
  </si>
  <si>
    <t>R-5-S</t>
  </si>
  <si>
    <t>R 8-A</t>
  </si>
  <si>
    <t>R 8-AC</t>
  </si>
  <si>
    <t>R 8-S</t>
  </si>
  <si>
    <t>R 12-AC</t>
  </si>
  <si>
    <t>R 14-AL</t>
  </si>
  <si>
    <t>R 14-S</t>
  </si>
  <si>
    <t>R15-ACR</t>
  </si>
  <si>
    <t>Modelo</t>
  </si>
  <si>
    <t>kg Caña/hora</t>
  </si>
  <si>
    <t>Gaolina</t>
  </si>
  <si>
    <t>Relcion i</t>
  </si>
  <si>
    <t>R-20-AT</t>
  </si>
  <si>
    <t>-</t>
  </si>
  <si>
    <t>Molinos</t>
  </si>
  <si>
    <t>Ancho del Piso</t>
  </si>
  <si>
    <t>An_pis</t>
  </si>
  <si>
    <t>Area cam</t>
  </si>
  <si>
    <t>Area Chim</t>
  </si>
  <si>
    <t>Area total</t>
  </si>
  <si>
    <t>Datos Entada Simulador</t>
  </si>
  <si>
    <t>T_jugo_1</t>
  </si>
  <si>
    <t>T_jugo_2</t>
  </si>
  <si>
    <t>T_jugo_3</t>
  </si>
  <si>
    <t>T_jugo_4</t>
  </si>
  <si>
    <t>T_jugo_5</t>
  </si>
  <si>
    <t>Comparación</t>
  </si>
  <si>
    <t>Hoja</t>
  </si>
  <si>
    <t>Simulador</t>
  </si>
  <si>
    <t>Pot_p1</t>
  </si>
  <si>
    <t>Pot_p2</t>
  </si>
  <si>
    <t>Pot_p3</t>
  </si>
  <si>
    <t>Pot_p4</t>
  </si>
  <si>
    <t>Pot_p5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</si>
</sst>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\ #,##0.00;[Red]\-&quot;$&quot;\ #,##0.00"/>
    <numFmt numFmtId="42" formatCode="_-&quot;$&quot;\ * #,##0_-;\-&quot;$&quot;\ * #,##0_-;_-&quot;$&quot;\ * &quot;-&quot;_-;_-@_-"/>
    <numFmt numFmtId="164" formatCode="#,##0.000"/>
    <numFmt numFmtId="165" formatCode="0.000"/>
    <numFmt numFmtId="166" formatCode="0.000E+00"/>
    <numFmt numFmtId="167" formatCode="0.0000"/>
    <numFmt numFmtId="168" formatCode="0.000000"/>
    <numFmt numFmtId="169" formatCode="0.0.E+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imes New Roman"/>
      <family val="1"/>
    </font>
    <font>
      <b/>
      <i/>
      <sz val="2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Times New Roman"/>
      <family val="1"/>
    </font>
    <font>
      <sz val="6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6"/>
      <color theme="1"/>
      <name val="Calibri"/>
      <family val="2"/>
      <scheme val="minor"/>
    </font>
    <font>
      <i/>
      <sz val="10"/>
      <color theme="1"/>
      <name val="Arial"/>
      <family val="2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6">
    <xf numFmtId="0" fontId="0" fillId="0" borderId="0" xfId="0"/>
    <xf numFmtId="164" fontId="0" fillId="2" borderId="7" xfId="0" applyNumberFormat="1" applyFill="1" applyBorder="1" applyAlignment="1">
      <alignment horizontal="left" vertical="center"/>
    </xf>
    <xf numFmtId="164" fontId="0" fillId="2" borderId="8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9" fontId="0" fillId="2" borderId="8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64" fontId="0" fillId="2" borderId="20" xfId="0" applyNumberFormat="1" applyFill="1" applyBorder="1" applyAlignment="1">
      <alignment horizontal="left" vertical="center"/>
    </xf>
    <xf numFmtId="164" fontId="0" fillId="2" borderId="21" xfId="0" applyNumberFormat="1" applyFill="1" applyBorder="1" applyAlignment="1">
      <alignment horizontal="center" vertical="center"/>
    </xf>
    <xf numFmtId="164" fontId="0" fillId="2" borderId="22" xfId="0" applyNumberForma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left" vertical="center"/>
    </xf>
    <xf numFmtId="164" fontId="0" fillId="2" borderId="18" xfId="0" applyNumberFormat="1" applyFill="1" applyBorder="1" applyAlignment="1">
      <alignment horizontal="center" vertical="center"/>
    </xf>
    <xf numFmtId="164" fontId="0" fillId="2" borderId="19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/>
    <xf numFmtId="0" fontId="0" fillId="4" borderId="0" xfId="0" applyFill="1" applyBorder="1"/>
    <xf numFmtId="165" fontId="0" fillId="6" borderId="8" xfId="0" applyNumberFormat="1" applyFill="1" applyBorder="1" applyAlignment="1">
      <alignment horizontal="center" vertical="center"/>
    </xf>
    <xf numFmtId="165" fontId="0" fillId="6" borderId="9" xfId="0" applyNumberFormat="1" applyFill="1" applyBorder="1" applyAlignment="1">
      <alignment horizontal="center" vertical="center"/>
    </xf>
    <xf numFmtId="165" fontId="0" fillId="6" borderId="7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Alignment="1">
      <alignment horizontal="center"/>
    </xf>
    <xf numFmtId="165" fontId="7" fillId="8" borderId="29" xfId="0" applyNumberFormat="1" applyFont="1" applyFill="1" applyBorder="1" applyProtection="1">
      <protection hidden="1"/>
    </xf>
    <xf numFmtId="0" fontId="7" fillId="7" borderId="8" xfId="0" applyFont="1" applyFill="1" applyBorder="1" applyAlignment="1">
      <alignment horizontal="center" vertical="center"/>
    </xf>
    <xf numFmtId="0" fontId="0" fillId="7" borderId="8" xfId="0" applyFill="1" applyBorder="1" applyAlignment="1">
      <alignment horizontal="center"/>
    </xf>
    <xf numFmtId="0" fontId="0" fillId="4" borderId="0" xfId="0" applyFill="1" applyBorder="1" applyAlignment="1"/>
    <xf numFmtId="0" fontId="0" fillId="4" borderId="0" xfId="0" applyFill="1" applyAlignment="1">
      <alignment shrinkToFit="1"/>
    </xf>
    <xf numFmtId="165" fontId="7" fillId="7" borderId="8" xfId="0" applyNumberFormat="1" applyFont="1" applyFill="1" applyBorder="1" applyAlignment="1">
      <alignment horizontal="center" vertical="center"/>
    </xf>
    <xf numFmtId="10" fontId="0" fillId="3" borderId="8" xfId="0" applyNumberFormat="1" applyFill="1" applyBorder="1" applyAlignment="1">
      <alignment horizontal="center" vertical="center"/>
    </xf>
    <xf numFmtId="0" fontId="5" fillId="9" borderId="28" xfId="0" applyFont="1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/>
    </xf>
    <xf numFmtId="0" fontId="7" fillId="9" borderId="17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165" fontId="0" fillId="9" borderId="18" xfId="0" applyNumberFormat="1" applyFill="1" applyBorder="1" applyAlignment="1">
      <alignment horizont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165" fontId="0" fillId="9" borderId="8" xfId="0" applyNumberFormat="1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164" fontId="0" fillId="9" borderId="1" xfId="0" applyNumberFormat="1" applyFill="1" applyBorder="1" applyAlignment="1">
      <alignment horizontal="left" vertical="center"/>
    </xf>
    <xf numFmtId="164" fontId="0" fillId="9" borderId="2" xfId="0" applyNumberFormat="1" applyFill="1" applyBorder="1" applyAlignment="1">
      <alignment horizontal="center" vertical="center"/>
    </xf>
    <xf numFmtId="164" fontId="0" fillId="9" borderId="3" xfId="0" applyNumberFormat="1" applyFill="1" applyBorder="1" applyAlignment="1">
      <alignment horizontal="center" vertical="center"/>
    </xf>
    <xf numFmtId="0" fontId="0" fillId="9" borderId="7" xfId="0" applyFill="1" applyBorder="1" applyAlignment="1">
      <alignment horizontal="left" vertical="center"/>
    </xf>
    <xf numFmtId="0" fontId="0" fillId="9" borderId="9" xfId="0" applyFill="1" applyBorder="1" applyAlignment="1">
      <alignment horizontal="center" vertical="center"/>
    </xf>
    <xf numFmtId="0" fontId="0" fillId="9" borderId="7" xfId="0" applyFill="1" applyBorder="1"/>
    <xf numFmtId="0" fontId="0" fillId="9" borderId="8" xfId="0" applyFill="1" applyBorder="1"/>
    <xf numFmtId="9" fontId="0" fillId="9" borderId="8" xfId="0" applyNumberFormat="1" applyFill="1" applyBorder="1" applyAlignment="1">
      <alignment horizontal="center"/>
    </xf>
    <xf numFmtId="0" fontId="0" fillId="9" borderId="9" xfId="0" applyFill="1" applyBorder="1"/>
    <xf numFmtId="0" fontId="0" fillId="9" borderId="17" xfId="0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10" fontId="0" fillId="9" borderId="18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165" fontId="0" fillId="9" borderId="29" xfId="0" applyNumberForma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0" fillId="9" borderId="1" xfId="0" applyNumberFormat="1" applyFill="1" applyBorder="1" applyAlignment="1">
      <alignment horizontal="center" vertical="center"/>
    </xf>
    <xf numFmtId="165" fontId="0" fillId="9" borderId="7" xfId="0" applyNumberForma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7" fillId="6" borderId="30" xfId="0" applyFont="1" applyFill="1" applyBorder="1" applyAlignment="1">
      <alignment horizontal="center" vertical="center"/>
    </xf>
    <xf numFmtId="165" fontId="7" fillId="6" borderId="2" xfId="0" applyNumberFormat="1" applyFont="1" applyFill="1" applyBorder="1" applyProtection="1">
      <protection hidden="1"/>
    </xf>
    <xf numFmtId="165" fontId="7" fillId="6" borderId="3" xfId="0" applyNumberFormat="1" applyFont="1" applyFill="1" applyBorder="1" applyProtection="1">
      <protection hidden="1"/>
    </xf>
    <xf numFmtId="0" fontId="0" fillId="6" borderId="32" xfId="0" applyFill="1" applyBorder="1" applyAlignment="1">
      <alignment horizontal="left" vertical="center"/>
    </xf>
    <xf numFmtId="0" fontId="0" fillId="6" borderId="27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0" fontId="0" fillId="6" borderId="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66" fontId="0" fillId="6" borderId="7" xfId="0" applyNumberFormat="1" applyFill="1" applyBorder="1" applyAlignment="1">
      <alignment horizontal="center" vertical="center"/>
    </xf>
    <xf numFmtId="166" fontId="0" fillId="6" borderId="8" xfId="0" applyNumberFormat="1" applyFill="1" applyBorder="1" applyAlignment="1">
      <alignment horizontal="center" vertical="center"/>
    </xf>
    <xf numFmtId="166" fontId="0" fillId="6" borderId="9" xfId="0" applyNumberFormat="1" applyFill="1" applyBorder="1" applyAlignment="1">
      <alignment horizontal="center" vertical="center"/>
    </xf>
    <xf numFmtId="0" fontId="0" fillId="6" borderId="31" xfId="0" quotePrefix="1" applyFill="1" applyBorder="1" applyAlignment="1">
      <alignment horizontal="center" vertical="center"/>
    </xf>
    <xf numFmtId="0" fontId="0" fillId="6" borderId="23" xfId="0" applyFill="1" applyBorder="1" applyAlignment="1">
      <alignment horizontal="left" vertical="center"/>
    </xf>
    <xf numFmtId="0" fontId="3" fillId="6" borderId="24" xfId="0" applyFont="1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5" fillId="6" borderId="7" xfId="0" applyFont="1" applyFill="1" applyBorder="1" applyAlignment="1">
      <alignment horizontal="left" vertical="center"/>
    </xf>
    <xf numFmtId="166" fontId="7" fillId="6" borderId="7" xfId="0" applyNumberFormat="1" applyFont="1" applyFill="1" applyBorder="1" applyAlignment="1">
      <alignment horizontal="center" vertical="center"/>
    </xf>
    <xf numFmtId="166" fontId="7" fillId="6" borderId="8" xfId="0" applyNumberFormat="1" applyFont="1" applyFill="1" applyBorder="1" applyAlignment="1">
      <alignment horizontal="center" vertical="center"/>
    </xf>
    <xf numFmtId="166" fontId="7" fillId="6" borderId="9" xfId="0" applyNumberFormat="1" applyFont="1" applyFill="1" applyBorder="1" applyAlignment="1">
      <alignment horizontal="center" vertical="center"/>
    </xf>
    <xf numFmtId="0" fontId="0" fillId="6" borderId="17" xfId="0" applyFill="1" applyBorder="1" applyAlignment="1">
      <alignment horizontal="left" vertical="center"/>
    </xf>
    <xf numFmtId="0" fontId="0" fillId="6" borderId="38" xfId="0" applyFill="1" applyBorder="1" applyAlignment="1">
      <alignment horizontal="center" vertical="center"/>
    </xf>
    <xf numFmtId="165" fontId="7" fillId="6" borderId="17" xfId="0" applyNumberFormat="1" applyFont="1" applyFill="1" applyBorder="1" applyAlignment="1">
      <alignment horizontal="center" vertical="center"/>
    </xf>
    <xf numFmtId="165" fontId="7" fillId="6" borderId="18" xfId="0" applyNumberFormat="1" applyFont="1" applyFill="1" applyBorder="1" applyAlignment="1">
      <alignment horizontal="center" vertical="center"/>
    </xf>
    <xf numFmtId="165" fontId="7" fillId="6" borderId="19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/>
    <xf numFmtId="0" fontId="0" fillId="9" borderId="18" xfId="0" applyFill="1" applyBorder="1"/>
    <xf numFmtId="0" fontId="0" fillId="4" borderId="14" xfId="0" applyFill="1" applyBorder="1" applyAlignment="1"/>
    <xf numFmtId="0" fontId="0" fillId="4" borderId="0" xfId="0" applyFill="1" applyBorder="1" applyAlignment="1">
      <alignment horizontal="center" vertical="center" shrinkToFit="1"/>
    </xf>
    <xf numFmtId="0" fontId="13" fillId="0" borderId="8" xfId="0" applyFont="1" applyBorder="1" applyAlignment="1">
      <alignment horizontal="center" vertical="center" wrapText="1"/>
    </xf>
    <xf numFmtId="165" fontId="13" fillId="0" borderId="8" xfId="0" applyNumberFormat="1" applyFont="1" applyFill="1" applyBorder="1" applyAlignment="1">
      <alignment horizontal="center" vertical="center"/>
    </xf>
    <xf numFmtId="165" fontId="13" fillId="0" borderId="18" xfId="0" applyNumberFormat="1" applyFont="1" applyFill="1" applyBorder="1" applyAlignment="1">
      <alignment horizontal="center" vertical="center"/>
    </xf>
    <xf numFmtId="11" fontId="0" fillId="6" borderId="8" xfId="0" applyNumberFormat="1" applyFill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166" fontId="0" fillId="6" borderId="7" xfId="0" applyNumberFormat="1" applyFill="1" applyBorder="1"/>
    <xf numFmtId="11" fontId="7" fillId="6" borderId="7" xfId="0" applyNumberFormat="1" applyFont="1" applyFill="1" applyBorder="1" applyAlignment="1">
      <alignment horizontal="center"/>
    </xf>
    <xf numFmtId="11" fontId="7" fillId="6" borderId="8" xfId="0" applyNumberFormat="1" applyFont="1" applyFill="1" applyBorder="1" applyAlignment="1">
      <alignment horizontal="center"/>
    </xf>
    <xf numFmtId="0" fontId="0" fillId="6" borderId="7" xfId="0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165" fontId="0" fillId="6" borderId="2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shrinkToFit="1"/>
    </xf>
    <xf numFmtId="0" fontId="0" fillId="4" borderId="0" xfId="0" applyFill="1" applyBorder="1" applyAlignment="1">
      <alignment horizontal="center" shrinkToFit="1"/>
    </xf>
    <xf numFmtId="164" fontId="7" fillId="6" borderId="18" xfId="0" applyNumberFormat="1" applyFont="1" applyFill="1" applyBorder="1" applyAlignment="1">
      <alignment horizontal="center" vertical="center" shrinkToFit="1"/>
    </xf>
    <xf numFmtId="165" fontId="7" fillId="7" borderId="8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165" fontId="7" fillId="6" borderId="2" xfId="0" applyNumberFormat="1" applyFont="1" applyFill="1" applyBorder="1" applyAlignment="1" applyProtection="1">
      <alignment shrinkToFit="1"/>
      <protection hidden="1"/>
    </xf>
    <xf numFmtId="165" fontId="0" fillId="6" borderId="2" xfId="0" applyNumberFormat="1" applyFill="1" applyBorder="1" applyAlignment="1">
      <alignment horizontal="center" vertical="center" shrinkToFit="1"/>
    </xf>
    <xf numFmtId="165" fontId="0" fillId="6" borderId="8" xfId="0" applyNumberFormat="1" applyFill="1" applyBorder="1" applyAlignment="1">
      <alignment horizontal="center" vertical="center" shrinkToFit="1"/>
    </xf>
    <xf numFmtId="166" fontId="0" fillId="6" borderId="8" xfId="0" applyNumberFormat="1" applyFill="1" applyBorder="1" applyAlignment="1">
      <alignment horizontal="center" vertical="center" shrinkToFit="1"/>
    </xf>
    <xf numFmtId="166" fontId="7" fillId="6" borderId="8" xfId="0" applyNumberFormat="1" applyFont="1" applyFill="1" applyBorder="1" applyAlignment="1">
      <alignment horizontal="center" vertical="center" shrinkToFit="1"/>
    </xf>
    <xf numFmtId="166" fontId="0" fillId="6" borderId="8" xfId="0" applyNumberFormat="1" applyFill="1" applyBorder="1" applyAlignment="1">
      <alignment shrinkToFit="1"/>
    </xf>
    <xf numFmtId="165" fontId="7" fillId="6" borderId="18" xfId="0" applyNumberFormat="1" applyFont="1" applyFill="1" applyBorder="1" applyAlignment="1">
      <alignment horizontal="center" vertical="center" shrinkToFit="1"/>
    </xf>
    <xf numFmtId="165" fontId="0" fillId="9" borderId="2" xfId="0" applyNumberFormat="1" applyFill="1" applyBorder="1" applyAlignment="1">
      <alignment horizontal="center" shrinkToFit="1"/>
    </xf>
    <xf numFmtId="165" fontId="0" fillId="9" borderId="8" xfId="0" applyNumberFormat="1" applyFill="1" applyBorder="1" applyAlignment="1">
      <alignment horizontal="center" shrinkToFit="1"/>
    </xf>
    <xf numFmtId="165" fontId="0" fillId="9" borderId="18" xfId="0" applyNumberFormat="1" applyFill="1" applyBorder="1" applyAlignment="1">
      <alignment horizontal="center" shrinkToFit="1"/>
    </xf>
    <xf numFmtId="165" fontId="0" fillId="9" borderId="29" xfId="0" applyNumberFormat="1" applyFill="1" applyBorder="1" applyAlignment="1">
      <alignment horizontal="center" shrinkToFit="1"/>
    </xf>
    <xf numFmtId="165" fontId="13" fillId="0" borderId="8" xfId="0" applyNumberFormat="1" applyFont="1" applyFill="1" applyBorder="1" applyAlignment="1">
      <alignment horizontal="center" vertical="center" shrinkToFit="1"/>
    </xf>
    <xf numFmtId="165" fontId="13" fillId="0" borderId="18" xfId="0" applyNumberFormat="1" applyFont="1" applyFill="1" applyBorder="1" applyAlignment="1">
      <alignment horizontal="center" vertical="center" shrinkToFit="1"/>
    </xf>
    <xf numFmtId="11" fontId="0" fillId="4" borderId="0" xfId="0" applyNumberFormat="1" applyFill="1" applyAlignment="1">
      <alignment shrinkToFit="1"/>
    </xf>
    <xf numFmtId="165" fontId="7" fillId="4" borderId="0" xfId="0" applyNumberFormat="1" applyFont="1" applyFill="1"/>
    <xf numFmtId="165" fontId="7" fillId="6" borderId="1" xfId="0" applyNumberFormat="1" applyFont="1" applyFill="1" applyBorder="1" applyAlignment="1">
      <alignment horizontal="left" vertical="center"/>
    </xf>
    <xf numFmtId="165" fontId="7" fillId="6" borderId="2" xfId="0" applyNumberFormat="1" applyFont="1" applyFill="1" applyBorder="1" applyAlignment="1">
      <alignment horizontal="center" vertical="center"/>
    </xf>
    <xf numFmtId="165" fontId="7" fillId="6" borderId="3" xfId="0" applyNumberFormat="1" applyFont="1" applyFill="1" applyBorder="1" applyAlignment="1">
      <alignment horizontal="center" vertical="center"/>
    </xf>
    <xf numFmtId="165" fontId="7" fillId="6" borderId="1" xfId="0" applyNumberFormat="1" applyFont="1" applyFill="1" applyBorder="1" applyAlignment="1">
      <alignment horizontal="center" vertical="center" shrinkToFit="1"/>
    </xf>
    <xf numFmtId="165" fontId="7" fillId="6" borderId="3" xfId="0" applyNumberFormat="1" applyFont="1" applyFill="1" applyBorder="1" applyAlignment="1">
      <alignment horizontal="center" vertical="center" shrinkToFit="1"/>
    </xf>
    <xf numFmtId="165" fontId="7" fillId="2" borderId="7" xfId="0" applyNumberFormat="1" applyFont="1" applyFill="1" applyBorder="1" applyAlignment="1">
      <alignment horizontal="left" vertical="center"/>
    </xf>
    <xf numFmtId="10" fontId="7" fillId="2" borderId="8" xfId="1" applyNumberFormat="1" applyFont="1" applyFill="1" applyBorder="1" applyAlignment="1">
      <alignment horizontal="center" vertical="center"/>
    </xf>
    <xf numFmtId="165" fontId="7" fillId="2" borderId="9" xfId="0" applyNumberFormat="1" applyFont="1" applyFill="1" applyBorder="1" applyAlignment="1">
      <alignment horizontal="center" vertical="center"/>
    </xf>
    <xf numFmtId="165" fontId="7" fillId="6" borderId="7" xfId="0" applyNumberFormat="1" applyFont="1" applyFill="1" applyBorder="1" applyAlignment="1">
      <alignment horizontal="left" vertical="center" shrinkToFit="1"/>
    </xf>
    <xf numFmtId="165" fontId="7" fillId="6" borderId="8" xfId="0" applyNumberFormat="1" applyFont="1" applyFill="1" applyBorder="1" applyAlignment="1">
      <alignment horizontal="center" vertical="center"/>
    </xf>
    <xf numFmtId="165" fontId="7" fillId="6" borderId="9" xfId="0" applyNumberFormat="1" applyFont="1" applyFill="1" applyBorder="1" applyAlignment="1">
      <alignment horizontal="center" vertical="center"/>
    </xf>
    <xf numFmtId="165" fontId="7" fillId="6" borderId="7" xfId="0" applyNumberFormat="1" applyFont="1" applyFill="1" applyBorder="1" applyAlignment="1">
      <alignment horizontal="center" vertical="center" shrinkToFit="1"/>
    </xf>
    <xf numFmtId="165" fontId="7" fillId="6" borderId="9" xfId="0" applyNumberFormat="1" applyFont="1" applyFill="1" applyBorder="1" applyAlignment="1">
      <alignment horizontal="center" vertical="center" shrinkToFit="1"/>
    </xf>
    <xf numFmtId="165" fontId="7" fillId="6" borderId="7" xfId="0" applyNumberFormat="1" applyFont="1" applyFill="1" applyBorder="1" applyAlignment="1">
      <alignment horizontal="left" vertical="center"/>
    </xf>
    <xf numFmtId="10" fontId="7" fillId="6" borderId="8" xfId="1" applyNumberFormat="1" applyFont="1" applyFill="1" applyBorder="1" applyAlignment="1">
      <alignment horizontal="center" vertical="center"/>
    </xf>
    <xf numFmtId="165" fontId="7" fillId="6" borderId="17" xfId="0" applyNumberFormat="1" applyFont="1" applyFill="1" applyBorder="1" applyAlignment="1">
      <alignment horizontal="left" vertical="center"/>
    </xf>
    <xf numFmtId="165" fontId="7" fillId="6" borderId="17" xfId="0" applyNumberFormat="1" applyFont="1" applyFill="1" applyBorder="1" applyAlignment="1">
      <alignment horizontal="center" vertical="center" shrinkToFit="1"/>
    </xf>
    <xf numFmtId="165" fontId="7" fillId="6" borderId="18" xfId="0" applyNumberFormat="1" applyFont="1" applyFill="1" applyBorder="1" applyAlignment="1">
      <alignment horizontal="center"/>
    </xf>
    <xf numFmtId="165" fontId="7" fillId="6" borderId="19" xfId="0" applyNumberFormat="1" applyFont="1" applyFill="1" applyBorder="1" applyAlignment="1">
      <alignment horizontal="center" vertical="center" shrinkToFit="1"/>
    </xf>
    <xf numFmtId="165" fontId="7" fillId="4" borderId="0" xfId="0" applyNumberFormat="1" applyFont="1" applyFill="1" applyBorder="1" applyAlignment="1">
      <alignment vertical="center"/>
    </xf>
    <xf numFmtId="165" fontId="7" fillId="4" borderId="0" xfId="0" applyNumberFormat="1" applyFont="1" applyFill="1" applyAlignment="1">
      <alignment shrinkToFit="1"/>
    </xf>
    <xf numFmtId="165" fontId="7" fillId="6" borderId="23" xfId="0" applyNumberFormat="1" applyFont="1" applyFill="1" applyBorder="1" applyAlignment="1">
      <alignment horizontal="left" vertical="center" shrinkToFit="1"/>
    </xf>
    <xf numFmtId="165" fontId="7" fillId="6" borderId="24" xfId="0" applyNumberFormat="1" applyFont="1" applyFill="1" applyBorder="1" applyAlignment="1">
      <alignment horizontal="center" vertical="center"/>
    </xf>
    <xf numFmtId="165" fontId="7" fillId="6" borderId="25" xfId="0" applyNumberFormat="1" applyFont="1" applyFill="1" applyBorder="1" applyAlignment="1">
      <alignment horizontal="center" vertical="center"/>
    </xf>
    <xf numFmtId="165" fontId="7" fillId="6" borderId="8" xfId="0" applyNumberFormat="1" applyFont="1" applyFill="1" applyBorder="1" applyAlignment="1">
      <alignment horizontal="center"/>
    </xf>
    <xf numFmtId="165" fontId="7" fillId="6" borderId="32" xfId="0" applyNumberFormat="1" applyFont="1" applyFill="1" applyBorder="1" applyAlignment="1">
      <alignment horizontal="left" vertical="center"/>
    </xf>
    <xf numFmtId="165" fontId="7" fillId="6" borderId="27" xfId="0" applyNumberFormat="1" applyFont="1" applyFill="1" applyBorder="1" applyAlignment="1">
      <alignment horizontal="center" vertical="center"/>
    </xf>
    <xf numFmtId="165" fontId="7" fillId="6" borderId="33" xfId="0" applyNumberFormat="1" applyFont="1" applyFill="1" applyBorder="1" applyAlignment="1">
      <alignment horizontal="center" vertical="center"/>
    </xf>
    <xf numFmtId="165" fontId="7" fillId="6" borderId="19" xfId="0" applyNumberFormat="1" applyFont="1" applyFill="1" applyBorder="1" applyAlignment="1">
      <alignment vertical="center" shrinkToFit="1"/>
    </xf>
    <xf numFmtId="0" fontId="7" fillId="4" borderId="0" xfId="0" applyFont="1" applyFill="1" applyAlignment="1">
      <alignment shrinkToFit="1"/>
    </xf>
    <xf numFmtId="0" fontId="7" fillId="4" borderId="0" xfId="0" applyFont="1" applyFill="1"/>
    <xf numFmtId="0" fontId="7" fillId="6" borderId="2" xfId="0" applyFont="1" applyFill="1" applyBorder="1"/>
    <xf numFmtId="0" fontId="7" fillId="6" borderId="3" xfId="0" applyFont="1" applyFill="1" applyBorder="1" applyAlignment="1">
      <alignment shrinkToFit="1"/>
    </xf>
    <xf numFmtId="165" fontId="7" fillId="6" borderId="17" xfId="0" applyNumberFormat="1" applyFont="1" applyFill="1" applyBorder="1" applyAlignment="1">
      <alignment vertical="center" shrinkToFit="1"/>
    </xf>
    <xf numFmtId="165" fontId="7" fillId="6" borderId="18" xfId="0" applyNumberFormat="1" applyFont="1" applyFill="1" applyBorder="1" applyAlignment="1">
      <alignment vertical="center"/>
    </xf>
    <xf numFmtId="165" fontId="7" fillId="4" borderId="0" xfId="0" applyNumberFormat="1" applyFont="1" applyFill="1" applyBorder="1" applyAlignment="1">
      <alignment horizontal="left" vertical="center"/>
    </xf>
    <xf numFmtId="165" fontId="7" fillId="4" borderId="0" xfId="0" applyNumberFormat="1" applyFont="1" applyFill="1" applyBorder="1" applyAlignment="1">
      <alignment horizontal="center" vertical="center"/>
    </xf>
    <xf numFmtId="165" fontId="7" fillId="6" borderId="28" xfId="0" applyNumberFormat="1" applyFont="1" applyFill="1" applyBorder="1" applyAlignment="1">
      <alignment horizontal="left" vertical="center"/>
    </xf>
    <xf numFmtId="0" fontId="7" fillId="0" borderId="5" xfId="0" applyFont="1" applyBorder="1"/>
    <xf numFmtId="165" fontId="7" fillId="3" borderId="30" xfId="0" applyNumberFormat="1" applyFont="1" applyFill="1" applyBorder="1" applyAlignment="1">
      <alignment horizontal="center" vertical="center"/>
    </xf>
    <xf numFmtId="165" fontId="7" fillId="8" borderId="28" xfId="0" applyNumberFormat="1" applyFont="1" applyFill="1" applyBorder="1" applyAlignment="1">
      <alignment horizontal="left" vertical="center"/>
    </xf>
    <xf numFmtId="0" fontId="7" fillId="8" borderId="29" xfId="0" applyFont="1" applyFill="1" applyBorder="1"/>
    <xf numFmtId="0" fontId="7" fillId="8" borderId="29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165" fontId="7" fillId="4" borderId="0" xfId="0" applyNumberFormat="1" applyFont="1" applyFill="1" applyBorder="1"/>
    <xf numFmtId="0" fontId="7" fillId="6" borderId="2" xfId="0" applyFont="1" applyFill="1" applyBorder="1" applyAlignment="1">
      <alignment horizontal="center"/>
    </xf>
    <xf numFmtId="0" fontId="7" fillId="6" borderId="8" xfId="0" applyFont="1" applyFill="1" applyBorder="1"/>
    <xf numFmtId="165" fontId="7" fillId="6" borderId="8" xfId="0" applyNumberFormat="1" applyFont="1" applyFill="1" applyBorder="1"/>
    <xf numFmtId="165" fontId="7" fillId="6" borderId="8" xfId="0" applyNumberFormat="1" applyFont="1" applyFill="1" applyBorder="1" applyAlignment="1">
      <alignment shrinkToFit="1"/>
    </xf>
    <xf numFmtId="165" fontId="7" fillId="6" borderId="9" xfId="0" applyNumberFormat="1" applyFont="1" applyFill="1" applyBorder="1"/>
    <xf numFmtId="165" fontId="7" fillId="6" borderId="7" xfId="0" applyNumberFormat="1" applyFont="1" applyFill="1" applyBorder="1"/>
    <xf numFmtId="165" fontId="7" fillId="6" borderId="17" xfId="0" applyNumberFormat="1" applyFont="1" applyFill="1" applyBorder="1"/>
    <xf numFmtId="165" fontId="7" fillId="6" borderId="18" xfId="0" applyNumberFormat="1" applyFont="1" applyFill="1" applyBorder="1"/>
    <xf numFmtId="165" fontId="7" fillId="6" borderId="19" xfId="0" applyNumberFormat="1" applyFont="1" applyFill="1" applyBorder="1"/>
    <xf numFmtId="165" fontId="0" fillId="5" borderId="8" xfId="0" applyNumberFormat="1" applyFill="1" applyBorder="1" applyAlignment="1">
      <alignment horizontal="center"/>
    </xf>
    <xf numFmtId="165" fontId="0" fillId="7" borderId="8" xfId="0" applyNumberFormat="1" applyFill="1" applyBorder="1" applyAlignment="1">
      <alignment horizontal="center"/>
    </xf>
    <xf numFmtId="165" fontId="0" fillId="7" borderId="8" xfId="0" applyNumberFormat="1" applyFill="1" applyBorder="1" applyAlignment="1">
      <alignment horizontal="center" shrinkToFit="1"/>
    </xf>
    <xf numFmtId="0" fontId="9" fillId="7" borderId="8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7" borderId="17" xfId="0" applyFont="1" applyFill="1" applyBorder="1" applyAlignment="1">
      <alignment horizontal="center" vertical="center"/>
    </xf>
    <xf numFmtId="0" fontId="7" fillId="7" borderId="18" xfId="0" applyFont="1" applyFill="1" applyBorder="1" applyAlignment="1">
      <alignment horizontal="center" vertical="center"/>
    </xf>
    <xf numFmtId="165" fontId="7" fillId="7" borderId="18" xfId="0" applyNumberFormat="1" applyFont="1" applyFill="1" applyBorder="1" applyAlignment="1">
      <alignment horizontal="center" vertical="center"/>
    </xf>
    <xf numFmtId="0" fontId="7" fillId="7" borderId="34" xfId="0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 wrapText="1" shrinkToFit="1"/>
    </xf>
    <xf numFmtId="0" fontId="0" fillId="0" borderId="0" xfId="0" applyBorder="1"/>
    <xf numFmtId="167" fontId="7" fillId="7" borderId="8" xfId="0" applyNumberFormat="1" applyFont="1" applyFill="1" applyBorder="1" applyAlignment="1">
      <alignment horizontal="center" vertical="center"/>
    </xf>
    <xf numFmtId="165" fontId="7" fillId="6" borderId="7" xfId="0" applyNumberFormat="1" applyFont="1" applyFill="1" applyBorder="1" applyAlignment="1">
      <alignment horizontal="center" vertical="center"/>
    </xf>
    <xf numFmtId="165" fontId="7" fillId="6" borderId="32" xfId="0" applyNumberFormat="1" applyFont="1" applyFill="1" applyBorder="1" applyAlignment="1">
      <alignment horizontal="center" vertical="center" shrinkToFit="1"/>
    </xf>
    <xf numFmtId="165" fontId="7" fillId="6" borderId="27" xfId="0" applyNumberFormat="1" applyFont="1" applyFill="1" applyBorder="1" applyAlignment="1">
      <alignment horizontal="center"/>
    </xf>
    <xf numFmtId="165" fontId="7" fillId="6" borderId="7" xfId="0" applyNumberFormat="1" applyFont="1" applyFill="1" applyBorder="1" applyAlignment="1">
      <alignment horizontal="center" shrinkToFit="1"/>
    </xf>
    <xf numFmtId="165" fontId="7" fillId="6" borderId="9" xfId="0" applyNumberFormat="1" applyFont="1" applyFill="1" applyBorder="1" applyAlignment="1">
      <alignment horizontal="center" shrinkToFit="1"/>
    </xf>
    <xf numFmtId="165" fontId="7" fillId="6" borderId="33" xfId="0" applyNumberFormat="1" applyFont="1" applyFill="1" applyBorder="1" applyAlignment="1">
      <alignment horizontal="center" vertical="center" shrinkToFit="1"/>
    </xf>
    <xf numFmtId="0" fontId="13" fillId="0" borderId="9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9" xfId="0" applyNumberFormat="1" applyFont="1" applyFill="1" applyBorder="1" applyAlignment="1">
      <alignment horizontal="center" vertical="center"/>
    </xf>
    <xf numFmtId="165" fontId="17" fillId="4" borderId="18" xfId="0" applyNumberFormat="1" applyFont="1" applyFill="1" applyBorder="1" applyAlignment="1">
      <alignment horizontal="center" vertical="center"/>
    </xf>
    <xf numFmtId="165" fontId="17" fillId="4" borderId="19" xfId="0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/>
    </xf>
    <xf numFmtId="165" fontId="7" fillId="4" borderId="0" xfId="0" applyNumberFormat="1" applyFont="1" applyFill="1" applyBorder="1" applyAlignment="1">
      <alignment horizontal="center"/>
    </xf>
    <xf numFmtId="0" fontId="16" fillId="0" borderId="0" xfId="0" applyFont="1" applyBorder="1"/>
    <xf numFmtId="168" fontId="0" fillId="6" borderId="15" xfId="0" applyNumberFormat="1" applyFill="1" applyBorder="1" applyAlignment="1">
      <alignment horizontal="center"/>
    </xf>
    <xf numFmtId="165" fontId="0" fillId="6" borderId="7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6" borderId="9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 shrinkToFit="1"/>
    </xf>
    <xf numFmtId="165" fontId="0" fillId="6" borderId="7" xfId="0" applyNumberFormat="1" applyFill="1" applyBorder="1" applyAlignment="1">
      <alignment horizontal="center" shrinkToFit="1"/>
    </xf>
    <xf numFmtId="0" fontId="0" fillId="6" borderId="17" xfId="0" applyFill="1" applyBorder="1" applyAlignment="1">
      <alignment horizontal="center" shrinkToFit="1"/>
    </xf>
    <xf numFmtId="9" fontId="0" fillId="6" borderId="18" xfId="1" applyFont="1" applyFill="1" applyBorder="1" applyAlignment="1">
      <alignment horizontal="center"/>
    </xf>
    <xf numFmtId="9" fontId="0" fillId="6" borderId="19" xfId="1" applyFont="1" applyFill="1" applyBorder="1" applyAlignment="1">
      <alignment horizontal="center"/>
    </xf>
    <xf numFmtId="0" fontId="0" fillId="9" borderId="47" xfId="0" applyFill="1" applyBorder="1" applyAlignment="1">
      <alignment horizontal="center" vertical="center"/>
    </xf>
    <xf numFmtId="0" fontId="0" fillId="9" borderId="37" xfId="0" applyFill="1" applyBorder="1" applyAlignment="1">
      <alignment horizontal="center"/>
    </xf>
    <xf numFmtId="0" fontId="0" fillId="9" borderId="31" xfId="0" applyFill="1" applyBorder="1" applyAlignment="1">
      <alignment horizontal="center" vertical="center"/>
    </xf>
    <xf numFmtId="0" fontId="0" fillId="9" borderId="31" xfId="0" applyFill="1" applyBorder="1" applyAlignment="1">
      <alignment horizontal="center"/>
    </xf>
    <xf numFmtId="0" fontId="7" fillId="9" borderId="38" xfId="0" applyFont="1" applyFill="1" applyBorder="1" applyAlignment="1">
      <alignment horizontal="center" vertical="center"/>
    </xf>
    <xf numFmtId="165" fontId="0" fillId="9" borderId="1" xfId="0" applyNumberFormat="1" applyFill="1" applyBorder="1" applyAlignment="1">
      <alignment horizontal="center"/>
    </xf>
    <xf numFmtId="165" fontId="0" fillId="9" borderId="7" xfId="0" applyNumberFormat="1" applyFill="1" applyBorder="1" applyAlignment="1">
      <alignment horizontal="center"/>
    </xf>
    <xf numFmtId="165" fontId="0" fillId="9" borderId="17" xfId="0" applyNumberFormat="1" applyFill="1" applyBorder="1" applyAlignment="1">
      <alignment horizontal="center"/>
    </xf>
    <xf numFmtId="0" fontId="0" fillId="6" borderId="43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4" fontId="0" fillId="0" borderId="14" xfId="0" applyNumberFormat="1" applyBorder="1" applyAlignment="1">
      <alignment vertical="center"/>
    </xf>
    <xf numFmtId="165" fontId="0" fillId="4" borderId="0" xfId="0" applyNumberFormat="1" applyFill="1" applyAlignment="1">
      <alignment horizontal="center" vertical="center" shrinkToFit="1"/>
    </xf>
    <xf numFmtId="164" fontId="0" fillId="4" borderId="0" xfId="0" applyNumberFormat="1" applyFill="1" applyBorder="1" applyAlignment="1">
      <alignment horizontal="center" vertical="center" shrinkToFit="1"/>
    </xf>
    <xf numFmtId="0" fontId="15" fillId="4" borderId="0" xfId="0" applyFont="1" applyFill="1"/>
    <xf numFmtId="0" fontId="2" fillId="6" borderId="0" xfId="0" applyFont="1" applyFill="1" applyBorder="1" applyAlignment="1">
      <alignment horizontal="center"/>
    </xf>
    <xf numFmtId="164" fontId="0" fillId="6" borderId="43" xfId="0" applyNumberFormat="1" applyFill="1" applyBorder="1" applyAlignment="1">
      <alignment horizontal="center" vertical="center" shrinkToFit="1"/>
    </xf>
    <xf numFmtId="164" fontId="3" fillId="6" borderId="14" xfId="0" applyNumberFormat="1" applyFont="1" applyFill="1" applyBorder="1" applyAlignment="1">
      <alignment horizontal="center" vertical="center" shrinkToFit="1"/>
    </xf>
    <xf numFmtId="164" fontId="0" fillId="6" borderId="15" xfId="0" applyNumberFormat="1" applyFill="1" applyBorder="1" applyAlignment="1">
      <alignment horizontal="center" vertical="center" shrinkToFit="1"/>
    </xf>
    <xf numFmtId="164" fontId="3" fillId="6" borderId="0" xfId="0" applyNumberFormat="1" applyFont="1" applyFill="1" applyBorder="1" applyAlignment="1">
      <alignment horizontal="center" vertical="center" shrinkToFit="1"/>
    </xf>
    <xf numFmtId="164" fontId="3" fillId="6" borderId="49" xfId="0" applyNumberFormat="1" applyFont="1" applyFill="1" applyBorder="1" applyAlignment="1">
      <alignment horizontal="center" vertical="center" shrinkToFit="1"/>
    </xf>
    <xf numFmtId="164" fontId="0" fillId="6" borderId="50" xfId="0" applyNumberFormat="1" applyFill="1" applyBorder="1" applyAlignment="1">
      <alignment horizontal="center" vertical="center" shrinkToFit="1"/>
    </xf>
    <xf numFmtId="164" fontId="0" fillId="6" borderId="7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vertical="center"/>
    </xf>
    <xf numFmtId="9" fontId="0" fillId="6" borderId="8" xfId="1" applyFont="1" applyFill="1" applyBorder="1" applyAlignment="1">
      <alignment horizontal="center" vertical="center"/>
    </xf>
    <xf numFmtId="164" fontId="0" fillId="6" borderId="9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horizontal="center" vertical="center"/>
    </xf>
    <xf numFmtId="164" fontId="0" fillId="6" borderId="17" xfId="0" applyNumberFormat="1" applyFill="1" applyBorder="1" applyAlignment="1">
      <alignment horizontal="left" vertical="center"/>
    </xf>
    <xf numFmtId="164" fontId="0" fillId="6" borderId="18" xfId="0" applyNumberFormat="1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 vertical="center" shrinkToFit="1"/>
    </xf>
    <xf numFmtId="165" fontId="0" fillId="6" borderId="49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/>
    </xf>
    <xf numFmtId="0" fontId="0" fillId="6" borderId="43" xfId="0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0" fontId="0" fillId="4" borderId="49" xfId="0" applyFill="1" applyBorder="1" applyAlignment="1"/>
    <xf numFmtId="0" fontId="0" fillId="2" borderId="8" xfId="0" quotePrefix="1" applyFill="1" applyBorder="1" applyAlignment="1">
      <alignment horizontal="center" vertical="center"/>
    </xf>
    <xf numFmtId="165" fontId="7" fillId="6" borderId="32" xfId="0" applyNumberFormat="1" applyFont="1" applyFill="1" applyBorder="1" applyAlignment="1">
      <alignment horizontal="left" vertical="center" shrinkToFit="1"/>
    </xf>
    <xf numFmtId="11" fontId="7" fillId="6" borderId="8" xfId="0" applyNumberFormat="1" applyFont="1" applyFill="1" applyBorder="1" applyAlignment="1">
      <alignment horizontal="center" vertical="center"/>
    </xf>
    <xf numFmtId="165" fontId="7" fillId="4" borderId="26" xfId="0" applyNumberFormat="1" applyFont="1" applyFill="1" applyBorder="1" applyAlignment="1"/>
    <xf numFmtId="0" fontId="0" fillId="4" borderId="5" xfId="0" applyFill="1" applyBorder="1" applyAlignment="1"/>
    <xf numFmtId="0" fontId="0" fillId="6" borderId="15" xfId="0" applyFont="1" applyFill="1" applyBorder="1" applyAlignment="1">
      <alignment shrinkToFit="1"/>
    </xf>
    <xf numFmtId="0" fontId="0" fillId="6" borderId="43" xfId="0" applyFont="1" applyFill="1" applyBorder="1" applyAlignment="1">
      <alignment shrinkToFit="1"/>
    </xf>
    <xf numFmtId="0" fontId="0" fillId="6" borderId="43" xfId="0" applyFont="1" applyFill="1" applyBorder="1" applyAlignment="1">
      <alignment horizontal="center" vertical="center" shrinkToFit="1"/>
    </xf>
    <xf numFmtId="0" fontId="0" fillId="6" borderId="50" xfId="0" applyFont="1" applyFill="1" applyBorder="1" applyAlignment="1">
      <alignment horizontal="center" vertical="center" shrinkToFit="1"/>
    </xf>
    <xf numFmtId="0" fontId="0" fillId="2" borderId="8" xfId="0" applyFill="1" applyBorder="1" applyAlignment="1">
      <alignment horizontal="center" vertical="center"/>
    </xf>
    <xf numFmtId="0" fontId="0" fillId="6" borderId="0" xfId="0" applyFill="1" applyBorder="1" applyAlignment="1">
      <alignment horizontal="center"/>
    </xf>
    <xf numFmtId="164" fontId="0" fillId="6" borderId="49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49" xfId="0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0" fontId="0" fillId="4" borderId="42" xfId="0" applyFill="1" applyBorder="1"/>
    <xf numFmtId="0" fontId="0" fillId="4" borderId="0" xfId="0" applyFill="1" applyBorder="1" applyAlignment="1">
      <alignment horizontal="center" vertical="center"/>
    </xf>
    <xf numFmtId="164" fontId="0" fillId="3" borderId="18" xfId="0" applyNumberForma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4" borderId="27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164" fontId="0" fillId="4" borderId="0" xfId="0" applyNumberFormat="1" applyFill="1" applyBorder="1" applyAlignment="1">
      <alignment horizontal="center" vertical="center"/>
    </xf>
    <xf numFmtId="164" fontId="0" fillId="4" borderId="50" xfId="0" applyNumberFormat="1" applyFill="1" applyBorder="1" applyAlignment="1">
      <alignment horizontal="center" vertical="center"/>
    </xf>
    <xf numFmtId="164" fontId="0" fillId="4" borderId="49" xfId="0" applyNumberFormat="1" applyFill="1" applyBorder="1" applyAlignment="1">
      <alignment horizontal="center" vertical="center"/>
    </xf>
    <xf numFmtId="164" fontId="0" fillId="3" borderId="17" xfId="0" applyNumberFormat="1" applyFill="1" applyBorder="1" applyAlignment="1">
      <alignment horizontal="center" vertical="center"/>
    </xf>
    <xf numFmtId="164" fontId="0" fillId="4" borderId="43" xfId="0" applyNumberFormat="1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164" fontId="7" fillId="4" borderId="7" xfId="0" applyNumberFormat="1" applyFont="1" applyFill="1" applyBorder="1" applyAlignment="1">
      <alignment horizontal="center" vertical="center"/>
    </xf>
    <xf numFmtId="164" fontId="7" fillId="4" borderId="32" xfId="0" applyNumberFormat="1" applyFont="1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164" fontId="7" fillId="6" borderId="8" xfId="0" applyNumberFormat="1" applyFont="1" applyFill="1" applyBorder="1" applyAlignment="1">
      <alignment horizontal="center" vertical="center" shrinkToFit="1"/>
    </xf>
    <xf numFmtId="164" fontId="7" fillId="6" borderId="19" xfId="0" applyNumberFormat="1" applyFont="1" applyFill="1" applyBorder="1" applyAlignment="1">
      <alignment horizontal="center" vertical="center" shrinkToFit="1"/>
    </xf>
    <xf numFmtId="165" fontId="7" fillId="2" borderId="30" xfId="0" applyNumberFormat="1" applyFont="1" applyFill="1" applyBorder="1" applyAlignment="1">
      <alignment horizontal="center" vertical="center"/>
    </xf>
    <xf numFmtId="165" fontId="7" fillId="2" borderId="29" xfId="0" applyNumberFormat="1" applyFont="1" applyFill="1" applyBorder="1" applyAlignment="1">
      <alignment horizontal="center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165" fontId="7" fillId="6" borderId="9" xfId="0" applyNumberFormat="1" applyFont="1" applyFill="1" applyBorder="1" applyAlignment="1">
      <alignment horizontal="center"/>
    </xf>
    <xf numFmtId="164" fontId="3" fillId="6" borderId="8" xfId="0" applyNumberFormat="1" applyFont="1" applyFill="1" applyBorder="1" applyAlignment="1">
      <alignment horizontal="center" vertical="center" shrinkToFit="1"/>
    </xf>
    <xf numFmtId="165" fontId="7" fillId="6" borderId="8" xfId="0" applyNumberFormat="1" applyFont="1" applyFill="1" applyBorder="1" applyAlignment="1">
      <alignment horizontal="center" vertical="center" shrinkToFit="1"/>
    </xf>
    <xf numFmtId="164" fontId="7" fillId="2" borderId="8" xfId="0" applyNumberFormat="1" applyFont="1" applyFill="1" applyBorder="1" applyAlignment="1">
      <alignment horizontal="center" vertical="center"/>
    </xf>
    <xf numFmtId="164" fontId="7" fillId="2" borderId="8" xfId="0" applyNumberFormat="1" applyFont="1" applyFill="1" applyBorder="1" applyAlignment="1">
      <alignment horizontal="center" vertical="center" shrinkToFit="1"/>
    </xf>
    <xf numFmtId="0" fontId="7" fillId="2" borderId="8" xfId="0" applyFont="1" applyFill="1" applyBorder="1" applyAlignment="1">
      <alignment horizontal="center" vertical="center"/>
    </xf>
    <xf numFmtId="0" fontId="7" fillId="0" borderId="8" xfId="0" applyFont="1" applyBorder="1"/>
    <xf numFmtId="0" fontId="0" fillId="0" borderId="8" xfId="0" applyBorder="1"/>
    <xf numFmtId="0" fontId="0" fillId="0" borderId="7" xfId="0" applyBorder="1"/>
    <xf numFmtId="0" fontId="7" fillId="0" borderId="2" xfId="0" applyFont="1" applyFill="1" applyBorder="1"/>
    <xf numFmtId="0" fontId="7" fillId="0" borderId="2" xfId="0" applyFont="1" applyBorder="1"/>
    <xf numFmtId="0" fontId="7" fillId="0" borderId="2" xfId="0" applyFont="1" applyFill="1" applyBorder="1" applyAlignment="1">
      <alignment horizontal="center"/>
    </xf>
    <xf numFmtId="164" fontId="0" fillId="4" borderId="14" xfId="0" applyNumberFormat="1" applyFill="1" applyBorder="1" applyAlignment="1">
      <alignment vertical="center"/>
    </xf>
    <xf numFmtId="165" fontId="0" fillId="4" borderId="0" xfId="0" applyNumberFormat="1" applyFill="1"/>
    <xf numFmtId="0" fontId="0" fillId="6" borderId="18" xfId="0" applyFill="1" applyBorder="1"/>
    <xf numFmtId="165" fontId="0" fillId="6" borderId="8" xfId="0" applyNumberFormat="1" applyFill="1" applyBorder="1"/>
    <xf numFmtId="164" fontId="0" fillId="6" borderId="9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left" vertical="center"/>
    </xf>
    <xf numFmtId="0" fontId="0" fillId="6" borderId="8" xfId="0" applyFill="1" applyBorder="1"/>
    <xf numFmtId="0" fontId="0" fillId="6" borderId="7" xfId="0" applyFill="1" applyBorder="1"/>
    <xf numFmtId="0" fontId="0" fillId="6" borderId="9" xfId="0" applyFill="1" applyBorder="1"/>
    <xf numFmtId="165" fontId="0" fillId="6" borderId="2" xfId="0" applyNumberFormat="1" applyFill="1" applyBorder="1"/>
    <xf numFmtId="0" fontId="0" fillId="6" borderId="2" xfId="0" applyFill="1" applyBorder="1"/>
    <xf numFmtId="0" fontId="0" fillId="6" borderId="1" xfId="0" applyFill="1" applyBorder="1"/>
    <xf numFmtId="0" fontId="0" fillId="4" borderId="36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4" xfId="0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164" fontId="0" fillId="6" borderId="49" xfId="0" applyNumberFormat="1" applyFill="1" applyBorder="1" applyAlignment="1">
      <alignment horizontal="center" vertical="center" shrinkToFit="1"/>
    </xf>
    <xf numFmtId="0" fontId="0" fillId="6" borderId="49" xfId="0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5" xfId="0" applyFill="1" applyBorder="1" applyAlignment="1">
      <alignment horizontal="center" vertical="center" shrinkToFit="1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0" borderId="0" xfId="0" applyBorder="1" applyAlignment="1"/>
    <xf numFmtId="0" fontId="7" fillId="6" borderId="5" xfId="0" applyFont="1" applyFill="1" applyBorder="1" applyAlignment="1">
      <alignment horizontal="center" vertical="center"/>
    </xf>
    <xf numFmtId="164" fontId="0" fillId="4" borderId="0" xfId="0" applyNumberFormat="1" applyFill="1" applyBorder="1" applyAlignment="1"/>
    <xf numFmtId="165" fontId="0" fillId="4" borderId="0" xfId="0" applyNumberFormat="1" applyFill="1" applyBorder="1" applyAlignment="1"/>
    <xf numFmtId="0" fontId="7" fillId="6" borderId="3" xfId="0" applyFont="1" applyFill="1" applyBorder="1"/>
    <xf numFmtId="0" fontId="7" fillId="6" borderId="8" xfId="0" applyFont="1" applyFill="1" applyBorder="1" applyAlignment="1">
      <alignment horizontal="center" shrinkToFit="1"/>
    </xf>
    <xf numFmtId="0" fontId="7" fillId="6" borderId="9" xfId="0" applyFont="1" applyFill="1" applyBorder="1" applyAlignment="1">
      <alignment horizontal="center" shrinkToFit="1"/>
    </xf>
    <xf numFmtId="0" fontId="0" fillId="6" borderId="1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6" borderId="19" xfId="0" applyFill="1" applyBorder="1" applyAlignment="1">
      <alignment horizontal="center" shrinkToFit="1"/>
    </xf>
    <xf numFmtId="165" fontId="7" fillId="6" borderId="29" xfId="0" applyNumberFormat="1" applyFont="1" applyFill="1" applyBorder="1" applyAlignment="1">
      <alignment horizontal="center" vertical="center"/>
    </xf>
    <xf numFmtId="165" fontId="7" fillId="6" borderId="30" xfId="0" applyNumberFormat="1" applyFont="1" applyFill="1" applyBorder="1" applyAlignment="1">
      <alignment horizontal="center" vertical="center"/>
    </xf>
    <xf numFmtId="0" fontId="9" fillId="6" borderId="18" xfId="0" applyFont="1" applyFill="1" applyBorder="1" applyAlignment="1">
      <alignment horizontal="center" vertical="center"/>
    </xf>
    <xf numFmtId="0" fontId="7" fillId="6" borderId="31" xfId="0" applyFont="1" applyFill="1" applyBorder="1" applyAlignment="1">
      <alignment horizontal="center" vertical="center"/>
    </xf>
    <xf numFmtId="0" fontId="7" fillId="6" borderId="38" xfId="0" applyFont="1" applyFill="1" applyBorder="1" applyAlignment="1">
      <alignment horizontal="center" vertical="center"/>
    </xf>
    <xf numFmtId="165" fontId="0" fillId="0" borderId="8" xfId="0" applyNumberForma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0" fillId="4" borderId="5" xfId="0" applyFill="1" applyBorder="1" applyAlignment="1">
      <alignment shrinkToFit="1"/>
    </xf>
    <xf numFmtId="0" fontId="0" fillId="4" borderId="5" xfId="0" applyFill="1" applyBorder="1"/>
    <xf numFmtId="0" fontId="0" fillId="0" borderId="0" xfId="0" applyFill="1" applyBorder="1" applyAlignment="1"/>
    <xf numFmtId="0" fontId="0" fillId="4" borderId="13" xfId="0" applyFill="1" applyBorder="1" applyAlignment="1"/>
    <xf numFmtId="0" fontId="0" fillId="4" borderId="14" xfId="0" applyFill="1" applyBorder="1"/>
    <xf numFmtId="165" fontId="17" fillId="0" borderId="8" xfId="0" applyNumberFormat="1" applyFont="1" applyBorder="1" applyAlignment="1">
      <alignment horizontal="center" vertical="center" shrinkToFit="1"/>
    </xf>
    <xf numFmtId="0" fontId="13" fillId="0" borderId="7" xfId="0" applyFont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17" xfId="0" applyFont="1" applyFill="1" applyBorder="1" applyAlignment="1">
      <alignment horizontal="center" vertical="center"/>
    </xf>
    <xf numFmtId="165" fontId="17" fillId="0" borderId="18" xfId="0" applyNumberFormat="1" applyFont="1" applyBorder="1" applyAlignment="1">
      <alignment horizontal="center" vertical="center" shrinkToFit="1"/>
    </xf>
    <xf numFmtId="0" fontId="13" fillId="0" borderId="32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 wrapText="1"/>
    </xf>
    <xf numFmtId="0" fontId="15" fillId="4" borderId="0" xfId="0" applyFont="1" applyFill="1" applyAlignment="1"/>
    <xf numFmtId="0" fontId="0" fillId="4" borderId="13" xfId="0" applyFill="1" applyBorder="1" applyAlignment="1">
      <alignment horizontal="center"/>
    </xf>
    <xf numFmtId="0" fontId="0" fillId="4" borderId="0" xfId="0" applyFill="1" applyAlignment="1">
      <alignment vertical="center"/>
    </xf>
    <xf numFmtId="0" fontId="0" fillId="4" borderId="26" xfId="0" applyFill="1" applyBorder="1"/>
    <xf numFmtId="0" fontId="0" fillId="4" borderId="43" xfId="0" applyFill="1" applyBorder="1"/>
    <xf numFmtId="0" fontId="0" fillId="4" borderId="45" xfId="0" applyFill="1" applyBorder="1" applyAlignment="1">
      <alignment horizontal="center" vertical="center"/>
    </xf>
    <xf numFmtId="0" fontId="0" fillId="4" borderId="48" xfId="0" applyFill="1" applyBorder="1"/>
    <xf numFmtId="0" fontId="0" fillId="4" borderId="46" xfId="0" applyFill="1" applyBorder="1" applyAlignment="1">
      <alignment horizontal="center" vertical="center"/>
    </xf>
    <xf numFmtId="0" fontId="0" fillId="4" borderId="13" xfId="0" applyFill="1" applyBorder="1"/>
    <xf numFmtId="0" fontId="0" fillId="4" borderId="50" xfId="0" applyFill="1" applyBorder="1"/>
    <xf numFmtId="0" fontId="7" fillId="4" borderId="0" xfId="0" applyFont="1" applyFill="1" applyBorder="1" applyAlignment="1"/>
    <xf numFmtId="0" fontId="7" fillId="6" borderId="37" xfId="0" applyFont="1" applyFill="1" applyBorder="1" applyAlignment="1">
      <alignment horizontal="center"/>
    </xf>
    <xf numFmtId="0" fontId="7" fillId="6" borderId="31" xfId="0" applyFont="1" applyFill="1" applyBorder="1" applyAlignment="1">
      <alignment horizontal="center"/>
    </xf>
    <xf numFmtId="165" fontId="7" fillId="6" borderId="38" xfId="0" applyNumberFormat="1" applyFont="1" applyFill="1" applyBorder="1" applyAlignment="1">
      <alignment horizontal="center"/>
    </xf>
    <xf numFmtId="165" fontId="7" fillId="6" borderId="1" xfId="0" applyNumberFormat="1" applyFont="1" applyFill="1" applyBorder="1"/>
    <xf numFmtId="165" fontId="0" fillId="6" borderId="27" xfId="0" applyNumberFormat="1" applyFill="1" applyBorder="1" applyAlignment="1">
      <alignment horizontal="center" vertical="center"/>
    </xf>
    <xf numFmtId="165" fontId="0" fillId="6" borderId="27" xfId="0" applyNumberFormat="1" applyFill="1" applyBorder="1" applyAlignment="1">
      <alignment horizontal="center" vertical="center" shrinkToFit="1"/>
    </xf>
    <xf numFmtId="165" fontId="0" fillId="6" borderId="17" xfId="0" applyNumberFormat="1" applyFill="1" applyBorder="1" applyAlignment="1">
      <alignment horizontal="center" vertical="center"/>
    </xf>
    <xf numFmtId="165" fontId="0" fillId="6" borderId="18" xfId="0" applyNumberFormat="1" applyFill="1" applyBorder="1" applyAlignment="1">
      <alignment horizontal="center" vertical="center" shrinkToFit="1"/>
    </xf>
    <xf numFmtId="165" fontId="0" fillId="6" borderId="18" xfId="0" applyNumberFormat="1" applyFill="1" applyBorder="1" applyAlignment="1">
      <alignment horizontal="center" vertical="center"/>
    </xf>
    <xf numFmtId="165" fontId="0" fillId="6" borderId="19" xfId="0" applyNumberFormat="1" applyFill="1" applyBorder="1" applyAlignment="1">
      <alignment horizontal="center" vertical="center"/>
    </xf>
    <xf numFmtId="165" fontId="0" fillId="6" borderId="32" xfId="0" applyNumberFormat="1" applyFill="1" applyBorder="1" applyAlignment="1">
      <alignment horizontal="center" vertical="center"/>
    </xf>
    <xf numFmtId="165" fontId="0" fillId="6" borderId="33" xfId="0" applyNumberFormat="1" applyFill="1" applyBorder="1" applyAlignment="1">
      <alignment horizontal="center" vertical="center"/>
    </xf>
    <xf numFmtId="0" fontId="0" fillId="9" borderId="37" xfId="0" applyFill="1" applyBorder="1" applyAlignment="1">
      <alignment horizontal="center" vertical="center"/>
    </xf>
    <xf numFmtId="0" fontId="0" fillId="9" borderId="38" xfId="0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shrinkToFit="1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/>
    </xf>
    <xf numFmtId="0" fontId="0" fillId="4" borderId="8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9" xfId="0" applyFill="1" applyBorder="1"/>
    <xf numFmtId="0" fontId="0" fillId="4" borderId="18" xfId="0" applyFill="1" applyBorder="1"/>
    <xf numFmtId="0" fontId="0" fillId="4" borderId="19" xfId="0" applyFill="1" applyBorder="1"/>
    <xf numFmtId="0" fontId="7" fillId="7" borderId="12" xfId="0" applyFont="1" applyFill="1" applyBorder="1" applyAlignment="1">
      <alignment horizontal="center" vertical="center"/>
    </xf>
    <xf numFmtId="165" fontId="7" fillId="7" borderId="7" xfId="0" applyNumberFormat="1" applyFont="1" applyFill="1" applyBorder="1" applyAlignment="1">
      <alignment horizontal="center" vertical="center"/>
    </xf>
    <xf numFmtId="165" fontId="7" fillId="7" borderId="9" xfId="0" applyNumberFormat="1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/>
    </xf>
    <xf numFmtId="165" fontId="0" fillId="5" borderId="9" xfId="0" applyNumberFormat="1" applyFill="1" applyBorder="1" applyAlignment="1">
      <alignment horizontal="center"/>
    </xf>
    <xf numFmtId="165" fontId="0" fillId="7" borderId="7" xfId="0" applyNumberFormat="1" applyFill="1" applyBorder="1" applyAlignment="1">
      <alignment horizontal="center"/>
    </xf>
    <xf numFmtId="165" fontId="0" fillId="7" borderId="9" xfId="0" applyNumberFormat="1" applyFill="1" applyBorder="1" applyAlignment="1">
      <alignment horizontal="center"/>
    </xf>
    <xf numFmtId="167" fontId="7" fillId="7" borderId="7" xfId="0" applyNumberFormat="1" applyFont="1" applyFill="1" applyBorder="1" applyAlignment="1">
      <alignment horizontal="center" vertical="center"/>
    </xf>
    <xf numFmtId="167" fontId="7" fillId="7" borderId="9" xfId="0" applyNumberFormat="1" applyFont="1" applyFill="1" applyBorder="1" applyAlignment="1">
      <alignment horizontal="center" vertical="center"/>
    </xf>
    <xf numFmtId="165" fontId="7" fillId="7" borderId="17" xfId="0" applyNumberFormat="1" applyFont="1" applyFill="1" applyBorder="1" applyAlignment="1">
      <alignment horizontal="center" vertical="center"/>
    </xf>
    <xf numFmtId="165" fontId="7" fillId="7" borderId="19" xfId="0" applyNumberFormat="1" applyFont="1" applyFill="1" applyBorder="1" applyAlignment="1">
      <alignment horizontal="center" vertical="center"/>
    </xf>
    <xf numFmtId="169" fontId="7" fillId="6" borderId="7" xfId="0" applyNumberFormat="1" applyFont="1" applyFill="1" applyBorder="1" applyAlignment="1">
      <alignment horizontal="center" vertical="center"/>
    </xf>
    <xf numFmtId="169" fontId="7" fillId="6" borderId="8" xfId="0" applyNumberFormat="1" applyFont="1" applyFill="1" applyBorder="1" applyAlignment="1">
      <alignment horizontal="center" vertical="center" shrinkToFit="1"/>
    </xf>
    <xf numFmtId="169" fontId="7" fillId="6" borderId="8" xfId="0" applyNumberFormat="1" applyFont="1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165" fontId="0" fillId="4" borderId="32" xfId="0" applyNumberFormat="1" applyFill="1" applyBorder="1" applyAlignment="1">
      <alignment horizontal="center"/>
    </xf>
    <xf numFmtId="165" fontId="0" fillId="4" borderId="27" xfId="0" applyNumberFormat="1" applyFill="1" applyBorder="1" applyAlignment="1">
      <alignment horizontal="center" shrinkToFit="1"/>
    </xf>
    <xf numFmtId="165" fontId="0" fillId="4" borderId="27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 shrinkToFit="1"/>
    </xf>
    <xf numFmtId="165" fontId="0" fillId="4" borderId="8" xfId="0" applyNumberFormat="1" applyFill="1" applyBorder="1" applyAlignment="1">
      <alignment horizontal="center"/>
    </xf>
    <xf numFmtId="165" fontId="0" fillId="4" borderId="17" xfId="0" applyNumberFormat="1" applyFill="1" applyBorder="1" applyAlignment="1">
      <alignment horizontal="center"/>
    </xf>
    <xf numFmtId="165" fontId="0" fillId="4" borderId="18" xfId="0" applyNumberFormat="1" applyFill="1" applyBorder="1" applyAlignment="1">
      <alignment horizontal="center" shrinkToFit="1"/>
    </xf>
    <xf numFmtId="165" fontId="0" fillId="4" borderId="18" xfId="0" applyNumberFormat="1" applyFill="1" applyBorder="1" applyAlignment="1">
      <alignment horizontal="center"/>
    </xf>
    <xf numFmtId="165" fontId="7" fillId="4" borderId="40" xfId="0" applyNumberFormat="1" applyFont="1" applyFill="1" applyBorder="1" applyAlignment="1">
      <alignment shrinkToFit="1"/>
    </xf>
    <xf numFmtId="165" fontId="7" fillId="8" borderId="30" xfId="0" applyNumberFormat="1" applyFont="1" applyFill="1" applyBorder="1" applyProtection="1">
      <protection hidden="1"/>
    </xf>
    <xf numFmtId="0" fontId="7" fillId="7" borderId="31" xfId="0" applyFont="1" applyFill="1" applyBorder="1" applyAlignment="1">
      <alignment horizontal="center" vertical="center"/>
    </xf>
    <xf numFmtId="0" fontId="7" fillId="7" borderId="37" xfId="0" applyFont="1" applyFill="1" applyBorder="1" applyAlignment="1">
      <alignment horizontal="center" vertical="center"/>
    </xf>
    <xf numFmtId="0" fontId="0" fillId="7" borderId="31" xfId="0" applyFill="1" applyBorder="1" applyAlignment="1">
      <alignment horizontal="center"/>
    </xf>
    <xf numFmtId="0" fontId="7" fillId="7" borderId="38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8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0" fontId="0" fillId="4" borderId="0" xfId="0" applyNumberFormat="1" applyFill="1" applyAlignment="1">
      <alignment horizontal="center"/>
    </xf>
    <xf numFmtId="0" fontId="0" fillId="4" borderId="36" xfId="0" applyFill="1" applyBorder="1" applyAlignment="1"/>
    <xf numFmtId="0" fontId="0" fillId="4" borderId="42" xfId="0" applyFill="1" applyBorder="1" applyAlignment="1"/>
    <xf numFmtId="0" fontId="0" fillId="6" borderId="50" xfId="0" applyFill="1" applyBorder="1" applyAlignment="1">
      <alignment horizontal="center" vertical="center"/>
    </xf>
    <xf numFmtId="11" fontId="7" fillId="6" borderId="7" xfId="0" applyNumberFormat="1" applyFont="1" applyFill="1" applyBorder="1" applyAlignment="1">
      <alignment horizontal="center" vertical="center"/>
    </xf>
    <xf numFmtId="0" fontId="0" fillId="4" borderId="8" xfId="0" applyFill="1" applyBorder="1" applyAlignment="1"/>
    <xf numFmtId="0" fontId="0" fillId="4" borderId="1" xfId="0" applyFill="1" applyBorder="1"/>
    <xf numFmtId="0" fontId="0" fillId="0" borderId="2" xfId="0" applyBorder="1"/>
    <xf numFmtId="0" fontId="0" fillId="4" borderId="2" xfId="0" applyFill="1" applyBorder="1" applyAlignment="1"/>
    <xf numFmtId="0" fontId="0" fillId="4" borderId="7" xfId="0" applyFill="1" applyBorder="1"/>
    <xf numFmtId="0" fontId="0" fillId="4" borderId="17" xfId="0" applyFill="1" applyBorder="1"/>
    <xf numFmtId="0" fontId="0" fillId="0" borderId="18" xfId="0" applyBorder="1"/>
    <xf numFmtId="0" fontId="0" fillId="4" borderId="18" xfId="0" applyFill="1" applyBorder="1" applyAlignment="1"/>
    <xf numFmtId="165" fontId="0" fillId="4" borderId="0" xfId="0" applyNumberFormat="1" applyFill="1" applyAlignment="1">
      <alignment shrinkToFit="1"/>
    </xf>
    <xf numFmtId="0" fontId="0" fillId="2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17" xfId="0" applyFill="1" applyBorder="1" applyAlignment="1"/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6" borderId="7" xfId="0" applyFont="1" applyFill="1" applyBorder="1" applyAlignment="1">
      <alignment horizontal="center" vertical="center" shrinkToFit="1"/>
    </xf>
    <xf numFmtId="0" fontId="7" fillId="6" borderId="8" xfId="0" applyFont="1" applyFill="1" applyBorder="1" applyAlignment="1">
      <alignment horizontal="center" vertical="center" shrinkToFit="1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0" fillId="4" borderId="4" xfId="0" applyFill="1" applyBorder="1" applyAlignment="1"/>
    <xf numFmtId="0" fontId="0" fillId="4" borderId="6" xfId="0" applyFill="1" applyBorder="1" applyAlignment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7" fillId="0" borderId="9" xfId="0" applyFont="1" applyBorder="1" applyAlignment="1">
      <alignment horizontal="center" shrinkToFit="1"/>
    </xf>
    <xf numFmtId="164" fontId="7" fillId="2" borderId="9" xfId="0" applyNumberFormat="1" applyFont="1" applyFill="1" applyBorder="1" applyAlignment="1">
      <alignment horizontal="center" vertical="center"/>
    </xf>
    <xf numFmtId="0" fontId="0" fillId="4" borderId="50" xfId="0" applyFill="1" applyBorder="1" applyAlignment="1"/>
    <xf numFmtId="0" fontId="0" fillId="4" borderId="43" xfId="0" applyFill="1" applyBorder="1" applyAlignment="1"/>
    <xf numFmtId="3" fontId="0" fillId="3" borderId="29" xfId="0" applyNumberFormat="1" applyFill="1" applyBorder="1"/>
    <xf numFmtId="0" fontId="0" fillId="3" borderId="30" xfId="0" applyFill="1" applyBorder="1" applyAlignment="1">
      <alignment horizontal="center"/>
    </xf>
    <xf numFmtId="0" fontId="0" fillId="2" borderId="29" xfId="0" applyFill="1" applyBorder="1"/>
    <xf numFmtId="0" fontId="0" fillId="2" borderId="30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3" fontId="0" fillId="6" borderId="24" xfId="0" applyNumberFormat="1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3" fontId="0" fillId="6" borderId="8" xfId="0" applyNumberFormat="1" applyFill="1" applyBorder="1"/>
    <xf numFmtId="3" fontId="0" fillId="6" borderId="8" xfId="0" applyNumberFormat="1" applyFill="1" applyBorder="1" applyAlignment="1"/>
    <xf numFmtId="3" fontId="0" fillId="6" borderId="24" xfId="0" applyNumberFormat="1" applyFill="1" applyBorder="1"/>
    <xf numFmtId="0" fontId="0" fillId="6" borderId="27" xfId="0" applyFill="1" applyBorder="1"/>
    <xf numFmtId="0" fontId="0" fillId="6" borderId="33" xfId="0" applyFill="1" applyBorder="1"/>
    <xf numFmtId="3" fontId="0" fillId="6" borderId="18" xfId="0" applyNumberFormat="1" applyFill="1" applyBorder="1"/>
    <xf numFmtId="0" fontId="0" fillId="6" borderId="19" xfId="0" applyFill="1" applyBorder="1"/>
    <xf numFmtId="0" fontId="0" fillId="6" borderId="27" xfId="0" applyFill="1" applyBorder="1" applyAlignment="1"/>
    <xf numFmtId="0" fontId="0" fillId="6" borderId="33" xfId="0" applyFill="1" applyBorder="1" applyAlignment="1"/>
    <xf numFmtId="3" fontId="0" fillId="4" borderId="0" xfId="0" applyNumberFormat="1" applyFill="1" applyAlignment="1"/>
    <xf numFmtId="0" fontId="7" fillId="4" borderId="0" xfId="0" applyFont="1" applyFill="1" applyBorder="1" applyAlignment="1">
      <alignment vertical="center"/>
    </xf>
    <xf numFmtId="0" fontId="0" fillId="4" borderId="37" xfId="0" applyFill="1" applyBorder="1"/>
    <xf numFmtId="0" fontId="0" fillId="4" borderId="31" xfId="0" applyFill="1" applyBorder="1"/>
    <xf numFmtId="0" fontId="0" fillId="4" borderId="38" xfId="0" applyFill="1" applyBorder="1"/>
    <xf numFmtId="0" fontId="0" fillId="4" borderId="34" xfId="0" applyFill="1" applyBorder="1"/>
    <xf numFmtId="0" fontId="0" fillId="4" borderId="35" xfId="0" applyFill="1" applyBorder="1"/>
    <xf numFmtId="0" fontId="0" fillId="4" borderId="54" xfId="0" applyFill="1" applyBorder="1"/>
    <xf numFmtId="0" fontId="7" fillId="4" borderId="42" xfId="0" applyFont="1" applyFill="1" applyBorder="1" applyAlignment="1">
      <alignment vertical="center"/>
    </xf>
    <xf numFmtId="0" fontId="0" fillId="4" borderId="56" xfId="0" applyFill="1" applyBorder="1" applyAlignment="1"/>
    <xf numFmtId="0" fontId="0" fillId="4" borderId="45" xfId="0" applyFill="1" applyBorder="1" applyAlignment="1"/>
    <xf numFmtId="0" fontId="0" fillId="4" borderId="46" xfId="0" applyFill="1" applyBorder="1" applyAlignment="1"/>
    <xf numFmtId="165" fontId="0" fillId="4" borderId="40" xfId="0" applyNumberFormat="1" applyFill="1" applyBorder="1"/>
    <xf numFmtId="2" fontId="16" fillId="0" borderId="44" xfId="0" applyNumberFormat="1" applyFont="1" applyBorder="1" applyAlignment="1">
      <alignment horizontal="center"/>
    </xf>
    <xf numFmtId="0" fontId="0" fillId="4" borderId="0" xfId="0" applyFill="1" applyAlignment="1">
      <alignment horizontal="center"/>
    </xf>
    <xf numFmtId="1" fontId="7" fillId="6" borderId="17" xfId="0" applyNumberFormat="1" applyFont="1" applyFill="1" applyBorder="1" applyAlignment="1">
      <alignment horizontal="center" vertical="center"/>
    </xf>
    <xf numFmtId="1" fontId="7" fillId="6" borderId="18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vertical="center"/>
    </xf>
    <xf numFmtId="42" fontId="0" fillId="4" borderId="0" xfId="2" applyFont="1" applyFill="1" applyAlignment="1"/>
    <xf numFmtId="0" fontId="0" fillId="0" borderId="0" xfId="0" applyAlignment="1">
      <alignment horizontal="center"/>
    </xf>
    <xf numFmtId="4" fontId="0" fillId="0" borderId="0" xfId="0" applyNumberFormat="1"/>
    <xf numFmtId="42" fontId="0" fillId="0" borderId="0" xfId="2" applyFont="1"/>
    <xf numFmtId="0" fontId="0" fillId="0" borderId="0" xfId="0" applyAlignment="1"/>
    <xf numFmtId="42" fontId="0" fillId="0" borderId="0" xfId="0" applyNumberFormat="1"/>
    <xf numFmtId="3" fontId="0" fillId="0" borderId="0" xfId="2" applyNumberFormat="1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3" fontId="0" fillId="0" borderId="0" xfId="2" applyNumberFormat="1" applyFont="1" applyBorder="1" applyAlignment="1">
      <alignment horizontal="center" vertical="center"/>
    </xf>
    <xf numFmtId="3" fontId="0" fillId="0" borderId="43" xfId="2" applyNumberFormat="1" applyFont="1" applyBorder="1" applyAlignment="1">
      <alignment horizontal="center" vertical="center"/>
    </xf>
    <xf numFmtId="3" fontId="0" fillId="0" borderId="43" xfId="0" applyNumberFormat="1" applyBorder="1" applyAlignment="1">
      <alignment horizontal="center" vertical="center"/>
    </xf>
    <xf numFmtId="42" fontId="0" fillId="0" borderId="0" xfId="2" applyFont="1" applyBorder="1" applyAlignment="1">
      <alignment horizontal="center" vertical="center"/>
    </xf>
    <xf numFmtId="42" fontId="0" fillId="0" borderId="43" xfId="2" applyFont="1" applyBorder="1" applyAlignment="1">
      <alignment horizontal="center" vertical="center"/>
    </xf>
    <xf numFmtId="42" fontId="0" fillId="0" borderId="43" xfId="0" applyNumberFormat="1" applyBorder="1" applyAlignment="1">
      <alignment horizontal="center" vertical="center"/>
    </xf>
    <xf numFmtId="42" fontId="0" fillId="0" borderId="50" xfId="0" applyNumberFormat="1" applyBorder="1" applyAlignment="1">
      <alignment horizontal="center" vertical="center"/>
    </xf>
    <xf numFmtId="3" fontId="0" fillId="0" borderId="50" xfId="0" applyNumberFormat="1" applyBorder="1" applyAlignment="1">
      <alignment horizontal="center" vertical="center"/>
    </xf>
    <xf numFmtId="3" fontId="0" fillId="0" borderId="50" xfId="2" applyNumberFormat="1" applyFont="1" applyBorder="1" applyAlignment="1">
      <alignment horizontal="center" vertical="center"/>
    </xf>
    <xf numFmtId="4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2" fontId="0" fillId="0" borderId="0" xfId="0" applyNumberFormat="1" applyAlignment="1">
      <alignment vertical="center"/>
    </xf>
    <xf numFmtId="3" fontId="0" fillId="0" borderId="0" xfId="0" applyNumberFormat="1"/>
    <xf numFmtId="3" fontId="21" fillId="0" borderId="0" xfId="0" applyNumberFormat="1" applyFont="1"/>
    <xf numFmtId="0" fontId="0" fillId="0" borderId="0" xfId="0" applyBorder="1" applyAlignment="1">
      <alignment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3" fontId="0" fillId="0" borderId="0" xfId="0" applyNumberFormat="1" applyFill="1" applyBorder="1" applyAlignment="1">
      <alignment horizontal="right" vertical="center"/>
    </xf>
    <xf numFmtId="9" fontId="0" fillId="0" borderId="0" xfId="0" applyNumberFormat="1"/>
    <xf numFmtId="8" fontId="0" fillId="0" borderId="0" xfId="0" applyNumberFormat="1"/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Fill="1"/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7" xfId="0" applyFill="1" applyBorder="1" applyAlignment="1">
      <alignment horizontal="center" shrinkToFit="1"/>
    </xf>
    <xf numFmtId="0" fontId="0" fillId="6" borderId="18" xfId="0" applyFill="1" applyBorder="1" applyAlignment="1">
      <alignment horizontal="center" shrinkToFit="1"/>
    </xf>
    <xf numFmtId="0" fontId="0" fillId="6" borderId="37" xfId="0" applyFill="1" applyBorder="1" applyAlignment="1">
      <alignment horizontal="center"/>
    </xf>
    <xf numFmtId="0" fontId="0" fillId="0" borderId="0" xfId="0" quotePrefix="1" applyFill="1"/>
    <xf numFmtId="42" fontId="0" fillId="4" borderId="0" xfId="2" applyFont="1" applyFill="1"/>
    <xf numFmtId="0" fontId="0" fillId="8" borderId="0" xfId="0" applyFill="1" applyBorder="1"/>
    <xf numFmtId="0" fontId="0" fillId="8" borderId="0" xfId="0" applyFill="1" applyBorder="1" applyAlignment="1">
      <alignment horizontal="center"/>
    </xf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26" xfId="0" applyFill="1" applyBorder="1"/>
    <xf numFmtId="0" fontId="0" fillId="8" borderId="43" xfId="0" applyFill="1" applyBorder="1"/>
    <xf numFmtId="0" fontId="0" fillId="8" borderId="0" xfId="0" quotePrefix="1" applyFill="1" applyBorder="1" applyAlignment="1">
      <alignment horizontal="center"/>
    </xf>
    <xf numFmtId="0" fontId="0" fillId="8" borderId="0" xfId="0" quotePrefix="1" applyFill="1" applyBorder="1"/>
    <xf numFmtId="0" fontId="0" fillId="8" borderId="43" xfId="0" quotePrefix="1" applyFill="1" applyBorder="1"/>
    <xf numFmtId="0" fontId="0" fillId="8" borderId="48" xfId="0" applyFill="1" applyBorder="1"/>
    <xf numFmtId="0" fontId="0" fillId="8" borderId="49" xfId="0" applyFill="1" applyBorder="1"/>
    <xf numFmtId="0" fontId="0" fillId="8" borderId="49" xfId="0" quotePrefix="1" applyFill="1" applyBorder="1" applyAlignment="1">
      <alignment horizontal="center"/>
    </xf>
    <xf numFmtId="0" fontId="0" fillId="8" borderId="50" xfId="0" applyFill="1" applyBorder="1"/>
    <xf numFmtId="165" fontId="0" fillId="4" borderId="33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 shrinkToFit="1"/>
    </xf>
    <xf numFmtId="165" fontId="0" fillId="4" borderId="19" xfId="0" applyNumberFormat="1" applyFill="1" applyBorder="1" applyAlignment="1">
      <alignment horizontal="center"/>
    </xf>
    <xf numFmtId="0" fontId="7" fillId="4" borderId="14" xfId="0" applyFont="1" applyFill="1" applyBorder="1" applyAlignment="1">
      <alignment vertical="center"/>
    </xf>
    <xf numFmtId="0" fontId="7" fillId="4" borderId="49" xfId="0" applyFont="1" applyFill="1" applyBorder="1" applyAlignment="1">
      <alignment vertical="center"/>
    </xf>
    <xf numFmtId="165" fontId="0" fillId="7" borderId="9" xfId="0" applyNumberFormat="1" applyFill="1" applyBorder="1" applyAlignment="1">
      <alignment horizontal="center" shrinkToFit="1"/>
    </xf>
    <xf numFmtId="11" fontId="0" fillId="4" borderId="14" xfId="0" applyNumberFormat="1" applyFill="1" applyBorder="1" applyAlignment="1">
      <alignment shrinkToFit="1"/>
    </xf>
    <xf numFmtId="11" fontId="0" fillId="4" borderId="49" xfId="0" applyNumberFormat="1" applyFill="1" applyBorder="1" applyAlignment="1">
      <alignment shrinkToFit="1"/>
    </xf>
    <xf numFmtId="11" fontId="0" fillId="6" borderId="9" xfId="0" applyNumberFormat="1" applyFill="1" applyBorder="1" applyAlignment="1">
      <alignment horizontal="center"/>
    </xf>
    <xf numFmtId="0" fontId="0" fillId="4" borderId="14" xfId="0" applyFill="1" applyBorder="1" applyAlignment="1">
      <alignment shrinkToFit="1"/>
    </xf>
    <xf numFmtId="0" fontId="0" fillId="4" borderId="49" xfId="0" applyFill="1" applyBorder="1" applyAlignment="1">
      <alignment shrinkToFit="1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vertical="center"/>
    </xf>
    <xf numFmtId="0" fontId="7" fillId="4" borderId="43" xfId="0" applyFont="1" applyFill="1" applyBorder="1" applyAlignment="1">
      <alignment vertical="center"/>
    </xf>
    <xf numFmtId="165" fontId="7" fillId="7" borderId="7" xfId="0" applyNumberFormat="1" applyFont="1" applyFill="1" applyBorder="1" applyAlignment="1">
      <alignment horizontal="center" vertical="center" shrinkToFit="1"/>
    </xf>
    <xf numFmtId="165" fontId="7" fillId="7" borderId="9" xfId="0" applyNumberFormat="1" applyFont="1" applyFill="1" applyBorder="1" applyAlignment="1">
      <alignment horizontal="center" vertical="center" shrinkToFit="1"/>
    </xf>
    <xf numFmtId="1" fontId="7" fillId="6" borderId="17" xfId="0" applyNumberFormat="1" applyFont="1" applyFill="1" applyBorder="1" applyAlignment="1">
      <alignment horizontal="center" vertical="center" shrinkToFit="1"/>
    </xf>
    <xf numFmtId="0" fontId="7" fillId="6" borderId="37" xfId="0" applyFont="1" applyFill="1" applyBorder="1" applyAlignment="1">
      <alignment horizontal="center" vertical="center"/>
    </xf>
    <xf numFmtId="165" fontId="7" fillId="6" borderId="27" xfId="0" applyNumberFormat="1" applyFont="1" applyFill="1" applyBorder="1" applyAlignment="1">
      <alignment horizontal="center" vertical="center" shrinkToFit="1"/>
    </xf>
    <xf numFmtId="11" fontId="7" fillId="6" borderId="8" xfId="0" applyNumberFormat="1" applyFont="1" applyFill="1" applyBorder="1" applyAlignment="1">
      <alignment horizontal="center" vertical="center" shrinkToFit="1"/>
    </xf>
    <xf numFmtId="165" fontId="7" fillId="6" borderId="18" xfId="0" applyNumberFormat="1" applyFont="1" applyFill="1" applyBorder="1" applyAlignment="1">
      <alignment horizontal="center" shrinkToFit="1"/>
    </xf>
    <xf numFmtId="0" fontId="0" fillId="4" borderId="57" xfId="0" applyFill="1" applyBorder="1"/>
    <xf numFmtId="0" fontId="0" fillId="4" borderId="40" xfId="0" applyFill="1" applyBorder="1"/>
    <xf numFmtId="0" fontId="0" fillId="4" borderId="56" xfId="0" applyFill="1" applyBorder="1"/>
    <xf numFmtId="0" fontId="0" fillId="0" borderId="45" xfId="0" applyBorder="1"/>
    <xf numFmtId="0" fontId="0" fillId="4" borderId="45" xfId="0" applyFill="1" applyBorder="1"/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2" fontId="7" fillId="2" borderId="2" xfId="0" applyNumberFormat="1" applyFont="1" applyFill="1" applyBorder="1" applyAlignment="1">
      <alignment horizontal="center" vertical="center" shrinkToFit="1"/>
    </xf>
    <xf numFmtId="2" fontId="7" fillId="2" borderId="3" xfId="0" applyNumberFormat="1" applyFont="1" applyFill="1" applyBorder="1" applyAlignment="1">
      <alignment horizontal="center" vertical="center" shrinkToFit="1"/>
    </xf>
    <xf numFmtId="165" fontId="0" fillId="2" borderId="7" xfId="0" applyNumberFormat="1" applyFill="1" applyBorder="1" applyAlignment="1">
      <alignment horizontal="center" shrinkToFit="1"/>
    </xf>
    <xf numFmtId="165" fontId="0" fillId="2" borderId="8" xfId="0" applyNumberFormat="1" applyFill="1" applyBorder="1" applyAlignment="1">
      <alignment horizontal="center" shrinkToFit="1"/>
    </xf>
    <xf numFmtId="165" fontId="0" fillId="2" borderId="9" xfId="0" applyNumberFormat="1" applyFill="1" applyBorder="1" applyAlignment="1">
      <alignment horizontal="center" shrinkToFit="1"/>
    </xf>
    <xf numFmtId="2" fontId="0" fillId="2" borderId="7" xfId="0" applyNumberForma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 shrinkToFit="1"/>
    </xf>
    <xf numFmtId="2" fontId="0" fillId="2" borderId="9" xfId="0" applyNumberFormat="1" applyFill="1" applyBorder="1" applyAlignment="1">
      <alignment horizontal="center" vertical="center"/>
    </xf>
    <xf numFmtId="2" fontId="7" fillId="2" borderId="7" xfId="0" applyNumberFormat="1" applyFont="1" applyFill="1" applyBorder="1" applyAlignment="1">
      <alignment horizontal="center" vertical="center"/>
    </xf>
    <xf numFmtId="2" fontId="7" fillId="2" borderId="8" xfId="0" applyNumberFormat="1" applyFont="1" applyFill="1" applyBorder="1" applyAlignment="1">
      <alignment horizontal="center" vertical="center"/>
    </xf>
    <xf numFmtId="2" fontId="7" fillId="2" borderId="9" xfId="0" applyNumberFormat="1" applyFont="1" applyFill="1" applyBorder="1" applyAlignment="1">
      <alignment horizontal="center" vertical="center"/>
    </xf>
    <xf numFmtId="2" fontId="7" fillId="2" borderId="8" xfId="0" applyNumberFormat="1" applyFont="1" applyFill="1" applyBorder="1" applyAlignment="1">
      <alignment horizontal="center" vertical="center" shrinkToFit="1"/>
    </xf>
    <xf numFmtId="2" fontId="7" fillId="2" borderId="17" xfId="0" applyNumberFormat="1" applyFont="1" applyFill="1" applyBorder="1" applyAlignment="1">
      <alignment horizontal="center" vertical="center"/>
    </xf>
    <xf numFmtId="2" fontId="7" fillId="2" borderId="18" xfId="0" applyNumberFormat="1" applyFont="1" applyFill="1" applyBorder="1" applyAlignment="1">
      <alignment horizontal="center" vertical="center"/>
    </xf>
    <xf numFmtId="2" fontId="7" fillId="2" borderId="19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22" fillId="4" borderId="0" xfId="0" applyFont="1" applyFill="1" applyBorder="1" applyAlignment="1"/>
    <xf numFmtId="2" fontId="22" fillId="4" borderId="0" xfId="0" applyNumberFormat="1" applyFont="1" applyFill="1" applyBorder="1" applyAlignment="1"/>
    <xf numFmtId="0" fontId="7" fillId="11" borderId="1" xfId="0" applyFont="1" applyFill="1" applyBorder="1" applyAlignment="1">
      <alignment horizontal="left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37" xfId="0" applyFont="1" applyFill="1" applyBorder="1" applyAlignment="1">
      <alignment horizontal="center" vertical="center"/>
    </xf>
    <xf numFmtId="0" fontId="7" fillId="11" borderId="7" xfId="0" applyFont="1" applyFill="1" applyBorder="1" applyAlignment="1">
      <alignment horizontal="left" vertical="center"/>
    </xf>
    <xf numFmtId="0" fontId="7" fillId="11" borderId="8" xfId="0" applyFont="1" applyFill="1" applyBorder="1" applyAlignment="1">
      <alignment horizontal="center" vertical="center"/>
    </xf>
    <xf numFmtId="0" fontId="7" fillId="11" borderId="31" xfId="0" applyFont="1" applyFill="1" applyBorder="1" applyAlignment="1">
      <alignment horizontal="center" vertical="center"/>
    </xf>
    <xf numFmtId="0" fontId="7" fillId="11" borderId="17" xfId="0" applyFont="1" applyFill="1" applyBorder="1" applyAlignment="1">
      <alignment horizontal="left" vertical="center"/>
    </xf>
    <xf numFmtId="0" fontId="7" fillId="11" borderId="18" xfId="0" applyFont="1" applyFill="1" applyBorder="1" applyAlignment="1">
      <alignment horizontal="center" vertical="center"/>
    </xf>
    <xf numFmtId="0" fontId="7" fillId="11" borderId="38" xfId="0" applyFont="1" applyFill="1" applyBorder="1" applyAlignment="1">
      <alignment horizontal="center" vertical="center"/>
    </xf>
    <xf numFmtId="2" fontId="7" fillId="11" borderId="1" xfId="0" applyNumberFormat="1" applyFont="1" applyFill="1" applyBorder="1" applyAlignment="1">
      <alignment horizontal="center" vertical="center"/>
    </xf>
    <xf numFmtId="2" fontId="7" fillId="11" borderId="2" xfId="0" applyNumberFormat="1" applyFont="1" applyFill="1" applyBorder="1" applyAlignment="1">
      <alignment horizontal="center" vertical="center" shrinkToFit="1"/>
    </xf>
    <xf numFmtId="2" fontId="7" fillId="11" borderId="2" xfId="0" applyNumberFormat="1" applyFont="1" applyFill="1" applyBorder="1" applyAlignment="1">
      <alignment horizontal="center" vertical="center"/>
    </xf>
    <xf numFmtId="2" fontId="7" fillId="11" borderId="7" xfId="0" applyNumberFormat="1" applyFont="1" applyFill="1" applyBorder="1" applyAlignment="1">
      <alignment horizontal="center" vertical="center"/>
    </xf>
    <xf numFmtId="2" fontId="7" fillId="11" borderId="17" xfId="0" applyNumberFormat="1" applyFont="1" applyFill="1" applyBorder="1" applyAlignment="1">
      <alignment horizontal="center" vertical="center"/>
    </xf>
    <xf numFmtId="2" fontId="7" fillId="11" borderId="8" xfId="0" applyNumberFormat="1" applyFont="1" applyFill="1" applyBorder="1" applyAlignment="1">
      <alignment horizontal="center" vertical="center"/>
    </xf>
    <xf numFmtId="2" fontId="7" fillId="11" borderId="3" xfId="0" applyNumberFormat="1" applyFont="1" applyFill="1" applyBorder="1" applyAlignment="1">
      <alignment horizontal="center" vertical="center"/>
    </xf>
    <xf numFmtId="2" fontId="7" fillId="11" borderId="9" xfId="0" applyNumberFormat="1" applyFont="1" applyFill="1" applyBorder="1" applyAlignment="1">
      <alignment horizontal="center" vertical="center"/>
    </xf>
    <xf numFmtId="2" fontId="7" fillId="11" borderId="18" xfId="0" applyNumberFormat="1" applyFont="1" applyFill="1" applyBorder="1" applyAlignment="1">
      <alignment horizontal="center" vertical="center"/>
    </xf>
    <xf numFmtId="2" fontId="7" fillId="11" borderId="19" xfId="0" applyNumberFormat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 shrinkToFit="1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169" fontId="7" fillId="6" borderId="9" xfId="0" applyNumberFormat="1" applyFont="1" applyFill="1" applyBorder="1" applyAlignment="1">
      <alignment horizontal="center" vertical="center"/>
    </xf>
    <xf numFmtId="11" fontId="7" fillId="6" borderId="9" xfId="0" applyNumberFormat="1" applyFont="1" applyFill="1" applyBorder="1" applyAlignment="1">
      <alignment horizontal="center"/>
    </xf>
    <xf numFmtId="11" fontId="7" fillId="6" borderId="9" xfId="0" applyNumberFormat="1" applyFont="1" applyFill="1" applyBorder="1" applyAlignment="1">
      <alignment horizontal="center" vertical="center"/>
    </xf>
    <xf numFmtId="1" fontId="7" fillId="6" borderId="19" xfId="0" applyNumberFormat="1" applyFont="1" applyFill="1" applyBorder="1" applyAlignment="1">
      <alignment horizontal="center" vertical="center"/>
    </xf>
    <xf numFmtId="0" fontId="7" fillId="0" borderId="8" xfId="0" applyFont="1" applyFill="1" applyBorder="1" applyAlignment="1">
      <alignment vertical="center"/>
    </xf>
    <xf numFmtId="0" fontId="7" fillId="0" borderId="7" xfId="0" applyFont="1" applyFill="1" applyBorder="1" applyAlignment="1">
      <alignment vertical="center"/>
    </xf>
    <xf numFmtId="0" fontId="7" fillId="0" borderId="9" xfId="0" applyFont="1" applyFill="1" applyBorder="1" applyAlignment="1">
      <alignment vertical="center"/>
    </xf>
    <xf numFmtId="0" fontId="7" fillId="0" borderId="17" xfId="0" applyFont="1" applyFill="1" applyBorder="1" applyAlignment="1">
      <alignment vertical="center"/>
    </xf>
    <xf numFmtId="0" fontId="7" fillId="0" borderId="18" xfId="0" applyFont="1" applyFill="1" applyBorder="1" applyAlignment="1">
      <alignment vertical="center"/>
    </xf>
    <xf numFmtId="0" fontId="7" fillId="0" borderId="19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65" fontId="7" fillId="0" borderId="7" xfId="0" applyNumberFormat="1" applyFont="1" applyFill="1" applyBorder="1" applyAlignment="1">
      <alignment horizontal="center" shrinkToFit="1"/>
    </xf>
    <xf numFmtId="165" fontId="7" fillId="0" borderId="9" xfId="0" applyNumberFormat="1" applyFont="1" applyFill="1" applyBorder="1" applyAlignment="1">
      <alignment horizontal="center" shrinkToFit="1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165" fontId="7" fillId="0" borderId="2" xfId="0" applyNumberFormat="1" applyFont="1" applyFill="1" applyBorder="1" applyAlignment="1">
      <alignment horizontal="center" vertical="center"/>
    </xf>
    <xf numFmtId="165" fontId="7" fillId="0" borderId="8" xfId="0" applyNumberFormat="1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6" borderId="29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17" xfId="0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164" fontId="0" fillId="6" borderId="48" xfId="0" applyNumberFormat="1" applyFill="1" applyBorder="1" applyAlignment="1">
      <alignment horizontal="center" vertical="center" shrinkToFit="1"/>
    </xf>
    <xf numFmtId="164" fontId="0" fillId="6" borderId="49" xfId="0" applyNumberFormat="1" applyFill="1" applyBorder="1" applyAlignment="1">
      <alignment horizontal="center" vertical="center" shrinkToFit="1"/>
    </xf>
    <xf numFmtId="0" fontId="0" fillId="6" borderId="48" xfId="0" applyFill="1" applyBorder="1" applyAlignment="1">
      <alignment horizontal="center" vertical="center" shrinkToFit="1"/>
    </xf>
    <xf numFmtId="0" fontId="0" fillId="6" borderId="49" xfId="0" applyFill="1" applyBorder="1" applyAlignment="1">
      <alignment horizontal="center" vertical="center" shrinkToFit="1"/>
    </xf>
    <xf numFmtId="164" fontId="0" fillId="6" borderId="13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164" fontId="0" fillId="6" borderId="26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64" fontId="0" fillId="6" borderId="26" xfId="0" applyNumberFormat="1" applyFont="1" applyFill="1" applyBorder="1" applyAlignment="1">
      <alignment horizontal="center" vertical="center"/>
    </xf>
    <xf numFmtId="164" fontId="0" fillId="6" borderId="0" xfId="0" applyNumberFormat="1" applyFont="1" applyFill="1" applyBorder="1" applyAlignment="1">
      <alignment horizontal="center" vertical="center"/>
    </xf>
    <xf numFmtId="0" fontId="0" fillId="6" borderId="26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64" fontId="0" fillId="6" borderId="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0" fontId="0" fillId="6" borderId="17" xfId="0" applyFill="1" applyBorder="1" applyAlignment="1">
      <alignment horizontal="center" shrinkToFit="1"/>
    </xf>
    <xf numFmtId="0" fontId="0" fillId="6" borderId="18" xfId="0" applyFill="1" applyBorder="1" applyAlignment="1">
      <alignment horizontal="center" shrinkToFit="1"/>
    </xf>
    <xf numFmtId="0" fontId="0" fillId="4" borderId="0" xfId="0" applyFill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6" borderId="13" xfId="0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7" xfId="0" applyFill="1" applyBorder="1" applyAlignment="1"/>
    <xf numFmtId="0" fontId="0" fillId="6" borderId="8" xfId="0" applyFill="1" applyBorder="1" applyAlignment="1"/>
    <xf numFmtId="0" fontId="0" fillId="6" borderId="16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55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6" borderId="26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48" xfId="0" applyFont="1" applyFill="1" applyBorder="1" applyAlignment="1">
      <alignment horizontal="center" vertical="center"/>
    </xf>
    <xf numFmtId="0" fontId="0" fillId="6" borderId="49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3" xfId="0" applyFill="1" applyBorder="1" applyAlignment="1">
      <alignment horizontal="center" vertical="center"/>
    </xf>
    <xf numFmtId="0" fontId="0" fillId="6" borderId="48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shrinkToFit="1"/>
    </xf>
    <xf numFmtId="0" fontId="0" fillId="6" borderId="5" xfId="0" applyFill="1" applyBorder="1" applyAlignment="1">
      <alignment horizontal="center" shrinkToFit="1"/>
    </xf>
    <xf numFmtId="0" fontId="0" fillId="6" borderId="6" xfId="0" applyFill="1" applyBorder="1" applyAlignment="1">
      <alignment horizontal="center" shrinkToFit="1"/>
    </xf>
    <xf numFmtId="164" fontId="0" fillId="6" borderId="13" xfId="0" applyNumberFormat="1" applyFont="1" applyFill="1" applyBorder="1" applyAlignment="1">
      <alignment horizontal="center" vertical="center"/>
    </xf>
    <xf numFmtId="164" fontId="0" fillId="6" borderId="14" xfId="0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 shrinkToFit="1"/>
    </xf>
    <xf numFmtId="0" fontId="0" fillId="6" borderId="1" xfId="0" applyFill="1" applyBorder="1" applyAlignment="1"/>
    <xf numFmtId="0" fontId="0" fillId="6" borderId="2" xfId="0" applyFill="1" applyBorder="1" applyAlignment="1"/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27" xfId="0" applyFont="1" applyBorder="1" applyAlignment="1">
      <alignment horizontal="center" vertical="center" shrinkToFit="1"/>
    </xf>
    <xf numFmtId="0" fontId="13" fillId="0" borderId="27" xfId="0" applyFont="1" applyBorder="1" applyAlignment="1">
      <alignment horizontal="center" vertical="center" wrapText="1"/>
    </xf>
    <xf numFmtId="0" fontId="13" fillId="0" borderId="33" xfId="0" applyFont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3" xfId="0" applyBorder="1" applyAlignment="1">
      <alignment horizontal="center"/>
    </xf>
    <xf numFmtId="165" fontId="7" fillId="6" borderId="4" xfId="0" applyNumberFormat="1" applyFont="1" applyFill="1" applyBorder="1" applyAlignment="1">
      <alignment horizontal="center" vertical="center" shrinkToFit="1"/>
    </xf>
    <xf numFmtId="165" fontId="7" fillId="6" borderId="5" xfId="0" applyNumberFormat="1" applyFont="1" applyFill="1" applyBorder="1" applyAlignment="1">
      <alignment horizontal="center" vertical="center" shrinkToFit="1"/>
    </xf>
    <xf numFmtId="165" fontId="7" fillId="6" borderId="6" xfId="0" applyNumberFormat="1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 shrinkToFit="1"/>
    </xf>
    <xf numFmtId="0" fontId="0" fillId="6" borderId="8" xfId="0" applyFill="1" applyBorder="1" applyAlignment="1">
      <alignment horizontal="center" vertical="center" shrinkToFit="1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0" fontId="12" fillId="6" borderId="11" xfId="0" applyFont="1" applyFill="1" applyBorder="1" applyAlignment="1">
      <alignment horizontal="center"/>
    </xf>
    <xf numFmtId="165" fontId="7" fillId="6" borderId="10" xfId="0" applyNumberFormat="1" applyFont="1" applyFill="1" applyBorder="1" applyAlignment="1">
      <alignment horizontal="center" vertical="center"/>
    </xf>
    <xf numFmtId="165" fontId="7" fillId="6" borderId="11" xfId="0" applyNumberFormat="1" applyFont="1" applyFill="1" applyBorder="1" applyAlignment="1">
      <alignment horizontal="center" vertical="center"/>
    </xf>
    <xf numFmtId="165" fontId="7" fillId="6" borderId="12" xfId="0" applyNumberFormat="1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20" fillId="10" borderId="13" xfId="0" applyFont="1" applyFill="1" applyBorder="1" applyAlignment="1">
      <alignment horizontal="center" vertical="center"/>
    </xf>
    <xf numFmtId="0" fontId="20" fillId="10" borderId="14" xfId="0" applyFont="1" applyFill="1" applyBorder="1" applyAlignment="1">
      <alignment horizontal="center" vertical="center"/>
    </xf>
    <xf numFmtId="0" fontId="20" fillId="10" borderId="15" xfId="0" applyFont="1" applyFill="1" applyBorder="1" applyAlignment="1">
      <alignment horizontal="center" vertical="center"/>
    </xf>
    <xf numFmtId="0" fontId="20" fillId="10" borderId="48" xfId="0" applyFont="1" applyFill="1" applyBorder="1" applyAlignment="1">
      <alignment horizontal="center" vertical="center"/>
    </xf>
    <xf numFmtId="0" fontId="20" fillId="10" borderId="49" xfId="0" applyFont="1" applyFill="1" applyBorder="1" applyAlignment="1">
      <alignment horizontal="center" vertical="center"/>
    </xf>
    <xf numFmtId="0" fontId="20" fillId="10" borderId="50" xfId="0" applyFont="1" applyFill="1" applyBorder="1" applyAlignment="1">
      <alignment horizontal="center" vertical="center"/>
    </xf>
    <xf numFmtId="0" fontId="0" fillId="10" borderId="13" xfId="0" quotePrefix="1" applyFill="1" applyBorder="1" applyAlignment="1">
      <alignment horizontal="center" vertical="center" wrapText="1"/>
    </xf>
    <xf numFmtId="0" fontId="0" fillId="10" borderId="14" xfId="0" quotePrefix="1" applyFill="1" applyBorder="1" applyAlignment="1">
      <alignment horizontal="center" vertical="center" wrapText="1"/>
    </xf>
    <xf numFmtId="0" fontId="0" fillId="10" borderId="15" xfId="0" quotePrefix="1" applyFill="1" applyBorder="1" applyAlignment="1">
      <alignment horizontal="center" vertical="center" wrapText="1"/>
    </xf>
    <xf numFmtId="0" fontId="0" fillId="10" borderId="26" xfId="0" quotePrefix="1" applyFill="1" applyBorder="1" applyAlignment="1">
      <alignment horizontal="center" vertical="center" wrapText="1"/>
    </xf>
    <xf numFmtId="0" fontId="0" fillId="10" borderId="0" xfId="0" quotePrefix="1" applyFill="1" applyBorder="1" applyAlignment="1">
      <alignment horizontal="center" vertical="center" wrapText="1"/>
    </xf>
    <xf numFmtId="0" fontId="0" fillId="10" borderId="43" xfId="0" quotePrefix="1" applyFill="1" applyBorder="1" applyAlignment="1">
      <alignment horizontal="center" vertical="center" wrapText="1"/>
    </xf>
    <xf numFmtId="0" fontId="0" fillId="10" borderId="48" xfId="0" quotePrefix="1" applyFill="1" applyBorder="1" applyAlignment="1">
      <alignment horizontal="center" vertical="center" wrapText="1"/>
    </xf>
    <xf numFmtId="0" fontId="0" fillId="10" borderId="49" xfId="0" quotePrefix="1" applyFill="1" applyBorder="1" applyAlignment="1">
      <alignment horizontal="center" vertical="center" wrapText="1"/>
    </xf>
    <xf numFmtId="0" fontId="0" fillId="10" borderId="50" xfId="0" quotePrefix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3">
    <cellStyle name="Moneda [0]" xfId="2" builtinId="7"/>
    <cellStyle name="Normal" xfId="0" builtinId="0"/>
    <cellStyle name="Porcentaje" xfId="1" builtinId="5"/>
  </cellStyles>
  <dxfs count="1">
    <dxf>
      <font>
        <color theme="1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Valor de Salvamento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'Diseño Economico'!$B$57:$B$72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'Diseño Economico'!$C$57:$C$72</c:f>
              <c:numCache>
                <c:formatCode>_("$"* #,##0_);_("$"* \(#,##0\);_("$"* "-"_);_(@_)</c:formatCode>
                <c:ptCount val="16"/>
                <c:pt idx="0">
                  <c:v>56389919.6184</c:v>
                </c:pt>
                <c:pt idx="1">
                  <c:v>52630591.64384</c:v>
                </c:pt>
                <c:pt idx="2">
                  <c:v>48871263.66928</c:v>
                </c:pt>
                <c:pt idx="3">
                  <c:v>45111935.69472</c:v>
                </c:pt>
                <c:pt idx="4">
                  <c:v>41352607.72016</c:v>
                </c:pt>
                <c:pt idx="5">
                  <c:v>37593279.7456</c:v>
                </c:pt>
                <c:pt idx="6">
                  <c:v>33833951.77104</c:v>
                </c:pt>
                <c:pt idx="7">
                  <c:v>30074623.79648</c:v>
                </c:pt>
                <c:pt idx="8">
                  <c:v>26315295.82192</c:v>
                </c:pt>
                <c:pt idx="9">
                  <c:v>22555967.84736</c:v>
                </c:pt>
                <c:pt idx="10">
                  <c:v>18796639.8728</c:v>
                </c:pt>
                <c:pt idx="11">
                  <c:v>15037311.89824</c:v>
                </c:pt>
                <c:pt idx="12">
                  <c:v>11277983.92368</c:v>
                </c:pt>
                <c:pt idx="13">
                  <c:v>7518655.94912</c:v>
                </c:pt>
                <c:pt idx="14">
                  <c:v>3759327.97456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5-4D88-9FC3-6D5D69FA3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96991"/>
        <c:axId val="229722447"/>
      </c:scatterChart>
      <c:valAx>
        <c:axId val="23499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722447"/>
        <c:crosses val="autoZero"/>
        <c:crossBetween val="midCat"/>
      </c:valAx>
      <c:valAx>
        <c:axId val="22972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4996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238391</xdr:colOff>
      <xdr:row>42</xdr:row>
      <xdr:rowOff>188527</xdr:rowOff>
    </xdr:from>
    <xdr:ext cx="2654034" cy="1441715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516" y="12594840"/>
          <a:ext cx="2654034" cy="14417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238391</xdr:colOff>
      <xdr:row>42</xdr:row>
      <xdr:rowOff>188527</xdr:rowOff>
    </xdr:from>
    <xdr:ext cx="2654034" cy="1441715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516" y="8465752"/>
          <a:ext cx="2654034" cy="14417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238391</xdr:colOff>
      <xdr:row>64</xdr:row>
      <xdr:rowOff>188527</xdr:rowOff>
    </xdr:from>
    <xdr:ext cx="2654034" cy="1441715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65677" y="8584134"/>
          <a:ext cx="2654034" cy="14417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179</xdr:row>
          <xdr:rowOff>19050</xdr:rowOff>
        </xdr:from>
        <xdr:to>
          <xdr:col>16</xdr:col>
          <xdr:colOff>57150</xdr:colOff>
          <xdr:row>181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517259</xdr:colOff>
      <xdr:row>166</xdr:row>
      <xdr:rowOff>154780</xdr:rowOff>
    </xdr:from>
    <xdr:to>
      <xdr:col>14</xdr:col>
      <xdr:colOff>648492</xdr:colOff>
      <xdr:row>172</xdr:row>
      <xdr:rowOff>120913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6790" y="32682655"/>
          <a:ext cx="3464983" cy="1109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297922</xdr:colOff>
      <xdr:row>43</xdr:row>
      <xdr:rowOff>99218</xdr:rowOff>
    </xdr:from>
    <xdr:to>
      <xdr:col>18</xdr:col>
      <xdr:colOff>415750</xdr:colOff>
      <xdr:row>67</xdr:row>
      <xdr:rowOff>76729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1822" y="8585993"/>
          <a:ext cx="5451828" cy="45971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28015</xdr:colOff>
      <xdr:row>56</xdr:row>
      <xdr:rowOff>23532</xdr:rowOff>
    </xdr:from>
    <xdr:to>
      <xdr:col>3</xdr:col>
      <xdr:colOff>5266765</xdr:colOff>
      <xdr:row>72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CFF5-A7CA-4FD6-B41D-F83A612D45D0}">
  <sheetPr codeName="Hoja3">
    <tabColor rgb="FFFFC000"/>
  </sheetPr>
  <dimension ref="A1:AQ130"/>
  <sheetViews>
    <sheetView zoomScale="70" zoomScaleNormal="70" workbookViewId="0">
      <selection activeCell="D19" sqref="D19"/>
    </sheetView>
  </sheetViews>
  <sheetFormatPr baseColWidth="10" defaultColWidth="9.140625" defaultRowHeight="15" x14ac:dyDescent="0.25"/>
  <cols>
    <col min="2" max="2" width="31.5703125" bestFit="1" customWidth="1"/>
    <col min="5" max="24" width="10.85546875" customWidth="1"/>
    <col min="25" max="25" width="14" bestFit="1" customWidth="1"/>
    <col min="29" max="29" width="9.140625" style="288"/>
    <col min="30" max="30" width="9.140625" style="19"/>
    <col min="31" max="31" width="10.140625" style="19" bestFit="1" customWidth="1"/>
    <col min="32" max="32" width="14.42578125" style="19" bestFit="1" customWidth="1"/>
    <col min="33" max="35" width="9.140625" style="19"/>
    <col min="36" max="36" width="9.28515625" style="19" bestFit="1" customWidth="1"/>
    <col min="37" max="38" width="9.140625" style="19"/>
  </cols>
  <sheetData>
    <row r="1" spans="1:39" ht="15.75" thickBot="1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336"/>
      <c r="AK1" s="579"/>
      <c r="AL1" s="579"/>
      <c r="AM1" s="579"/>
    </row>
    <row r="2" spans="1:39" ht="15.75" thickBot="1" x14ac:dyDescent="0.3">
      <c r="A2" s="19"/>
      <c r="B2" s="763" t="s">
        <v>692</v>
      </c>
      <c r="C2" s="764"/>
      <c r="D2" s="764"/>
      <c r="E2" s="765"/>
      <c r="F2" s="19"/>
      <c r="G2" s="19"/>
      <c r="H2" s="718" t="s">
        <v>512</v>
      </c>
      <c r="I2" s="719"/>
      <c r="J2" s="719"/>
      <c r="K2" s="786" t="s">
        <v>592</v>
      </c>
      <c r="L2" s="787"/>
      <c r="M2" s="19"/>
      <c r="N2" s="22"/>
      <c r="O2" s="772" t="s">
        <v>422</v>
      </c>
      <c r="P2" s="773"/>
      <c r="Q2" s="773"/>
      <c r="R2" s="773"/>
      <c r="S2" s="774"/>
      <c r="T2" s="22"/>
      <c r="U2" s="19"/>
      <c r="V2" s="712" t="s">
        <v>564</v>
      </c>
      <c r="W2" s="713"/>
      <c r="X2" s="713"/>
      <c r="Y2" s="714"/>
      <c r="Z2" s="19"/>
      <c r="AA2" s="19"/>
      <c r="AB2" s="19"/>
      <c r="AK2" s="579"/>
      <c r="AL2" s="579"/>
      <c r="AM2" s="579"/>
    </row>
    <row r="3" spans="1:39" ht="15.75" thickBot="1" x14ac:dyDescent="0.3">
      <c r="A3" s="19"/>
      <c r="B3" s="766"/>
      <c r="C3" s="767"/>
      <c r="D3" s="767"/>
      <c r="E3" s="768"/>
      <c r="F3" s="19"/>
      <c r="G3" s="19"/>
      <c r="H3" s="720" t="s">
        <v>511</v>
      </c>
      <c r="I3" s="721"/>
      <c r="J3" s="721"/>
      <c r="K3" s="703" t="s">
        <v>394</v>
      </c>
      <c r="L3" s="724"/>
      <c r="M3" s="19"/>
      <c r="N3" s="22"/>
      <c r="O3" s="751" t="s">
        <v>198</v>
      </c>
      <c r="P3" s="752"/>
      <c r="Q3" s="752"/>
      <c r="R3" s="752"/>
      <c r="S3" s="777"/>
      <c r="T3" s="22"/>
      <c r="U3" s="19"/>
      <c r="V3" s="715" t="s">
        <v>565</v>
      </c>
      <c r="W3" s="716"/>
      <c r="X3" s="716"/>
      <c r="Y3" s="717"/>
      <c r="Z3" s="19"/>
      <c r="AA3" s="19"/>
      <c r="AB3" s="19"/>
      <c r="AK3" s="579"/>
      <c r="AL3" s="579"/>
      <c r="AM3" s="579"/>
    </row>
    <row r="4" spans="1:39" ht="15.75" thickBot="1" x14ac:dyDescent="0.3">
      <c r="A4" s="19"/>
      <c r="B4" s="766"/>
      <c r="C4" s="767"/>
      <c r="D4" s="767"/>
      <c r="E4" s="768"/>
      <c r="F4" s="19"/>
      <c r="G4" s="19"/>
      <c r="H4" s="720" t="s">
        <v>510</v>
      </c>
      <c r="I4" s="721"/>
      <c r="J4" s="721"/>
      <c r="K4" s="703" t="s">
        <v>394</v>
      </c>
      <c r="L4" s="724"/>
      <c r="M4" s="19"/>
      <c r="N4" s="22"/>
      <c r="O4" s="730" t="s">
        <v>415</v>
      </c>
      <c r="P4" s="731"/>
      <c r="Q4" s="250" t="s">
        <v>50</v>
      </c>
      <c r="R4" s="283">
        <f>997.39+4.46*D24</f>
        <v>1073.21</v>
      </c>
      <c r="S4" s="251" t="s">
        <v>51</v>
      </c>
      <c r="T4" s="22"/>
      <c r="U4" s="19"/>
      <c r="V4" s="708" t="s">
        <v>566</v>
      </c>
      <c r="W4" s="709"/>
      <c r="X4" s="522">
        <v>10</v>
      </c>
      <c r="Y4" s="523" t="s">
        <v>569</v>
      </c>
      <c r="Z4" s="19"/>
      <c r="AA4" s="19"/>
      <c r="AB4" s="19"/>
      <c r="AK4" s="579"/>
      <c r="AL4" s="579"/>
      <c r="AM4" s="579"/>
    </row>
    <row r="5" spans="1:39" ht="15.75" thickBot="1" x14ac:dyDescent="0.3">
      <c r="A5" s="19"/>
      <c r="B5" s="766"/>
      <c r="C5" s="767"/>
      <c r="D5" s="767"/>
      <c r="E5" s="768"/>
      <c r="F5" s="19"/>
      <c r="G5" s="19"/>
      <c r="H5" s="720" t="s">
        <v>509</v>
      </c>
      <c r="I5" s="721"/>
      <c r="J5" s="721"/>
      <c r="K5" s="703" t="s">
        <v>394</v>
      </c>
      <c r="L5" s="724"/>
      <c r="M5" s="19"/>
      <c r="N5" s="22"/>
      <c r="O5" s="732" t="s">
        <v>416</v>
      </c>
      <c r="P5" s="733"/>
      <c r="Q5" s="252" t="s">
        <v>54</v>
      </c>
      <c r="R5" s="282">
        <f>997.39+4.46*D25</f>
        <v>1095.51</v>
      </c>
      <c r="S5" s="249" t="s">
        <v>51</v>
      </c>
      <c r="T5" s="22"/>
      <c r="U5" s="19"/>
      <c r="V5" s="702" t="s">
        <v>567</v>
      </c>
      <c r="W5" s="703"/>
      <c r="X5" s="330">
        <v>2</v>
      </c>
      <c r="Y5" s="332" t="s">
        <v>570</v>
      </c>
      <c r="Z5" s="19"/>
      <c r="AA5" s="19"/>
      <c r="AB5" s="19"/>
      <c r="AE5" s="783" t="s">
        <v>710</v>
      </c>
      <c r="AF5" s="784"/>
      <c r="AG5" s="784"/>
      <c r="AH5" s="784"/>
      <c r="AI5" s="784"/>
      <c r="AJ5" s="785"/>
      <c r="AK5" s="579"/>
      <c r="AL5" s="579"/>
      <c r="AM5" s="579"/>
    </row>
    <row r="6" spans="1:39" ht="15.75" thickBot="1" x14ac:dyDescent="0.3">
      <c r="A6" s="19"/>
      <c r="B6" s="769"/>
      <c r="C6" s="770"/>
      <c r="D6" s="770"/>
      <c r="E6" s="771"/>
      <c r="F6" s="19"/>
      <c r="G6" s="19"/>
      <c r="H6" s="722" t="s">
        <v>508</v>
      </c>
      <c r="I6" s="723"/>
      <c r="J6" s="723"/>
      <c r="K6" s="707" t="s">
        <v>394</v>
      </c>
      <c r="L6" s="725"/>
      <c r="M6" s="19"/>
      <c r="N6" s="22"/>
      <c r="O6" s="726" t="s">
        <v>417</v>
      </c>
      <c r="P6" s="727"/>
      <c r="Q6" s="253" t="s">
        <v>57</v>
      </c>
      <c r="R6" s="281">
        <f>997.39+4.46*D26</f>
        <v>1331.8899999999999</v>
      </c>
      <c r="S6" s="254" t="s">
        <v>51</v>
      </c>
      <c r="T6" s="22"/>
      <c r="U6" s="19"/>
      <c r="V6" s="702" t="s">
        <v>568</v>
      </c>
      <c r="W6" s="703"/>
      <c r="X6" s="330">
        <f>+K8/K11</f>
        <v>144</v>
      </c>
      <c r="Y6" s="332" t="s">
        <v>574</v>
      </c>
      <c r="Z6" s="19"/>
      <c r="AA6" s="19">
        <f>52*7</f>
        <v>364</v>
      </c>
      <c r="AB6" s="19"/>
      <c r="AC6" s="288">
        <f>52/4</f>
        <v>13</v>
      </c>
      <c r="AE6" s="594" t="s">
        <v>704</v>
      </c>
      <c r="AF6" s="595" t="s">
        <v>705</v>
      </c>
      <c r="AG6" s="595" t="s">
        <v>565</v>
      </c>
      <c r="AH6" s="595" t="s">
        <v>578</v>
      </c>
      <c r="AI6" s="595" t="s">
        <v>706</v>
      </c>
      <c r="AJ6" s="596" t="s">
        <v>707</v>
      </c>
      <c r="AK6" s="579"/>
      <c r="AL6" s="579"/>
      <c r="AM6" s="579"/>
    </row>
    <row r="7" spans="1:39" ht="15.75" thickBot="1" x14ac:dyDescent="0.3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22"/>
      <c r="O7" s="734" t="s">
        <v>402</v>
      </c>
      <c r="P7" s="735"/>
      <c r="Q7" s="735"/>
      <c r="R7" s="735"/>
      <c r="S7" s="736"/>
      <c r="T7" s="22"/>
      <c r="U7" s="19"/>
      <c r="V7" s="702" t="s">
        <v>571</v>
      </c>
      <c r="W7" s="703"/>
      <c r="X7" s="330">
        <f>+X6*X5</f>
        <v>288</v>
      </c>
      <c r="Y7" s="332" t="s">
        <v>575</v>
      </c>
      <c r="Z7" s="19"/>
      <c r="AA7" s="19"/>
      <c r="AB7" s="19"/>
      <c r="AC7" s="288">
        <f>52-16</f>
        <v>36</v>
      </c>
      <c r="AE7" s="597" t="s">
        <v>693</v>
      </c>
      <c r="AF7" s="592">
        <v>500</v>
      </c>
      <c r="AG7" s="592">
        <v>10</v>
      </c>
      <c r="AH7" s="592">
        <v>5</v>
      </c>
      <c r="AI7" s="593">
        <v>8</v>
      </c>
      <c r="AJ7" s="598">
        <v>20.5</v>
      </c>
      <c r="AK7" s="579"/>
      <c r="AL7" s="579"/>
      <c r="AM7" s="579"/>
    </row>
    <row r="8" spans="1:39" x14ac:dyDescent="0.25">
      <c r="A8" s="19"/>
      <c r="B8" s="335" t="s">
        <v>507</v>
      </c>
      <c r="C8" s="492" t="s">
        <v>506</v>
      </c>
      <c r="D8" s="334">
        <v>10</v>
      </c>
      <c r="E8" s="493" t="s">
        <v>496</v>
      </c>
      <c r="F8" s="19"/>
      <c r="G8" s="19"/>
      <c r="H8" s="778" t="s">
        <v>505</v>
      </c>
      <c r="I8" s="779"/>
      <c r="J8" s="779"/>
      <c r="K8" s="333">
        <f>+D10*D12/D11</f>
        <v>80</v>
      </c>
      <c r="L8" s="493" t="s">
        <v>504</v>
      </c>
      <c r="M8" s="19"/>
      <c r="N8" s="22"/>
      <c r="O8" s="730" t="s">
        <v>418</v>
      </c>
      <c r="P8" s="731"/>
      <c r="Q8" s="283" t="s">
        <v>12</v>
      </c>
      <c r="R8" s="283">
        <f>D37+0.2209*EXP(0.0557*D25)</f>
        <v>95.599979559921579</v>
      </c>
      <c r="S8" s="251" t="s">
        <v>13</v>
      </c>
      <c r="T8" s="22"/>
      <c r="V8" s="702" t="s">
        <v>572</v>
      </c>
      <c r="W8" s="703"/>
      <c r="X8" s="330">
        <v>8900</v>
      </c>
      <c r="Y8" s="332" t="s">
        <v>576</v>
      </c>
      <c r="Z8" s="19"/>
      <c r="AA8" s="19"/>
      <c r="AB8" s="19"/>
      <c r="AE8" s="597" t="s">
        <v>694</v>
      </c>
      <c r="AF8" s="592">
        <v>900</v>
      </c>
      <c r="AG8" s="592">
        <v>8</v>
      </c>
      <c r="AH8" s="592">
        <v>8</v>
      </c>
      <c r="AI8" s="599" t="s">
        <v>709</v>
      </c>
      <c r="AJ8" s="598">
        <v>25.8</v>
      </c>
      <c r="AK8" s="579"/>
      <c r="AL8" s="579"/>
      <c r="AM8" s="579"/>
    </row>
    <row r="9" spans="1:39" ht="15.75" thickBot="1" x14ac:dyDescent="0.3">
      <c r="A9" s="19"/>
      <c r="B9" s="331" t="s">
        <v>502</v>
      </c>
      <c r="C9" s="487" t="s">
        <v>501</v>
      </c>
      <c r="D9" s="330">
        <v>10</v>
      </c>
      <c r="E9" s="488" t="s">
        <v>496</v>
      </c>
      <c r="F9" s="19"/>
      <c r="G9" s="19"/>
      <c r="H9" s="753" t="s">
        <v>500</v>
      </c>
      <c r="I9" s="754"/>
      <c r="J9" s="754"/>
      <c r="K9" s="327">
        <f>+K8/D12</f>
        <v>0.66666666666666663</v>
      </c>
      <c r="L9" s="332" t="s">
        <v>499</v>
      </c>
      <c r="M9" s="19"/>
      <c r="N9" s="22"/>
      <c r="O9" s="732" t="s">
        <v>419</v>
      </c>
      <c r="P9" s="733"/>
      <c r="Q9" s="282" t="s">
        <v>16</v>
      </c>
      <c r="R9" s="282">
        <f>D37+0.2209*EXP(0.0557*D26)</f>
        <v>109.25096218777557</v>
      </c>
      <c r="S9" s="249" t="s">
        <v>13</v>
      </c>
      <c r="T9" s="22"/>
      <c r="U9" s="19"/>
      <c r="V9" s="706" t="s">
        <v>573</v>
      </c>
      <c r="W9" s="707"/>
      <c r="X9" s="524">
        <f>+(X7/3.75)*X8</f>
        <v>683520</v>
      </c>
      <c r="Y9" s="525" t="s">
        <v>577</v>
      </c>
      <c r="Z9" s="19"/>
      <c r="AA9" s="19"/>
      <c r="AB9" s="19"/>
      <c r="AE9" s="597" t="s">
        <v>695</v>
      </c>
      <c r="AF9" s="592">
        <v>900</v>
      </c>
      <c r="AG9" s="592">
        <v>8</v>
      </c>
      <c r="AH9" s="592">
        <v>8</v>
      </c>
      <c r="AI9" s="593">
        <v>16</v>
      </c>
      <c r="AJ9" s="598">
        <v>11</v>
      </c>
      <c r="AK9" s="579"/>
      <c r="AL9" s="579"/>
      <c r="AM9" s="579"/>
    </row>
    <row r="10" spans="1:39" ht="15.75" thickBot="1" x14ac:dyDescent="0.3">
      <c r="A10" s="19"/>
      <c r="B10" s="331" t="s">
        <v>498</v>
      </c>
      <c r="C10" s="487" t="s">
        <v>497</v>
      </c>
      <c r="D10" s="330">
        <f>+(D9+D8)/2</f>
        <v>10</v>
      </c>
      <c r="E10" s="488" t="s">
        <v>496</v>
      </c>
      <c r="F10" s="19"/>
      <c r="G10" s="19"/>
      <c r="H10" s="753" t="s">
        <v>495</v>
      </c>
      <c r="I10" s="754"/>
      <c r="J10" s="754"/>
      <c r="K10" s="327">
        <f>+K8/D14</f>
        <v>40</v>
      </c>
      <c r="L10" s="488" t="s">
        <v>494</v>
      </c>
      <c r="M10" s="19"/>
      <c r="N10" s="22"/>
      <c r="O10" s="726" t="s">
        <v>420</v>
      </c>
      <c r="P10" s="727"/>
      <c r="Q10" s="281" t="s">
        <v>23</v>
      </c>
      <c r="R10" s="281">
        <f>D37+0.2209*EXP(0.0557*Q33)</f>
        <v>95.736798771411955</v>
      </c>
      <c r="S10" s="254" t="s">
        <v>13</v>
      </c>
      <c r="T10" s="22"/>
      <c r="U10" s="19"/>
      <c r="V10" s="715" t="s">
        <v>578</v>
      </c>
      <c r="W10" s="716"/>
      <c r="X10" s="716"/>
      <c r="Y10" s="717"/>
      <c r="Z10" s="19"/>
      <c r="AA10" s="19"/>
      <c r="AB10" s="19"/>
      <c r="AC10" s="288">
        <f>+AC7/3</f>
        <v>12</v>
      </c>
      <c r="AE10" s="597" t="s">
        <v>696</v>
      </c>
      <c r="AF10" s="592">
        <v>1200</v>
      </c>
      <c r="AG10" s="592">
        <v>8</v>
      </c>
      <c r="AH10" s="592">
        <v>10</v>
      </c>
      <c r="AI10" s="599" t="s">
        <v>709</v>
      </c>
      <c r="AJ10" s="598">
        <v>11.2</v>
      </c>
      <c r="AK10" s="579"/>
      <c r="AL10" s="579"/>
      <c r="AM10" s="579"/>
    </row>
    <row r="11" spans="1:39" ht="15.75" thickBot="1" x14ac:dyDescent="0.3">
      <c r="A11" s="19"/>
      <c r="B11" s="331" t="s">
        <v>493</v>
      </c>
      <c r="C11" s="487" t="s">
        <v>492</v>
      </c>
      <c r="D11" s="330">
        <v>15</v>
      </c>
      <c r="E11" s="488" t="s">
        <v>491</v>
      </c>
      <c r="F11" s="19"/>
      <c r="G11" s="19"/>
      <c r="H11" s="753" t="s">
        <v>490</v>
      </c>
      <c r="I11" s="754"/>
      <c r="J11" s="754"/>
      <c r="K11" s="327">
        <f>+K10/(6*D16)</f>
        <v>0.55555555555555558</v>
      </c>
      <c r="L11" s="488" t="s">
        <v>483</v>
      </c>
      <c r="N11" s="22"/>
      <c r="O11" s="743" t="s">
        <v>421</v>
      </c>
      <c r="P11" s="744"/>
      <c r="Q11" s="744"/>
      <c r="R11" s="744"/>
      <c r="S11" s="745"/>
      <c r="T11" s="22"/>
      <c r="U11" s="19"/>
      <c r="V11" s="708" t="s">
        <v>583</v>
      </c>
      <c r="W11" s="709"/>
      <c r="X11" s="376">
        <v>5</v>
      </c>
      <c r="Y11" s="516" t="s">
        <v>569</v>
      </c>
      <c r="Z11" s="19"/>
      <c r="AA11" s="19"/>
      <c r="AB11" s="19"/>
      <c r="AE11" s="597" t="s">
        <v>697</v>
      </c>
      <c r="AF11" s="592">
        <v>1500</v>
      </c>
      <c r="AG11" s="592">
        <v>16</v>
      </c>
      <c r="AH11" s="592">
        <v>12</v>
      </c>
      <c r="AI11" s="599" t="s">
        <v>709</v>
      </c>
      <c r="AJ11" s="598">
        <v>33.799999999999997</v>
      </c>
      <c r="AK11" s="579"/>
      <c r="AL11" s="579"/>
      <c r="AM11" s="579"/>
    </row>
    <row r="12" spans="1:39" x14ac:dyDescent="0.25">
      <c r="A12" s="19"/>
      <c r="B12" s="331" t="s">
        <v>489</v>
      </c>
      <c r="C12" s="487" t="s">
        <v>488</v>
      </c>
      <c r="D12" s="330">
        <v>120</v>
      </c>
      <c r="E12" s="488" t="s">
        <v>487</v>
      </c>
      <c r="F12" s="19"/>
      <c r="G12" s="19"/>
      <c r="H12" s="753" t="s">
        <v>486</v>
      </c>
      <c r="I12" s="754"/>
      <c r="J12" s="754"/>
      <c r="K12" s="327">
        <f>+K11*D31</f>
        <v>0.33333333333333331</v>
      </c>
      <c r="L12" s="488" t="s">
        <v>483</v>
      </c>
      <c r="M12" s="19"/>
      <c r="N12" s="22"/>
      <c r="O12" s="732" t="s">
        <v>418</v>
      </c>
      <c r="P12" s="733"/>
      <c r="Q12" s="252" t="s">
        <v>32</v>
      </c>
      <c r="R12" s="282">
        <f>2492.9-2.0523*((D37+R8)/2)-0.0030752*((D37+R8)/2)^2</f>
        <v>2269.5874947257084</v>
      </c>
      <c r="S12" s="249" t="s">
        <v>33</v>
      </c>
      <c r="T12" s="22"/>
      <c r="U12" s="19"/>
      <c r="V12" s="702" t="s">
        <v>584</v>
      </c>
      <c r="W12" s="703"/>
      <c r="X12" s="505">
        <v>0.875</v>
      </c>
      <c r="Y12" s="506"/>
      <c r="Z12" s="19"/>
      <c r="AA12" s="19"/>
      <c r="AB12" s="19"/>
      <c r="AE12" s="597" t="s">
        <v>698</v>
      </c>
      <c r="AF12" s="592">
        <v>1500</v>
      </c>
      <c r="AG12" s="592">
        <v>16</v>
      </c>
      <c r="AH12" s="592">
        <v>15</v>
      </c>
      <c r="AI12" s="599" t="s">
        <v>709</v>
      </c>
      <c r="AJ12" s="598">
        <v>22.75</v>
      </c>
      <c r="AK12" s="579"/>
      <c r="AL12" s="579"/>
      <c r="AM12" s="579"/>
    </row>
    <row r="13" spans="1:39" x14ac:dyDescent="0.25">
      <c r="A13" s="19"/>
      <c r="B13" s="329" t="s">
        <v>485</v>
      </c>
      <c r="C13" s="259" t="s">
        <v>484</v>
      </c>
      <c r="D13" s="259">
        <v>17</v>
      </c>
      <c r="E13" s="328" t="s">
        <v>22</v>
      </c>
      <c r="F13" s="19"/>
      <c r="G13" s="19"/>
      <c r="H13" s="753" t="s">
        <v>411</v>
      </c>
      <c r="I13" s="754"/>
      <c r="J13" s="754"/>
      <c r="K13" s="327">
        <f>+K12-((K12*D22)+((K12-(K12*D22))*D23))</f>
        <v>0.31359999999999999</v>
      </c>
      <c r="L13" s="488" t="s">
        <v>483</v>
      </c>
      <c r="M13" s="19"/>
      <c r="N13" s="22"/>
      <c r="O13" s="732" t="s">
        <v>419</v>
      </c>
      <c r="P13" s="733"/>
      <c r="Q13" s="252" t="s">
        <v>32</v>
      </c>
      <c r="R13" s="282">
        <f>2492.9-2.0523*((R8+R9)/2)-0.0030752*((R8+R9)/2)^2</f>
        <v>2250.4303533977154</v>
      </c>
      <c r="S13" s="249" t="s">
        <v>33</v>
      </c>
      <c r="T13" s="22"/>
      <c r="U13" s="19"/>
      <c r="V13" s="702" t="s">
        <v>585</v>
      </c>
      <c r="W13" s="703"/>
      <c r="X13" s="505">
        <v>0.82</v>
      </c>
      <c r="Y13" s="506"/>
      <c r="Z13" s="19"/>
      <c r="AA13" s="19"/>
      <c r="AB13" s="19"/>
      <c r="AE13" s="597" t="s">
        <v>699</v>
      </c>
      <c r="AF13" s="592">
        <v>1500</v>
      </c>
      <c r="AG13" s="592">
        <v>16</v>
      </c>
      <c r="AH13" s="592">
        <v>15</v>
      </c>
      <c r="AI13" s="599" t="s">
        <v>709</v>
      </c>
      <c r="AJ13" s="598">
        <v>14.5</v>
      </c>
      <c r="AK13" s="579"/>
      <c r="AL13" s="579"/>
      <c r="AM13" s="579"/>
    </row>
    <row r="14" spans="1:39" ht="15.75" thickBot="1" x14ac:dyDescent="0.3">
      <c r="A14" s="19"/>
      <c r="B14" s="331" t="s">
        <v>482</v>
      </c>
      <c r="C14" s="487" t="s">
        <v>481</v>
      </c>
      <c r="D14" s="330">
        <v>2</v>
      </c>
      <c r="E14" s="488" t="s">
        <v>480</v>
      </c>
      <c r="F14" s="19"/>
      <c r="G14" s="19"/>
      <c r="H14" s="753" t="s">
        <v>479</v>
      </c>
      <c r="I14" s="754"/>
      <c r="J14" s="754"/>
      <c r="K14" s="327">
        <f>+K13*D24/D27*1000</f>
        <v>57.018181818181816</v>
      </c>
      <c r="L14" s="488" t="s">
        <v>4</v>
      </c>
      <c r="M14" s="19"/>
      <c r="N14" s="22"/>
      <c r="O14" s="726" t="s">
        <v>420</v>
      </c>
      <c r="P14" s="727"/>
      <c r="Q14" s="253" t="s">
        <v>32</v>
      </c>
      <c r="R14" s="281">
        <f>2492.9-2.0523*((R9+R10)/2)-0.0030752*((R9+R10)/2)^2</f>
        <v>2250.2468468201446</v>
      </c>
      <c r="S14" s="254" t="s">
        <v>33</v>
      </c>
      <c r="T14" s="22"/>
      <c r="U14" s="19"/>
      <c r="V14" s="755" t="s">
        <v>579</v>
      </c>
      <c r="W14" s="756"/>
      <c r="X14" s="505">
        <v>220</v>
      </c>
      <c r="Y14" s="506" t="s">
        <v>582</v>
      </c>
      <c r="Z14" s="19"/>
      <c r="AA14" s="19"/>
      <c r="AB14" s="19"/>
      <c r="AE14" s="597" t="s">
        <v>700</v>
      </c>
      <c r="AF14" s="592">
        <v>1800</v>
      </c>
      <c r="AG14" s="592">
        <v>25</v>
      </c>
      <c r="AH14" s="592">
        <v>20</v>
      </c>
      <c r="AI14" s="599" t="s">
        <v>709</v>
      </c>
      <c r="AJ14" s="598">
        <v>51</v>
      </c>
      <c r="AK14" s="579"/>
      <c r="AL14" s="579"/>
      <c r="AM14" s="579"/>
    </row>
    <row r="15" spans="1:39" ht="15.75" thickBot="1" x14ac:dyDescent="0.3">
      <c r="A15" s="19"/>
      <c r="B15" s="331" t="s">
        <v>593</v>
      </c>
      <c r="C15" s="496" t="s">
        <v>481</v>
      </c>
      <c r="D15" s="330">
        <v>6</v>
      </c>
      <c r="E15" s="497" t="s">
        <v>594</v>
      </c>
      <c r="G15" s="19"/>
      <c r="H15" s="746" t="s">
        <v>503</v>
      </c>
      <c r="I15" s="747"/>
      <c r="J15" s="747"/>
      <c r="K15" s="489">
        <f>+K11*1.3*1000</f>
        <v>722.22222222222229</v>
      </c>
      <c r="L15" s="490" t="s">
        <v>4</v>
      </c>
      <c r="M15" s="19"/>
      <c r="N15" s="22"/>
      <c r="O15" s="743" t="s">
        <v>403</v>
      </c>
      <c r="P15" s="744"/>
      <c r="Q15" s="744"/>
      <c r="R15" s="744"/>
      <c r="S15" s="745"/>
      <c r="T15" s="22"/>
      <c r="U15" s="19"/>
      <c r="V15" s="755" t="s">
        <v>586</v>
      </c>
      <c r="W15" s="756"/>
      <c r="X15" s="505">
        <f>+K8/K11</f>
        <v>144</v>
      </c>
      <c r="Y15" s="506" t="s">
        <v>574</v>
      </c>
      <c r="Z15" s="19"/>
      <c r="AA15" s="19"/>
      <c r="AB15" s="19"/>
      <c r="AE15" s="597" t="s">
        <v>701</v>
      </c>
      <c r="AF15" s="592">
        <v>2000</v>
      </c>
      <c r="AG15" s="592">
        <v>25</v>
      </c>
      <c r="AH15" s="592">
        <v>20</v>
      </c>
      <c r="AI15" s="599" t="s">
        <v>709</v>
      </c>
      <c r="AJ15" s="598">
        <v>24.7</v>
      </c>
      <c r="AK15" s="579"/>
      <c r="AL15" s="579"/>
      <c r="AM15" s="579"/>
    </row>
    <row r="16" spans="1:39" ht="15.75" thickBot="1" x14ac:dyDescent="0.3">
      <c r="A16" s="19"/>
      <c r="B16" s="491" t="s">
        <v>563</v>
      </c>
      <c r="C16" s="489" t="s">
        <v>481</v>
      </c>
      <c r="D16" s="326">
        <v>12</v>
      </c>
      <c r="E16" s="490" t="s">
        <v>59</v>
      </c>
      <c r="F16" s="19"/>
      <c r="G16" s="19"/>
      <c r="H16" s="19"/>
      <c r="I16" s="19"/>
      <c r="J16" s="19"/>
      <c r="K16" s="19"/>
      <c r="L16" s="19"/>
      <c r="M16" s="19"/>
      <c r="N16" s="19"/>
      <c r="O16" s="732" t="s">
        <v>426</v>
      </c>
      <c r="P16" s="733"/>
      <c r="Q16" s="282" t="s">
        <v>46</v>
      </c>
      <c r="R16" s="282">
        <f>4.18*(1-0.006*D24)</f>
        <v>3.7536399999999999</v>
      </c>
      <c r="S16" s="249" t="s">
        <v>47</v>
      </c>
      <c r="T16" s="19"/>
      <c r="U16" s="19"/>
      <c r="V16" s="702" t="s">
        <v>588</v>
      </c>
      <c r="W16" s="703"/>
      <c r="X16" s="224">
        <f>((+X11*0.75)/X12)</f>
        <v>4.2857142857142856</v>
      </c>
      <c r="Y16" s="506" t="s">
        <v>19</v>
      </c>
      <c r="Z16" s="19"/>
      <c r="AA16" s="19"/>
      <c r="AB16" s="19"/>
      <c r="AE16" s="597" t="s">
        <v>702</v>
      </c>
      <c r="AF16" s="592">
        <v>2000</v>
      </c>
      <c r="AG16" s="592">
        <v>25</v>
      </c>
      <c r="AH16" s="592">
        <v>20</v>
      </c>
      <c r="AI16" s="599" t="s">
        <v>709</v>
      </c>
      <c r="AJ16" s="598">
        <v>28.4</v>
      </c>
      <c r="AK16" s="579"/>
      <c r="AL16" s="579"/>
      <c r="AM16" s="579"/>
    </row>
    <row r="17" spans="1:39" ht="15.75" thickBot="1" x14ac:dyDescent="0.3">
      <c r="A17" s="19"/>
      <c r="F17" s="20"/>
      <c r="G17" s="19"/>
      <c r="H17" s="743" t="s">
        <v>1</v>
      </c>
      <c r="I17" s="744"/>
      <c r="J17" s="744"/>
      <c r="K17" s="744"/>
      <c r="L17" s="745"/>
      <c r="M17" s="19"/>
      <c r="N17" s="19"/>
      <c r="O17" s="732" t="s">
        <v>427</v>
      </c>
      <c r="P17" s="733"/>
      <c r="Q17" s="282" t="s">
        <v>46</v>
      </c>
      <c r="R17" s="282">
        <f>4.18*(1-0.006*D25)</f>
        <v>3.6282399999999999</v>
      </c>
      <c r="S17" s="249" t="s">
        <v>47</v>
      </c>
      <c r="T17" s="119"/>
      <c r="U17" s="20"/>
      <c r="V17" s="702" t="s">
        <v>589</v>
      </c>
      <c r="W17" s="703"/>
      <c r="X17" s="224">
        <f>+X16*TAN(ACOS(X13))</f>
        <v>2.9914469730844986</v>
      </c>
      <c r="Y17" s="506" t="s">
        <v>590</v>
      </c>
      <c r="Z17" s="19"/>
      <c r="AA17" s="19"/>
      <c r="AB17" s="19"/>
      <c r="AE17" s="597" t="s">
        <v>703</v>
      </c>
      <c r="AF17" s="600" t="s">
        <v>709</v>
      </c>
      <c r="AG17" s="600" t="s">
        <v>709</v>
      </c>
      <c r="AH17" s="600" t="s">
        <v>709</v>
      </c>
      <c r="AI17" s="599" t="s">
        <v>709</v>
      </c>
      <c r="AJ17" s="601" t="s">
        <v>709</v>
      </c>
      <c r="AK17" s="579"/>
      <c r="AL17" s="579"/>
      <c r="AM17" s="579"/>
    </row>
    <row r="18" spans="1:39" ht="15.75" thickBot="1" x14ac:dyDescent="0.3">
      <c r="A18" s="19"/>
      <c r="B18" s="791" t="s">
        <v>0</v>
      </c>
      <c r="C18" s="792"/>
      <c r="D18" s="792"/>
      <c r="E18" s="793"/>
      <c r="F18" s="20" t="s">
        <v>436</v>
      </c>
      <c r="G18" s="19"/>
      <c r="H18" s="775" t="s">
        <v>397</v>
      </c>
      <c r="I18" s="776"/>
      <c r="J18" s="283" t="s">
        <v>429</v>
      </c>
      <c r="K18" s="263">
        <f>K19/D31</f>
        <v>555.55555555555554</v>
      </c>
      <c r="L18" s="251" t="s">
        <v>4</v>
      </c>
      <c r="M18" s="19"/>
      <c r="N18" s="19"/>
      <c r="O18" s="726" t="s">
        <v>428</v>
      </c>
      <c r="P18" s="727"/>
      <c r="Q18" s="281" t="s">
        <v>46</v>
      </c>
      <c r="R18" s="281">
        <f>4.18*(1-0.006*D26)</f>
        <v>2.2989999999999999</v>
      </c>
      <c r="S18" s="254" t="s">
        <v>47</v>
      </c>
      <c r="T18" s="104"/>
      <c r="U18" s="20"/>
      <c r="V18" s="755" t="s">
        <v>581</v>
      </c>
      <c r="W18" s="756"/>
      <c r="X18" s="505">
        <f>+X16*X15</f>
        <v>617.14285714285711</v>
      </c>
      <c r="Y18" s="506" t="s">
        <v>591</v>
      </c>
      <c r="Z18" s="19"/>
      <c r="AA18" s="19"/>
      <c r="AB18" s="19"/>
      <c r="AE18" s="602" t="s">
        <v>708</v>
      </c>
      <c r="AF18" s="603">
        <v>3000</v>
      </c>
      <c r="AG18" s="603">
        <v>40</v>
      </c>
      <c r="AH18" s="603">
        <v>30</v>
      </c>
      <c r="AI18" s="604" t="s">
        <v>709</v>
      </c>
      <c r="AJ18" s="605">
        <v>27.7</v>
      </c>
      <c r="AK18" s="579"/>
      <c r="AL18" s="579"/>
      <c r="AM18" s="579"/>
    </row>
    <row r="19" spans="1:39" ht="15.75" thickBot="1" x14ac:dyDescent="0.3">
      <c r="A19" s="19"/>
      <c r="B19" s="1" t="s">
        <v>478</v>
      </c>
      <c r="C19" s="2" t="s">
        <v>3</v>
      </c>
      <c r="D19" s="2">
        <f>+K14</f>
        <v>57.018181818181816</v>
      </c>
      <c r="E19" s="3" t="s">
        <v>4</v>
      </c>
      <c r="F19" s="245">
        <f>K30/D19</f>
        <v>2.1114695878351353</v>
      </c>
      <c r="G19" s="19"/>
      <c r="H19" s="737" t="s">
        <v>396</v>
      </c>
      <c r="I19" s="738"/>
      <c r="J19" s="282" t="s">
        <v>430</v>
      </c>
      <c r="K19" s="264">
        <f>+K21/(1-D22)</f>
        <v>333.33333333333331</v>
      </c>
      <c r="L19" s="249" t="s">
        <v>4</v>
      </c>
      <c r="M19" s="325"/>
      <c r="N19" s="19"/>
      <c r="O19" s="118"/>
      <c r="P19" s="23"/>
      <c r="Q19" s="23"/>
      <c r="R19" s="23"/>
      <c r="S19" s="23"/>
      <c r="T19" s="246"/>
      <c r="U19" s="20"/>
      <c r="V19" s="755" t="s">
        <v>580</v>
      </c>
      <c r="W19" s="756"/>
      <c r="X19" s="505">
        <v>500</v>
      </c>
      <c r="Y19" s="506" t="s">
        <v>587</v>
      </c>
      <c r="Z19" s="19"/>
      <c r="AA19" s="19"/>
      <c r="AB19" s="19"/>
      <c r="AF19" s="579"/>
      <c r="AG19" s="579"/>
      <c r="AH19" s="579"/>
      <c r="AI19" s="590"/>
      <c r="AJ19" s="579"/>
      <c r="AK19" s="579"/>
      <c r="AL19" s="579"/>
      <c r="AM19" s="579"/>
    </row>
    <row r="20" spans="1:39" x14ac:dyDescent="0.25">
      <c r="A20" s="19"/>
      <c r="B20" s="4" t="s">
        <v>74</v>
      </c>
      <c r="C20" s="279" t="s">
        <v>75</v>
      </c>
      <c r="D20" s="243">
        <f>+F19</f>
        <v>2.1114695878351353</v>
      </c>
      <c r="E20" s="6" t="s">
        <v>76</v>
      </c>
      <c r="F20" s="20"/>
      <c r="G20" s="19"/>
      <c r="H20" s="741" t="s">
        <v>413</v>
      </c>
      <c r="I20" s="742"/>
      <c r="J20" s="280" t="s">
        <v>431</v>
      </c>
      <c r="K20" s="266">
        <f>+K19*D22</f>
        <v>6.6666666666666661</v>
      </c>
      <c r="L20" s="249" t="s">
        <v>4</v>
      </c>
      <c r="M20" s="325"/>
      <c r="N20" s="19"/>
      <c r="O20" s="751" t="s">
        <v>7</v>
      </c>
      <c r="P20" s="752"/>
      <c r="Q20" s="284" t="s">
        <v>8</v>
      </c>
      <c r="R20" s="284">
        <f>17.85-20.35*D29</f>
        <v>14.797500000000001</v>
      </c>
      <c r="S20" s="287" t="s">
        <v>9</v>
      </c>
      <c r="T20" s="246"/>
      <c r="U20" s="20"/>
      <c r="V20" s="757" t="s">
        <v>573</v>
      </c>
      <c r="W20" s="758"/>
      <c r="X20" s="517">
        <f>+X18*X19</f>
        <v>308571.42857142858</v>
      </c>
      <c r="Y20" s="518" t="s">
        <v>577</v>
      </c>
      <c r="Z20" s="19"/>
      <c r="AA20" s="19"/>
      <c r="AB20" s="19"/>
      <c r="AF20" s="579"/>
      <c r="AG20" s="579"/>
      <c r="AH20" s="579"/>
      <c r="AI20" s="590"/>
      <c r="AJ20" s="579"/>
      <c r="AK20" s="579"/>
      <c r="AL20" s="579"/>
      <c r="AM20" s="579"/>
    </row>
    <row r="21" spans="1:39" x14ac:dyDescent="0.25">
      <c r="A21" s="19"/>
      <c r="B21" s="16" t="s">
        <v>326</v>
      </c>
      <c r="C21" s="17" t="s">
        <v>5</v>
      </c>
      <c r="D21" s="36">
        <f>+K36/R21</f>
        <v>0.39646987347776658</v>
      </c>
      <c r="E21" s="18" t="s">
        <v>6</v>
      </c>
      <c r="F21" s="20"/>
      <c r="G21" s="19"/>
      <c r="H21" s="741" t="s">
        <v>412</v>
      </c>
      <c r="I21" s="742"/>
      <c r="J21" s="282" t="s">
        <v>432</v>
      </c>
      <c r="K21" s="266">
        <f>+K23/(1-D23)</f>
        <v>326.66666666666663</v>
      </c>
      <c r="L21" s="249" t="s">
        <v>4</v>
      </c>
      <c r="M21" s="19"/>
      <c r="N21" s="19"/>
      <c r="O21" s="759" t="s">
        <v>17</v>
      </c>
      <c r="P21" s="760"/>
      <c r="Q21" s="285" t="s">
        <v>18</v>
      </c>
      <c r="R21" s="285">
        <f>(D20*D19)*R20/3.6</f>
        <v>494.86192810457544</v>
      </c>
      <c r="S21" s="267" t="s">
        <v>19</v>
      </c>
      <c r="T21" s="246"/>
      <c r="U21" s="20"/>
      <c r="V21" s="702" t="s">
        <v>596</v>
      </c>
      <c r="W21" s="703"/>
      <c r="X21" s="519">
        <f>6160000*D10</f>
        <v>61600000</v>
      </c>
      <c r="Y21" s="506" t="s">
        <v>597</v>
      </c>
      <c r="Z21" s="19"/>
      <c r="AA21" s="19"/>
      <c r="AB21" s="19"/>
      <c r="AF21" s="579"/>
      <c r="AG21" s="579"/>
      <c r="AH21" s="579"/>
      <c r="AI21" s="579"/>
      <c r="AJ21" s="579"/>
      <c r="AK21" s="579"/>
      <c r="AL21" s="579"/>
      <c r="AM21" s="579"/>
    </row>
    <row r="22" spans="1:39" ht="15.75" thickBot="1" x14ac:dyDescent="0.3">
      <c r="A22" s="19"/>
      <c r="B22" s="4" t="s">
        <v>10</v>
      </c>
      <c r="C22" s="279" t="s">
        <v>11</v>
      </c>
      <c r="D22" s="5">
        <v>0.02</v>
      </c>
      <c r="E22" s="6" t="s">
        <v>6</v>
      </c>
      <c r="F22" s="20"/>
      <c r="G22" s="19"/>
      <c r="H22" s="741" t="s">
        <v>14</v>
      </c>
      <c r="I22" s="742"/>
      <c r="J22" s="280" t="s">
        <v>433</v>
      </c>
      <c r="K22" s="266">
        <f>+K21*D23</f>
        <v>13.066666666666665</v>
      </c>
      <c r="L22" s="249" t="s">
        <v>4</v>
      </c>
      <c r="M22" s="19"/>
      <c r="N22" s="19"/>
      <c r="O22" s="728" t="s">
        <v>26</v>
      </c>
      <c r="P22" s="729"/>
      <c r="Q22" s="286" t="s">
        <v>27</v>
      </c>
      <c r="R22" s="286">
        <f>R21/1000</f>
        <v>0.49486192810457547</v>
      </c>
      <c r="S22" s="268" t="s">
        <v>28</v>
      </c>
      <c r="T22" s="28"/>
      <c r="U22" s="20"/>
      <c r="V22" s="702" t="s">
        <v>600</v>
      </c>
      <c r="W22" s="703"/>
      <c r="X22" s="520">
        <v>869000</v>
      </c>
      <c r="Y22" s="506" t="s">
        <v>601</v>
      </c>
      <c r="Z22" s="19"/>
      <c r="AA22" s="19"/>
      <c r="AB22" s="19"/>
      <c r="AF22" s="579"/>
      <c r="AG22" s="579"/>
      <c r="AH22" s="579"/>
      <c r="AI22" s="579"/>
      <c r="AJ22" s="579"/>
      <c r="AK22" s="579"/>
      <c r="AL22" s="579"/>
      <c r="AM22" s="579"/>
    </row>
    <row r="23" spans="1:39" ht="15.75" thickBot="1" x14ac:dyDescent="0.3">
      <c r="A23" s="19"/>
      <c r="B23" s="4" t="s">
        <v>14</v>
      </c>
      <c r="C23" s="279" t="s">
        <v>15</v>
      </c>
      <c r="D23" s="5">
        <v>0.04</v>
      </c>
      <c r="E23" s="6" t="s">
        <v>6</v>
      </c>
      <c r="F23" s="20"/>
      <c r="G23" s="19"/>
      <c r="H23" s="741" t="s">
        <v>411</v>
      </c>
      <c r="I23" s="742"/>
      <c r="J23" s="282" t="s">
        <v>434</v>
      </c>
      <c r="K23" s="266">
        <f>+D19*D27/D24</f>
        <v>313.59999999999997</v>
      </c>
      <c r="L23" s="249" t="s">
        <v>4</v>
      </c>
      <c r="M23" s="19"/>
      <c r="N23" s="19"/>
      <c r="O23" s="19"/>
      <c r="P23" s="19"/>
      <c r="Q23" s="19"/>
      <c r="R23" s="19"/>
      <c r="S23" s="19"/>
      <c r="T23" s="246"/>
      <c r="U23" s="20"/>
      <c r="V23" s="702" t="s">
        <v>602</v>
      </c>
      <c r="W23" s="703"/>
      <c r="X23" s="330">
        <v>3</v>
      </c>
      <c r="Y23" s="506" t="s">
        <v>606</v>
      </c>
      <c r="Z23" s="19"/>
      <c r="AA23" s="19"/>
      <c r="AB23" s="19"/>
      <c r="AE23" s="579"/>
      <c r="AF23" s="579"/>
      <c r="AG23" s="579"/>
      <c r="AH23" s="579"/>
      <c r="AI23" s="579"/>
      <c r="AJ23" s="579"/>
      <c r="AK23" s="579"/>
      <c r="AL23" s="579"/>
      <c r="AM23" s="579"/>
    </row>
    <row r="24" spans="1:39" ht="15.75" thickBot="1" x14ac:dyDescent="0.3">
      <c r="A24" s="19"/>
      <c r="B24" s="1" t="s">
        <v>20</v>
      </c>
      <c r="C24" s="2" t="s">
        <v>21</v>
      </c>
      <c r="D24" s="2">
        <f>+D13</f>
        <v>17</v>
      </c>
      <c r="E24" s="3" t="s">
        <v>22</v>
      </c>
      <c r="F24" s="20"/>
      <c r="G24" s="19"/>
      <c r="H24" s="737" t="s">
        <v>398</v>
      </c>
      <c r="I24" s="738"/>
      <c r="J24" s="282" t="s">
        <v>435</v>
      </c>
      <c r="K24" s="264">
        <f>K21-D19</f>
        <v>269.64848484848483</v>
      </c>
      <c r="L24" s="249" t="s">
        <v>4</v>
      </c>
      <c r="M24" s="19"/>
      <c r="N24" s="19"/>
      <c r="O24" s="783" t="s">
        <v>710</v>
      </c>
      <c r="P24" s="784"/>
      <c r="Q24" s="784"/>
      <c r="R24" s="784"/>
      <c r="S24" s="784"/>
      <c r="T24" s="785"/>
      <c r="U24" s="22"/>
      <c r="V24" s="706" t="s">
        <v>603</v>
      </c>
      <c r="W24" s="707"/>
      <c r="X24" s="524">
        <v>200000</v>
      </c>
      <c r="Y24" s="507" t="s">
        <v>601</v>
      </c>
      <c r="Z24" s="22"/>
      <c r="AA24" s="19"/>
      <c r="AB24" s="19"/>
      <c r="AF24" s="579"/>
      <c r="AG24" s="579"/>
      <c r="AH24" s="579"/>
      <c r="AI24" s="579"/>
      <c r="AJ24" s="579"/>
      <c r="AK24" s="579"/>
      <c r="AL24" s="579"/>
      <c r="AM24" s="579"/>
    </row>
    <row r="25" spans="1:39" ht="15.75" thickBot="1" x14ac:dyDescent="0.3">
      <c r="A25" s="19"/>
      <c r="B25" s="1" t="s">
        <v>24</v>
      </c>
      <c r="C25" s="2" t="s">
        <v>25</v>
      </c>
      <c r="D25" s="2">
        <v>22</v>
      </c>
      <c r="E25" s="3" t="s">
        <v>22</v>
      </c>
      <c r="F25" s="20"/>
      <c r="G25" s="19"/>
      <c r="H25" s="737" t="s">
        <v>401</v>
      </c>
      <c r="I25" s="738"/>
      <c r="J25" s="282" t="s">
        <v>432</v>
      </c>
      <c r="K25" s="264">
        <f>+K21</f>
        <v>326.66666666666663</v>
      </c>
      <c r="L25" s="249" t="s">
        <v>4</v>
      </c>
      <c r="M25" s="19"/>
      <c r="N25" s="19"/>
      <c r="O25" s="594" t="s">
        <v>704</v>
      </c>
      <c r="P25" s="595" t="s">
        <v>705</v>
      </c>
      <c r="Q25" s="595" t="s">
        <v>565</v>
      </c>
      <c r="R25" s="595" t="s">
        <v>578</v>
      </c>
      <c r="S25" s="595" t="s">
        <v>706</v>
      </c>
      <c r="T25" s="596" t="s">
        <v>707</v>
      </c>
      <c r="U25" s="22"/>
      <c r="V25" s="710" t="s">
        <v>605</v>
      </c>
      <c r="W25" s="711"/>
      <c r="X25" s="512">
        <f>+X21/D11+X22*X23+X24+X20</f>
        <v>7222238.0952380942</v>
      </c>
      <c r="Y25" s="513" t="s">
        <v>601</v>
      </c>
      <c r="Z25" s="22"/>
      <c r="AA25" s="19"/>
      <c r="AB25" s="19"/>
      <c r="AF25" s="579"/>
      <c r="AG25" s="579"/>
      <c r="AH25" s="579"/>
      <c r="AI25" s="579"/>
      <c r="AJ25" s="579"/>
      <c r="AK25" s="579"/>
      <c r="AL25" s="579"/>
      <c r="AM25" s="579"/>
    </row>
    <row r="26" spans="1:39" x14ac:dyDescent="0.25">
      <c r="A26" s="19"/>
      <c r="B26" s="1" t="s">
        <v>29</v>
      </c>
      <c r="C26" s="2" t="s">
        <v>30</v>
      </c>
      <c r="D26" s="2">
        <v>75</v>
      </c>
      <c r="E26" s="3" t="s">
        <v>22</v>
      </c>
      <c r="F26" s="20"/>
      <c r="G26" s="19"/>
      <c r="H26" s="737" t="s">
        <v>399</v>
      </c>
      <c r="I26" s="738"/>
      <c r="J26" s="282" t="s">
        <v>36</v>
      </c>
      <c r="K26" s="264">
        <f>+K23</f>
        <v>313.59999999999997</v>
      </c>
      <c r="L26" s="249" t="s">
        <v>4</v>
      </c>
      <c r="M26" s="19"/>
      <c r="N26" s="19"/>
      <c r="O26" s="597" t="s">
        <v>693</v>
      </c>
      <c r="P26" s="592">
        <v>500</v>
      </c>
      <c r="Q26" s="592">
        <v>10</v>
      </c>
      <c r="R26" s="592">
        <v>5</v>
      </c>
      <c r="S26" s="593">
        <v>8</v>
      </c>
      <c r="T26" s="598">
        <v>20.5</v>
      </c>
      <c r="U26" s="22"/>
      <c r="V26" s="708" t="s">
        <v>604</v>
      </c>
      <c r="W26" s="709"/>
      <c r="X26" s="526">
        <f>+D19*D16*D15*D14</f>
        <v>8210.6181818181831</v>
      </c>
      <c r="Y26" s="527" t="s">
        <v>31</v>
      </c>
      <c r="Z26" s="22">
        <f>+X26*X27*12</f>
        <v>177349352.72727275</v>
      </c>
      <c r="AA26" s="19"/>
      <c r="AB26" s="19"/>
      <c r="AK26" s="579"/>
      <c r="AL26" s="579"/>
      <c r="AM26" s="579"/>
    </row>
    <row r="27" spans="1:39" ht="15.75" thickBot="1" x14ac:dyDescent="0.3">
      <c r="A27" s="19"/>
      <c r="B27" s="1" t="s">
        <v>39</v>
      </c>
      <c r="C27" s="279" t="s">
        <v>35</v>
      </c>
      <c r="D27" s="2">
        <v>93.5</v>
      </c>
      <c r="E27" s="3" t="s">
        <v>22</v>
      </c>
      <c r="F27" s="20"/>
      <c r="G27" s="19"/>
      <c r="H27" s="737" t="s">
        <v>400</v>
      </c>
      <c r="I27" s="738"/>
      <c r="J27" s="282" t="s">
        <v>40</v>
      </c>
      <c r="K27" s="264">
        <f>K26*D25/D26</f>
        <v>91.98933333333332</v>
      </c>
      <c r="L27" s="249" t="s">
        <v>4</v>
      </c>
      <c r="M27" s="19"/>
      <c r="N27" s="19"/>
      <c r="O27" s="597" t="s">
        <v>694</v>
      </c>
      <c r="P27" s="592">
        <v>900</v>
      </c>
      <c r="Q27" s="592">
        <v>8</v>
      </c>
      <c r="R27" s="592">
        <v>8</v>
      </c>
      <c r="S27" s="599" t="s">
        <v>709</v>
      </c>
      <c r="T27" s="598">
        <v>25.8</v>
      </c>
      <c r="U27" s="22"/>
      <c r="V27" s="704" t="s">
        <v>598</v>
      </c>
      <c r="W27" s="705"/>
      <c r="X27" s="521">
        <v>1800</v>
      </c>
      <c r="Y27" s="518" t="s">
        <v>599</v>
      </c>
      <c r="Z27" s="22"/>
      <c r="AA27" s="19"/>
      <c r="AB27" s="19"/>
      <c r="AF27" s="591"/>
      <c r="AK27" s="579"/>
      <c r="AL27" s="579"/>
      <c r="AM27" s="579"/>
    </row>
    <row r="28" spans="1:39" ht="15.75" thickBot="1" x14ac:dyDescent="0.3">
      <c r="A28" s="19"/>
      <c r="B28" s="7" t="s">
        <v>41</v>
      </c>
      <c r="C28" s="8" t="s">
        <v>42</v>
      </c>
      <c r="D28" s="5" t="s">
        <v>477</v>
      </c>
      <c r="E28" s="9" t="s">
        <v>43</v>
      </c>
      <c r="F28" s="20"/>
      <c r="G28" s="19"/>
      <c r="H28" s="739" t="s">
        <v>423</v>
      </c>
      <c r="I28" s="740"/>
      <c r="J28" s="248" t="s">
        <v>406</v>
      </c>
      <c r="K28" s="266">
        <f>D19*D20</f>
        <v>120.39215686274517</v>
      </c>
      <c r="L28" s="249" t="s">
        <v>4</v>
      </c>
      <c r="M28" s="19"/>
      <c r="N28" s="19"/>
      <c r="O28" s="597" t="s">
        <v>695</v>
      </c>
      <c r="P28" s="592">
        <v>900</v>
      </c>
      <c r="Q28" s="592">
        <v>8</v>
      </c>
      <c r="R28" s="592">
        <v>8</v>
      </c>
      <c r="S28" s="593">
        <v>16</v>
      </c>
      <c r="T28" s="598">
        <v>11</v>
      </c>
      <c r="U28" s="22"/>
      <c r="V28" s="749" t="s">
        <v>607</v>
      </c>
      <c r="W28" s="750"/>
      <c r="X28" s="514">
        <f>+X27*X26</f>
        <v>14779112.72727273</v>
      </c>
      <c r="Y28" s="515" t="s">
        <v>601</v>
      </c>
      <c r="Z28" s="22"/>
      <c r="AA28" s="19"/>
      <c r="AB28" s="19"/>
      <c r="AF28" s="591"/>
      <c r="AK28" s="579"/>
      <c r="AL28" s="579"/>
      <c r="AM28" s="579"/>
    </row>
    <row r="29" spans="1:39" x14ac:dyDescent="0.25">
      <c r="A29" s="19"/>
      <c r="B29" s="4" t="s">
        <v>44</v>
      </c>
      <c r="C29" s="279" t="s">
        <v>45</v>
      </c>
      <c r="D29" s="5">
        <v>0.15</v>
      </c>
      <c r="E29" s="6" t="s">
        <v>6</v>
      </c>
      <c r="F29" s="20"/>
      <c r="G29" s="19"/>
      <c r="H29" s="737" t="s">
        <v>424</v>
      </c>
      <c r="I29" s="738"/>
      <c r="J29" s="282" t="s">
        <v>37</v>
      </c>
      <c r="K29" s="264">
        <f>K18-K19</f>
        <v>222.22222222222223</v>
      </c>
      <c r="L29" s="249" t="s">
        <v>4</v>
      </c>
      <c r="M29" s="19"/>
      <c r="N29" s="19"/>
      <c r="O29" s="597" t="s">
        <v>696</v>
      </c>
      <c r="P29" s="592">
        <v>1200</v>
      </c>
      <c r="Q29" s="592">
        <v>8</v>
      </c>
      <c r="R29" s="592">
        <v>10</v>
      </c>
      <c r="S29" s="599" t="s">
        <v>709</v>
      </c>
      <c r="T29" s="598">
        <v>11.2</v>
      </c>
      <c r="U29" s="22"/>
      <c r="V29" s="19"/>
      <c r="W29" s="19"/>
      <c r="X29" s="19"/>
      <c r="Y29" s="19"/>
      <c r="Z29" s="22"/>
      <c r="AA29" s="19"/>
      <c r="AB29" s="19"/>
      <c r="AF29" s="591"/>
      <c r="AK29" s="579"/>
      <c r="AL29" s="579"/>
      <c r="AM29" s="579"/>
    </row>
    <row r="30" spans="1:39" ht="15.75" thickBot="1" x14ac:dyDescent="0.3">
      <c r="A30" s="19"/>
      <c r="B30" s="4" t="s">
        <v>48</v>
      </c>
      <c r="C30" s="10" t="s">
        <v>49</v>
      </c>
      <c r="D30" s="11">
        <v>1.8</v>
      </c>
      <c r="E30" s="6"/>
      <c r="F30" s="20"/>
      <c r="G30" s="19"/>
      <c r="H30" s="761" t="s">
        <v>425</v>
      </c>
      <c r="I30" s="762"/>
      <c r="J30" s="286" t="s">
        <v>405</v>
      </c>
      <c r="K30" s="265">
        <f>K29*((100%-D35)/(100%-D29))</f>
        <v>120.39215686274515</v>
      </c>
      <c r="L30" s="254" t="s">
        <v>4</v>
      </c>
      <c r="M30" s="19"/>
      <c r="N30" s="19"/>
      <c r="O30" s="597" t="s">
        <v>697</v>
      </c>
      <c r="P30" s="592">
        <v>1500</v>
      </c>
      <c r="Q30" s="592">
        <v>16</v>
      </c>
      <c r="R30" s="592">
        <v>12</v>
      </c>
      <c r="S30" s="599" t="s">
        <v>709</v>
      </c>
      <c r="T30" s="598">
        <v>33.799999999999997</v>
      </c>
      <c r="U30" s="22"/>
      <c r="V30" s="22"/>
      <c r="W30" s="22"/>
      <c r="X30" s="22"/>
      <c r="Y30" s="22"/>
      <c r="Z30" s="22"/>
      <c r="AA30" s="19"/>
      <c r="AB30" s="19"/>
      <c r="AF30" s="591"/>
    </row>
    <row r="31" spans="1:39" ht="15.75" thickBot="1" x14ac:dyDescent="0.3">
      <c r="A31" s="19"/>
      <c r="B31" s="1" t="s">
        <v>52</v>
      </c>
      <c r="C31" s="2" t="s">
        <v>53</v>
      </c>
      <c r="D31" s="12">
        <v>0.6</v>
      </c>
      <c r="E31" s="3" t="s">
        <v>6</v>
      </c>
      <c r="F31" s="20"/>
      <c r="G31" s="19"/>
      <c r="H31" s="23"/>
      <c r="I31" s="23"/>
      <c r="J31" s="23"/>
      <c r="K31" s="118"/>
      <c r="L31" s="118"/>
      <c r="M31" s="19"/>
      <c r="N31" s="19"/>
      <c r="O31" s="597" t="s">
        <v>698</v>
      </c>
      <c r="P31" s="592">
        <v>1500</v>
      </c>
      <c r="Q31" s="592">
        <v>16</v>
      </c>
      <c r="R31" s="592">
        <v>15</v>
      </c>
      <c r="S31" s="599" t="s">
        <v>709</v>
      </c>
      <c r="T31" s="598">
        <v>22.75</v>
      </c>
      <c r="U31" s="22"/>
      <c r="V31" s="22"/>
      <c r="W31" s="22"/>
      <c r="X31" s="528">
        <f>+X28-X25</f>
        <v>7556874.6320346361</v>
      </c>
      <c r="Y31" s="546">
        <f>+X31*12*5</f>
        <v>453412477.92207813</v>
      </c>
      <c r="Z31" s="22"/>
      <c r="AA31" s="19"/>
      <c r="AB31" s="19"/>
      <c r="AF31" s="591"/>
    </row>
    <row r="32" spans="1:39" ht="15.75" thickBot="1" x14ac:dyDescent="0.3">
      <c r="A32" s="19"/>
      <c r="B32" s="1" t="s">
        <v>55</v>
      </c>
      <c r="C32" s="2" t="s">
        <v>56</v>
      </c>
      <c r="D32" s="12">
        <v>0.14000000000000001</v>
      </c>
      <c r="E32" s="3" t="s">
        <v>6</v>
      </c>
      <c r="F32" s="20"/>
      <c r="G32" s="19"/>
      <c r="H32" s="734" t="s">
        <v>414</v>
      </c>
      <c r="I32" s="735"/>
      <c r="J32" s="735"/>
      <c r="K32" s="735"/>
      <c r="L32" s="736"/>
      <c r="M32" s="19"/>
      <c r="N32" s="19"/>
      <c r="O32" s="597" t="s">
        <v>699</v>
      </c>
      <c r="P32" s="592">
        <v>1500</v>
      </c>
      <c r="Q32" s="592">
        <v>16</v>
      </c>
      <c r="R32" s="592">
        <v>15</v>
      </c>
      <c r="S32" s="599" t="s">
        <v>709</v>
      </c>
      <c r="T32" s="598">
        <v>14.5</v>
      </c>
      <c r="U32" s="22"/>
      <c r="V32" s="748" t="s">
        <v>608</v>
      </c>
      <c r="W32" s="748"/>
      <c r="Y32" s="22">
        <f>+D19*D20*D16*D15</f>
        <v>8668.2352941176505</v>
      </c>
      <c r="Z32" s="22" t="s">
        <v>609</v>
      </c>
      <c r="AA32" s="19"/>
      <c r="AB32" s="19"/>
      <c r="AF32" s="591"/>
    </row>
    <row r="33" spans="1:28" x14ac:dyDescent="0.25">
      <c r="A33" s="19"/>
      <c r="B33" s="1" t="s">
        <v>58</v>
      </c>
      <c r="C33" s="2" t="s">
        <v>59</v>
      </c>
      <c r="D33" s="2">
        <v>1610</v>
      </c>
      <c r="E33" s="3" t="s">
        <v>60</v>
      </c>
      <c r="F33" s="20"/>
      <c r="G33" s="19"/>
      <c r="H33" s="730" t="s">
        <v>404</v>
      </c>
      <c r="I33" s="731"/>
      <c r="J33" s="283" t="s">
        <v>61</v>
      </c>
      <c r="K33" s="283">
        <f>(K25*R16*(R8-D34)+(K25-K26)*R12)/3600</f>
        <v>32.284685085467196</v>
      </c>
      <c r="L33" s="251" t="s">
        <v>19</v>
      </c>
      <c r="M33" s="19"/>
      <c r="N33" s="19"/>
      <c r="O33" s="597" t="s">
        <v>700</v>
      </c>
      <c r="P33" s="592">
        <v>1800</v>
      </c>
      <c r="Q33" s="592">
        <v>25</v>
      </c>
      <c r="R33" s="592">
        <v>20</v>
      </c>
      <c r="S33" s="599" t="s">
        <v>709</v>
      </c>
      <c r="T33" s="598">
        <v>51</v>
      </c>
      <c r="U33" s="22"/>
      <c r="V33" s="748" t="s">
        <v>610</v>
      </c>
      <c r="W33" s="748"/>
      <c r="X33" s="22"/>
      <c r="Y33" s="22"/>
      <c r="Z33" s="22"/>
      <c r="AA33" s="19"/>
      <c r="AB33" s="19"/>
    </row>
    <row r="34" spans="1:28" ht="15.75" thickBot="1" x14ac:dyDescent="0.3">
      <c r="A34" s="19"/>
      <c r="B34" s="13" t="s">
        <v>62</v>
      </c>
      <c r="C34" s="14" t="s">
        <v>63</v>
      </c>
      <c r="D34" s="14">
        <v>25</v>
      </c>
      <c r="E34" s="15" t="s">
        <v>13</v>
      </c>
      <c r="F34" s="20"/>
      <c r="G34" s="19"/>
      <c r="H34" s="732" t="s">
        <v>407</v>
      </c>
      <c r="I34" s="733"/>
      <c r="J34" s="282" t="s">
        <v>64</v>
      </c>
      <c r="K34" s="282">
        <f>(K26*R17*(R9-R8)+(K26-K27)*R13)/3600</f>
        <v>142.84768839631309</v>
      </c>
      <c r="L34" s="249" t="s">
        <v>19</v>
      </c>
      <c r="M34" s="19"/>
      <c r="N34" s="19"/>
      <c r="O34" s="597" t="s">
        <v>701</v>
      </c>
      <c r="P34" s="592">
        <v>2000</v>
      </c>
      <c r="Q34" s="592">
        <v>25</v>
      </c>
      <c r="R34" s="592">
        <v>20</v>
      </c>
      <c r="S34" s="599" t="s">
        <v>709</v>
      </c>
      <c r="T34" s="598">
        <v>24.7</v>
      </c>
      <c r="U34" s="22"/>
      <c r="V34" s="22"/>
      <c r="W34" s="22"/>
      <c r="X34" s="22"/>
      <c r="Y34" s="22"/>
      <c r="Z34" s="22"/>
      <c r="AA34" s="19"/>
      <c r="AB34" s="19"/>
    </row>
    <row r="35" spans="1:28" x14ac:dyDescent="0.25">
      <c r="A35" s="19"/>
      <c r="B35" s="255" t="s">
        <v>65</v>
      </c>
      <c r="C35" s="256" t="s">
        <v>66</v>
      </c>
      <c r="D35" s="257">
        <f>((K19-K19*(D31+D32))-(K19-K19*(D31+D32))*(D24/100))/(K19*(1-D31))</f>
        <v>0.53949999999999987</v>
      </c>
      <c r="E35" s="258" t="s">
        <v>6</v>
      </c>
      <c r="F35" s="20"/>
      <c r="G35" s="19"/>
      <c r="H35" s="732" t="s">
        <v>408</v>
      </c>
      <c r="I35" s="733"/>
      <c r="J35" s="282" t="s">
        <v>67</v>
      </c>
      <c r="K35" s="282">
        <f>(K27*R18*(R10-R9)+(K27-D19)*R14)/3600</f>
        <v>21.065472542804358</v>
      </c>
      <c r="L35" s="249" t="s">
        <v>19</v>
      </c>
      <c r="M35" s="19"/>
      <c r="N35" s="19"/>
      <c r="O35" s="597" t="s">
        <v>702</v>
      </c>
      <c r="P35" s="592">
        <v>2000</v>
      </c>
      <c r="Q35" s="592">
        <v>25</v>
      </c>
      <c r="R35" s="592">
        <v>20</v>
      </c>
      <c r="S35" s="599" t="s">
        <v>709</v>
      </c>
      <c r="T35" s="598">
        <v>28.4</v>
      </c>
      <c r="U35" s="22"/>
      <c r="V35" s="22"/>
      <c r="W35" s="22"/>
      <c r="X35" s="22"/>
      <c r="Y35" s="22"/>
      <c r="Z35" s="22"/>
      <c r="AA35" s="19"/>
      <c r="AB35" s="19"/>
    </row>
    <row r="36" spans="1:28" x14ac:dyDescent="0.25">
      <c r="A36" s="19"/>
      <c r="B36" s="255" t="s">
        <v>69</v>
      </c>
      <c r="C36" s="256" t="s">
        <v>70</v>
      </c>
      <c r="D36" s="259">
        <f>760*EXP(-0.0001158*D33)</f>
        <v>630.73161123067814</v>
      </c>
      <c r="E36" s="258" t="s">
        <v>71</v>
      </c>
      <c r="F36" s="20"/>
      <c r="G36" s="19"/>
      <c r="H36" s="732" t="s">
        <v>409</v>
      </c>
      <c r="I36" s="733"/>
      <c r="J36" s="282" t="s">
        <v>68</v>
      </c>
      <c r="K36" s="282">
        <f>SUM(K33:K35)</f>
        <v>196.19784602458463</v>
      </c>
      <c r="L36" s="249" t="s">
        <v>19</v>
      </c>
      <c r="M36" s="19"/>
      <c r="N36" s="19"/>
      <c r="O36" s="597" t="s">
        <v>703</v>
      </c>
      <c r="P36" s="600" t="s">
        <v>709</v>
      </c>
      <c r="Q36" s="600" t="s">
        <v>709</v>
      </c>
      <c r="R36" s="600" t="s">
        <v>709</v>
      </c>
      <c r="S36" s="599" t="s">
        <v>709</v>
      </c>
      <c r="T36" s="601" t="s">
        <v>709</v>
      </c>
      <c r="U36" s="22"/>
      <c r="V36" s="22"/>
      <c r="W36" s="22"/>
      <c r="X36" s="22"/>
      <c r="Y36" s="22"/>
      <c r="Z36" s="22"/>
      <c r="AA36" s="19"/>
      <c r="AB36" s="19"/>
    </row>
    <row r="37" spans="1:28" ht="15.75" thickBot="1" x14ac:dyDescent="0.3">
      <c r="A37" s="19"/>
      <c r="B37" s="260" t="s">
        <v>72</v>
      </c>
      <c r="C37" s="261" t="s">
        <v>73</v>
      </c>
      <c r="D37" s="261">
        <f>-227.03+3816.44/(18.3036-LN(7.5*(D36*133.3224/1000)))</f>
        <v>94.84769841995157</v>
      </c>
      <c r="E37" s="262" t="s">
        <v>13</v>
      </c>
      <c r="F37" s="20"/>
      <c r="G37" s="19"/>
      <c r="H37" s="726" t="s">
        <v>410</v>
      </c>
      <c r="I37" s="727"/>
      <c r="J37" s="281" t="s">
        <v>68</v>
      </c>
      <c r="K37" s="281">
        <f>(K19*(R10-D34)*R16+K24*((R12+R14)/2))/3600</f>
        <v>193.85835187836162</v>
      </c>
      <c r="L37" s="254" t="s">
        <v>19</v>
      </c>
      <c r="M37" s="19"/>
      <c r="N37" s="19"/>
      <c r="O37" s="602" t="s">
        <v>708</v>
      </c>
      <c r="P37" s="603">
        <v>3000</v>
      </c>
      <c r="Q37" s="603">
        <v>40</v>
      </c>
      <c r="R37" s="603">
        <v>30</v>
      </c>
      <c r="S37" s="604" t="s">
        <v>709</v>
      </c>
      <c r="T37" s="605">
        <v>27.7</v>
      </c>
      <c r="U37" s="22"/>
      <c r="V37" s="22"/>
      <c r="W37" s="22"/>
      <c r="X37" s="22"/>
      <c r="Y37" s="22"/>
      <c r="Z37" s="22"/>
      <c r="AA37" s="19"/>
      <c r="AB37" s="19"/>
    </row>
    <row r="38" spans="1:28" ht="15.75" thickBot="1" x14ac:dyDescent="0.3">
      <c r="A38" s="19"/>
      <c r="B38" s="324"/>
      <c r="C38" s="324"/>
      <c r="D38" s="324"/>
      <c r="E38" s="324"/>
      <c r="F38" s="20"/>
      <c r="G38" s="19"/>
      <c r="H38" s="19"/>
      <c r="I38" s="19"/>
      <c r="J38" s="34"/>
      <c r="K38" s="19"/>
      <c r="L38" s="34"/>
      <c r="M38" s="19"/>
      <c r="N38" s="19"/>
      <c r="O38" s="19"/>
      <c r="P38" s="21"/>
      <c r="Q38" s="21"/>
      <c r="R38" s="21"/>
      <c r="S38" s="21"/>
      <c r="T38" s="21"/>
      <c r="U38" s="21"/>
      <c r="V38" s="19"/>
      <c r="W38" s="19"/>
      <c r="X38" s="19"/>
      <c r="Y38" s="19"/>
      <c r="Z38" s="19"/>
      <c r="AA38" s="19"/>
      <c r="AB38" s="19"/>
    </row>
    <row r="39" spans="1:28" ht="15.75" thickBot="1" x14ac:dyDescent="0.3">
      <c r="A39" s="788" t="s">
        <v>77</v>
      </c>
      <c r="B39" s="789"/>
      <c r="C39" s="789"/>
      <c r="D39" s="789"/>
      <c r="E39" s="789"/>
      <c r="F39" s="789"/>
      <c r="G39" s="789"/>
      <c r="H39" s="789"/>
      <c r="I39" s="789"/>
      <c r="J39" s="789"/>
      <c r="K39" s="789"/>
      <c r="L39" s="789"/>
      <c r="M39" s="789"/>
      <c r="N39" s="789"/>
      <c r="O39" s="789"/>
      <c r="P39" s="789"/>
      <c r="Q39" s="789"/>
      <c r="R39" s="789"/>
      <c r="S39" s="789"/>
      <c r="T39" s="789"/>
      <c r="U39" s="789"/>
      <c r="V39" s="789"/>
      <c r="W39" s="789"/>
      <c r="X39" s="789"/>
      <c r="Y39" s="789"/>
      <c r="Z39" s="789"/>
      <c r="AA39" s="789"/>
      <c r="AB39" s="790"/>
    </row>
    <row r="40" spans="1:28" ht="15.75" thickBot="1" x14ac:dyDescent="0.3">
      <c r="A40" s="19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  <c r="U40" s="247"/>
      <c r="V40" s="19"/>
      <c r="W40" s="19"/>
      <c r="X40" s="19"/>
      <c r="Y40" s="19"/>
      <c r="Z40" s="19"/>
      <c r="AA40" s="19"/>
      <c r="AB40" s="19"/>
    </row>
    <row r="41" spans="1:28" ht="15.75" customHeight="1" thickBot="1" x14ac:dyDescent="0.3">
      <c r="A41" s="19"/>
      <c r="B41" s="788" t="s">
        <v>595</v>
      </c>
      <c r="C41" s="789"/>
      <c r="D41" s="789"/>
      <c r="E41" s="789"/>
      <c r="F41" s="789"/>
      <c r="G41" s="789"/>
      <c r="H41" s="790"/>
      <c r="I41" s="22"/>
      <c r="K41" s="780" t="s">
        <v>690</v>
      </c>
      <c r="L41" s="781"/>
      <c r="M41" s="781"/>
      <c r="N41" s="781"/>
      <c r="O41" s="781"/>
      <c r="P41" s="781"/>
      <c r="Q41" s="781"/>
      <c r="R41" s="782"/>
      <c r="S41" s="22"/>
      <c r="T41" s="780" t="s">
        <v>691</v>
      </c>
      <c r="U41" s="781"/>
      <c r="V41" s="781"/>
      <c r="W41" s="781"/>
      <c r="X41" s="781"/>
      <c r="Y41" s="781"/>
      <c r="Z41" s="781"/>
      <c r="AA41" s="782"/>
      <c r="AB41" s="19"/>
    </row>
    <row r="42" spans="1:28" ht="15.75" thickBot="1" x14ac:dyDescent="0.3">
      <c r="A42" s="19"/>
      <c r="B42" s="19"/>
      <c r="C42" s="19"/>
      <c r="D42" s="19"/>
      <c r="E42" s="19"/>
      <c r="F42" s="19"/>
      <c r="G42" s="19"/>
      <c r="H42" s="19"/>
      <c r="I42" s="22"/>
      <c r="K42" s="304" t="s">
        <v>465</v>
      </c>
      <c r="L42" s="295">
        <v>0.42</v>
      </c>
      <c r="M42" s="295" t="s">
        <v>60</v>
      </c>
      <c r="N42" s="297"/>
      <c r="O42" s="297"/>
      <c r="P42" s="297"/>
      <c r="Q42" s="297"/>
      <c r="R42" s="301"/>
      <c r="S42" s="22"/>
      <c r="T42" s="304" t="s">
        <v>465</v>
      </c>
      <c r="U42" s="295">
        <v>0.3</v>
      </c>
      <c r="V42" s="295" t="s">
        <v>60</v>
      </c>
      <c r="W42" s="297"/>
      <c r="X42" s="297"/>
      <c r="Y42" s="297"/>
      <c r="Z42" s="297"/>
      <c r="AA42" s="301"/>
      <c r="AB42" s="19"/>
    </row>
    <row r="43" spans="1:28" x14ac:dyDescent="0.25">
      <c r="A43" s="19"/>
      <c r="B43" s="501" t="s">
        <v>476</v>
      </c>
      <c r="C43" s="323" t="s">
        <v>475</v>
      </c>
      <c r="D43" s="322" t="s">
        <v>43</v>
      </c>
      <c r="E43" s="321">
        <v>1</v>
      </c>
      <c r="F43" s="321">
        <v>2</v>
      </c>
      <c r="G43" s="321">
        <v>3</v>
      </c>
      <c r="H43" s="321">
        <v>4</v>
      </c>
      <c r="I43" s="321">
        <v>5</v>
      </c>
      <c r="K43" s="303" t="s">
        <v>464</v>
      </c>
      <c r="L43" s="292">
        <v>0.95</v>
      </c>
      <c r="M43" s="292" t="s">
        <v>60</v>
      </c>
      <c r="N43" s="297"/>
      <c r="O43" s="297"/>
      <c r="P43" s="297"/>
      <c r="Q43" s="297"/>
      <c r="R43" s="301"/>
      <c r="S43" s="22"/>
      <c r="T43" s="303" t="s">
        <v>464</v>
      </c>
      <c r="U43" s="292">
        <v>0.8</v>
      </c>
      <c r="V43" s="292" t="s">
        <v>60</v>
      </c>
      <c r="W43" s="297"/>
      <c r="X43" s="297"/>
      <c r="Y43" s="297"/>
      <c r="Z43" s="297"/>
      <c r="AA43" s="301"/>
      <c r="AB43" s="19"/>
    </row>
    <row r="44" spans="1:28" x14ac:dyDescent="0.25">
      <c r="A44" s="19"/>
      <c r="B44" s="320" t="s">
        <v>82</v>
      </c>
      <c r="C44" s="319" t="s">
        <v>474</v>
      </c>
      <c r="D44" s="318" t="s">
        <v>43</v>
      </c>
      <c r="E44" s="508" t="s">
        <v>473</v>
      </c>
      <c r="F44" s="508" t="s">
        <v>473</v>
      </c>
      <c r="G44" s="508" t="s">
        <v>473</v>
      </c>
      <c r="H44" s="508" t="s">
        <v>473</v>
      </c>
      <c r="I44" s="508" t="s">
        <v>473</v>
      </c>
      <c r="K44" s="291" t="s">
        <v>462</v>
      </c>
      <c r="L44" s="292">
        <f>((L43/2)^2+L42^2)/(2*L42)</f>
        <v>0.47860119047619043</v>
      </c>
      <c r="M44" s="292" t="s">
        <v>60</v>
      </c>
      <c r="N44" s="297"/>
      <c r="O44" s="297"/>
      <c r="P44" s="297"/>
      <c r="Q44" s="297"/>
      <c r="R44" s="301"/>
      <c r="S44" s="22"/>
      <c r="T44" s="291" t="s">
        <v>462</v>
      </c>
      <c r="U44" s="292">
        <f>((U43/2)^2+U42^2)/(2*U42)</f>
        <v>0.41666666666666669</v>
      </c>
      <c r="V44" s="292" t="s">
        <v>60</v>
      </c>
      <c r="W44" s="297"/>
      <c r="X44" s="297"/>
      <c r="Y44" s="297"/>
      <c r="Z44" s="297"/>
      <c r="AA44" s="301"/>
      <c r="AB44" s="19"/>
    </row>
    <row r="45" spans="1:28" x14ac:dyDescent="0.25">
      <c r="A45" s="19"/>
      <c r="B45" s="498" t="s">
        <v>121</v>
      </c>
      <c r="C45" s="67" t="s">
        <v>122</v>
      </c>
      <c r="D45" s="67" t="s">
        <v>43</v>
      </c>
      <c r="E45" s="67">
        <v>1</v>
      </c>
      <c r="F45" s="495">
        <v>2</v>
      </c>
      <c r="G45" s="67">
        <v>3</v>
      </c>
      <c r="H45" s="499">
        <v>4</v>
      </c>
      <c r="I45" s="499">
        <v>5</v>
      </c>
      <c r="K45" s="302"/>
      <c r="L45" s="289"/>
      <c r="M45" s="289"/>
      <c r="N45" s="297"/>
      <c r="O45" s="292" t="s">
        <v>463</v>
      </c>
      <c r="P45" s="292">
        <f>PI()*(L43/2)^2</f>
        <v>0.70882184246619706</v>
      </c>
      <c r="Q45" s="297"/>
      <c r="R45" s="301"/>
      <c r="S45" s="22"/>
      <c r="T45" s="302"/>
      <c r="U45" s="289"/>
      <c r="V45" s="289"/>
      <c r="W45" s="297"/>
      <c r="X45" s="292" t="s">
        <v>463</v>
      </c>
      <c r="Y45" s="292">
        <f>PI()*(U43/2)^2</f>
        <v>0.50265482457436694</v>
      </c>
      <c r="Z45" s="297"/>
      <c r="AA45" s="301"/>
      <c r="AB45" s="19"/>
    </row>
    <row r="46" spans="1:28" x14ac:dyDescent="0.25">
      <c r="A46" s="19"/>
      <c r="B46" s="500" t="s">
        <v>123</v>
      </c>
      <c r="C46" s="317" t="s">
        <v>138</v>
      </c>
      <c r="D46" s="317" t="s">
        <v>124</v>
      </c>
      <c r="E46" s="315">
        <f>+D24</f>
        <v>17</v>
      </c>
      <c r="F46" s="316">
        <f>+E47</f>
        <v>22</v>
      </c>
      <c r="G46" s="315">
        <f>+F47</f>
        <v>45</v>
      </c>
      <c r="H46" s="509">
        <f>+G47</f>
        <v>75</v>
      </c>
      <c r="I46" s="509">
        <f>+H46</f>
        <v>75</v>
      </c>
      <c r="K46" s="291" t="s">
        <v>461</v>
      </c>
      <c r="L46" s="292">
        <v>0.35</v>
      </c>
      <c r="M46" s="292" t="s">
        <v>60</v>
      </c>
      <c r="N46" s="297"/>
      <c r="O46" s="292" t="s">
        <v>460</v>
      </c>
      <c r="P46" s="292">
        <f>L43+2*(L46/TAN(L47))</f>
        <v>1.2328183580846097</v>
      </c>
      <c r="Q46" s="297"/>
      <c r="R46" s="301"/>
      <c r="S46" s="22"/>
      <c r="T46" s="291" t="s">
        <v>461</v>
      </c>
      <c r="U46" s="292">
        <v>0.2</v>
      </c>
      <c r="V46" s="292" t="s">
        <v>60</v>
      </c>
      <c r="W46" s="297"/>
      <c r="X46" s="292" t="s">
        <v>460</v>
      </c>
      <c r="Y46" s="292">
        <f>U43+2*(U46/TAN(U47))</f>
        <v>0.96161049033406276</v>
      </c>
      <c r="Z46" s="297"/>
      <c r="AA46" s="301"/>
      <c r="AB46" s="19"/>
    </row>
    <row r="47" spans="1:28" ht="15.75" x14ac:dyDescent="0.25">
      <c r="A47" s="19"/>
      <c r="B47" s="500" t="s">
        <v>125</v>
      </c>
      <c r="C47" s="317" t="s">
        <v>139</v>
      </c>
      <c r="D47" s="317" t="s">
        <v>124</v>
      </c>
      <c r="E47" s="315">
        <f>+D25</f>
        <v>22</v>
      </c>
      <c r="F47" s="316">
        <v>45</v>
      </c>
      <c r="G47" s="315">
        <f>+D26</f>
        <v>75</v>
      </c>
      <c r="H47" s="509">
        <f>+D27</f>
        <v>93.5</v>
      </c>
      <c r="I47" s="509">
        <f>+H47</f>
        <v>93.5</v>
      </c>
      <c r="K47" s="291" t="s">
        <v>453</v>
      </c>
      <c r="L47" s="292">
        <f>68*PI()/180</f>
        <v>1.1868238913561442</v>
      </c>
      <c r="M47" s="292" t="s">
        <v>452</v>
      </c>
      <c r="N47" s="297"/>
      <c r="O47" s="292" t="s">
        <v>459</v>
      </c>
      <c r="P47" s="292">
        <f>P46^2</f>
        <v>1.5198411040304329</v>
      </c>
      <c r="Q47" s="297"/>
      <c r="R47" s="301"/>
      <c r="S47" s="22"/>
      <c r="T47" s="291" t="s">
        <v>453</v>
      </c>
      <c r="U47" s="292">
        <f>68*PI()/180</f>
        <v>1.1868238913561442</v>
      </c>
      <c r="V47" s="292" t="s">
        <v>452</v>
      </c>
      <c r="W47" s="297"/>
      <c r="X47" s="292" t="s">
        <v>459</v>
      </c>
      <c r="Y47" s="292">
        <f>Y46^2</f>
        <v>0.92469473512051659</v>
      </c>
      <c r="Z47" s="297"/>
      <c r="AA47" s="301"/>
      <c r="AB47" s="19"/>
    </row>
    <row r="48" spans="1:28" x14ac:dyDescent="0.25">
      <c r="A48" s="19"/>
      <c r="B48" s="494" t="s">
        <v>126</v>
      </c>
      <c r="C48" s="67" t="s">
        <v>140</v>
      </c>
      <c r="D48" s="67" t="s">
        <v>124</v>
      </c>
      <c r="E48" s="67">
        <f t="shared" ref="E48:H48" si="0">(E46+E47)/2</f>
        <v>19.5</v>
      </c>
      <c r="F48" s="495">
        <f t="shared" si="0"/>
        <v>33.5</v>
      </c>
      <c r="G48" s="67">
        <f t="shared" si="0"/>
        <v>60</v>
      </c>
      <c r="H48" s="499">
        <f t="shared" si="0"/>
        <v>84.25</v>
      </c>
      <c r="I48" s="499">
        <f t="shared" ref="I48" si="1">(I46+I47)/2</f>
        <v>84.25</v>
      </c>
      <c r="K48" s="302"/>
      <c r="L48" s="289"/>
      <c r="M48" s="289"/>
      <c r="N48" s="297"/>
      <c r="O48" s="292" t="s">
        <v>458</v>
      </c>
      <c r="P48" s="292">
        <f>(L46*(P45+P47+SQRT(P45*P47)))/3</f>
        <v>0.38110239165452048</v>
      </c>
      <c r="Q48" s="297"/>
      <c r="R48" s="301"/>
      <c r="S48" s="22"/>
      <c r="T48" s="302"/>
      <c r="U48" s="289"/>
      <c r="V48" s="289"/>
      <c r="W48" s="297"/>
      <c r="X48" s="292" t="s">
        <v>458</v>
      </c>
      <c r="Y48" s="292">
        <f>(U46*(Y45+Y47+SQRT(Y45*Y47)))/3</f>
        <v>0.14060757642402563</v>
      </c>
      <c r="Z48" s="297"/>
      <c r="AA48" s="301"/>
      <c r="AB48" s="19"/>
    </row>
    <row r="49" spans="1:43" x14ac:dyDescent="0.25">
      <c r="A49" s="19"/>
      <c r="B49" s="498" t="s">
        <v>319</v>
      </c>
      <c r="C49" s="67" t="s">
        <v>127</v>
      </c>
      <c r="D49" s="67" t="s">
        <v>38</v>
      </c>
      <c r="E49" s="147">
        <f>+K21</f>
        <v>326.66666666666663</v>
      </c>
      <c r="F49" s="314">
        <f>+K23*E46/E47</f>
        <v>242.32727272727271</v>
      </c>
      <c r="G49" s="314">
        <f>+F49*F46/F47</f>
        <v>118.47111111111111</v>
      </c>
      <c r="H49" s="150">
        <f>+(G49*G46/G47)/2</f>
        <v>35.541333333333334</v>
      </c>
      <c r="I49" s="150">
        <f>+(G49*G46/G47)/2</f>
        <v>35.541333333333334</v>
      </c>
      <c r="K49" s="294" t="s">
        <v>457</v>
      </c>
      <c r="L49" s="293">
        <f>(PI()*L42^2*(3*L44-L42))/3</f>
        <v>0.18764497300442814</v>
      </c>
      <c r="M49" s="293" t="s">
        <v>449</v>
      </c>
      <c r="N49" s="297"/>
      <c r="O49" s="297"/>
      <c r="P49" s="297"/>
      <c r="Q49" s="297"/>
      <c r="R49" s="301"/>
      <c r="S49" s="22"/>
      <c r="T49" s="294" t="s">
        <v>457</v>
      </c>
      <c r="U49" s="293">
        <f>(PI()*U42^2*(3*U44-U42))/3</f>
        <v>8.95353906273091E-2</v>
      </c>
      <c r="V49" s="293" t="s">
        <v>449</v>
      </c>
      <c r="W49" s="297"/>
      <c r="X49" s="297"/>
      <c r="Y49" s="297"/>
      <c r="Z49" s="297"/>
      <c r="AA49" s="301"/>
      <c r="AB49" s="19"/>
    </row>
    <row r="50" spans="1:43" x14ac:dyDescent="0.25">
      <c r="A50" s="19"/>
      <c r="B50" s="498" t="s">
        <v>128</v>
      </c>
      <c r="C50" s="67" t="s">
        <v>129</v>
      </c>
      <c r="D50" s="67" t="s">
        <v>47</v>
      </c>
      <c r="E50" s="147">
        <f t="shared" ref="E50:H50" si="2">4.18*(1-0.006*E48)</f>
        <v>3.6909399999999999</v>
      </c>
      <c r="F50" s="314">
        <f t="shared" si="2"/>
        <v>3.3398199999999996</v>
      </c>
      <c r="G50" s="147">
        <f t="shared" si="2"/>
        <v>2.6751999999999998</v>
      </c>
      <c r="H50" s="148">
        <f t="shared" si="2"/>
        <v>2.0670099999999998</v>
      </c>
      <c r="I50" s="148">
        <f t="shared" ref="I50" si="3">4.18*(1-0.006*I48)</f>
        <v>2.0670099999999998</v>
      </c>
      <c r="K50" s="302"/>
      <c r="L50" s="289"/>
      <c r="M50" s="289"/>
      <c r="N50" s="297"/>
      <c r="O50" s="297"/>
      <c r="P50" s="297"/>
      <c r="Q50" s="297"/>
      <c r="R50" s="301"/>
      <c r="S50" s="22"/>
      <c r="T50" s="302"/>
      <c r="U50" s="289"/>
      <c r="V50" s="289"/>
      <c r="W50" s="297"/>
      <c r="X50" s="297"/>
      <c r="Y50" s="297"/>
      <c r="Z50" s="297"/>
      <c r="AA50" s="301"/>
      <c r="AB50" s="19"/>
    </row>
    <row r="51" spans="1:43" x14ac:dyDescent="0.25">
      <c r="A51" s="19"/>
      <c r="B51" s="498" t="s">
        <v>472</v>
      </c>
      <c r="C51" s="313" t="s">
        <v>471</v>
      </c>
      <c r="D51" s="306" t="s">
        <v>51</v>
      </c>
      <c r="E51" s="162">
        <f t="shared" ref="E51:H51" si="4">997.39+4.46*E48</f>
        <v>1084.3599999999999</v>
      </c>
      <c r="F51" s="162">
        <f t="shared" si="4"/>
        <v>1146.8</v>
      </c>
      <c r="G51" s="162">
        <f t="shared" si="4"/>
        <v>1264.99</v>
      </c>
      <c r="H51" s="312">
        <f t="shared" si="4"/>
        <v>1373.145</v>
      </c>
      <c r="I51" s="312">
        <f t="shared" ref="I51" si="5">997.39+4.46*I48</f>
        <v>1373.145</v>
      </c>
      <c r="K51" s="291" t="s">
        <v>456</v>
      </c>
      <c r="L51" s="292">
        <f>P48</f>
        <v>0.38110239165452048</v>
      </c>
      <c r="M51" s="292" t="s">
        <v>449</v>
      </c>
      <c r="N51" s="297"/>
      <c r="O51" s="297"/>
      <c r="P51" s="297"/>
      <c r="Q51" s="297"/>
      <c r="R51" s="301"/>
      <c r="S51" s="22"/>
      <c r="T51" s="291" t="s">
        <v>456</v>
      </c>
      <c r="U51" s="292">
        <f>Y48</f>
        <v>0.14060757642402563</v>
      </c>
      <c r="V51" s="292" t="s">
        <v>449</v>
      </c>
      <c r="W51" s="297"/>
      <c r="X51" s="297"/>
      <c r="Y51" s="297"/>
      <c r="Z51" s="297"/>
      <c r="AA51" s="301"/>
      <c r="AB51" s="19"/>
    </row>
    <row r="52" spans="1:43" ht="15.75" thickBot="1" x14ac:dyDescent="0.3">
      <c r="A52" s="19"/>
      <c r="B52" s="311" t="s">
        <v>450</v>
      </c>
      <c r="C52" s="310" t="s">
        <v>470</v>
      </c>
      <c r="D52" s="310" t="s">
        <v>469</v>
      </c>
      <c r="E52" s="160">
        <f t="shared" ref="E52:H52" si="6">+E49/E51</f>
        <v>0.30125296641951627</v>
      </c>
      <c r="F52" s="160">
        <f t="shared" si="6"/>
        <v>0.21130735326759045</v>
      </c>
      <c r="G52" s="160">
        <f t="shared" si="6"/>
        <v>9.3653792607934536E-2</v>
      </c>
      <c r="H52" s="161">
        <f t="shared" si="6"/>
        <v>2.588316116166416E-2</v>
      </c>
      <c r="I52" s="161">
        <f t="shared" ref="I52" si="7">+I49/I51</f>
        <v>2.588316116166416E-2</v>
      </c>
      <c r="K52" s="302"/>
      <c r="L52" s="289"/>
      <c r="M52" s="289"/>
      <c r="N52" s="297"/>
      <c r="O52" s="297"/>
      <c r="P52" s="297"/>
      <c r="Q52" s="297"/>
      <c r="R52" s="301"/>
      <c r="S52" s="22"/>
      <c r="T52" s="302"/>
      <c r="U52" s="289"/>
      <c r="V52" s="289"/>
      <c r="W52" s="297"/>
      <c r="X52" s="297"/>
      <c r="Y52" s="297"/>
      <c r="Z52" s="297"/>
      <c r="AA52" s="301"/>
      <c r="AB52" s="19"/>
    </row>
    <row r="53" spans="1:43" ht="15.75" thickBot="1" x14ac:dyDescent="0.3">
      <c r="A53" s="19"/>
      <c r="B53" s="70" t="s">
        <v>450</v>
      </c>
      <c r="C53" s="71" t="s">
        <v>468</v>
      </c>
      <c r="D53" s="71" t="s">
        <v>451</v>
      </c>
      <c r="E53" s="309">
        <f t="shared" ref="E53:H53" si="8">+E52*1000</f>
        <v>301.25296641951627</v>
      </c>
      <c r="F53" s="309">
        <f t="shared" si="8"/>
        <v>211.30735326759046</v>
      </c>
      <c r="G53" s="309">
        <f t="shared" si="8"/>
        <v>93.653792607934534</v>
      </c>
      <c r="H53" s="308">
        <f t="shared" si="8"/>
        <v>25.883161161664159</v>
      </c>
      <c r="I53" s="308">
        <f t="shared" ref="I53" si="9">+I52*1000</f>
        <v>25.883161161664159</v>
      </c>
      <c r="K53" s="291" t="s">
        <v>455</v>
      </c>
      <c r="L53" s="292">
        <f>L51+L49</f>
        <v>0.5687473646589486</v>
      </c>
      <c r="M53" s="292" t="s">
        <v>449</v>
      </c>
      <c r="N53" s="297"/>
      <c r="O53" s="289"/>
      <c r="P53" s="289"/>
      <c r="Q53" s="289"/>
      <c r="R53" s="301"/>
      <c r="S53" s="22"/>
      <c r="T53" s="291" t="s">
        <v>455</v>
      </c>
      <c r="U53" s="292">
        <f>U51+U49</f>
        <v>0.23014296705133475</v>
      </c>
      <c r="V53" s="292" t="s">
        <v>449</v>
      </c>
      <c r="W53" s="297"/>
      <c r="X53" s="289"/>
      <c r="Y53" s="289"/>
      <c r="Z53" s="289"/>
      <c r="AA53" s="301"/>
      <c r="AB53" s="19"/>
    </row>
    <row r="54" spans="1:43" x14ac:dyDescent="0.25">
      <c r="A54" s="19"/>
      <c r="B54" s="498" t="s">
        <v>467</v>
      </c>
      <c r="C54" s="67" t="s">
        <v>130</v>
      </c>
      <c r="D54" s="67" t="s">
        <v>131</v>
      </c>
      <c r="E54" s="147">
        <f t="shared" ref="E54:H55" si="10">$D$37+0.2209*EXP(0.0557*E46)</f>
        <v>95.417113757278599</v>
      </c>
      <c r="F54" s="147">
        <f t="shared" si="10"/>
        <v>95.599979559921579</v>
      </c>
      <c r="G54" s="147">
        <f t="shared" si="10"/>
        <v>97.556360542959695</v>
      </c>
      <c r="H54" s="148">
        <f t="shared" si="10"/>
        <v>109.25096218777557</v>
      </c>
      <c r="I54" s="148">
        <f t="shared" ref="I54" si="11">$D$37+0.2209*EXP(0.0557*I46)</f>
        <v>109.25096218777557</v>
      </c>
      <c r="K54" s="302"/>
      <c r="L54" s="289"/>
      <c r="M54" s="289"/>
      <c r="N54" s="297"/>
      <c r="O54" s="289"/>
      <c r="P54" s="289"/>
      <c r="Q54" s="289"/>
      <c r="R54" s="301"/>
      <c r="S54" s="22"/>
      <c r="T54" s="302"/>
      <c r="U54" s="289"/>
      <c r="V54" s="289"/>
      <c r="W54" s="297"/>
      <c r="X54" s="289"/>
      <c r="Y54" s="289"/>
      <c r="Z54" s="289"/>
      <c r="AA54" s="301"/>
      <c r="AB54" s="19"/>
    </row>
    <row r="55" spans="1:43" ht="15.75" thickBot="1" x14ac:dyDescent="0.3">
      <c r="A55" s="19"/>
      <c r="B55" s="498" t="s">
        <v>466</v>
      </c>
      <c r="C55" s="67" t="s">
        <v>130</v>
      </c>
      <c r="D55" s="67" t="s">
        <v>131</v>
      </c>
      <c r="E55" s="147">
        <f t="shared" si="10"/>
        <v>95.599979559921579</v>
      </c>
      <c r="F55" s="147">
        <f t="shared" si="10"/>
        <v>97.556360542959695</v>
      </c>
      <c r="G55" s="147">
        <f t="shared" si="10"/>
        <v>109.25096218777557</v>
      </c>
      <c r="H55" s="148">
        <f t="shared" si="10"/>
        <v>135.21034757417664</v>
      </c>
      <c r="I55" s="148">
        <f t="shared" ref="I55" si="12">$D$37+0.2209*EXP(0.0557*I47)</f>
        <v>135.21034757417664</v>
      </c>
      <c r="K55" s="300" t="s">
        <v>454</v>
      </c>
      <c r="L55" s="290">
        <f>2*PI()*L44*L42</f>
        <v>1.2629987865594363</v>
      </c>
      <c r="M55" s="290" t="s">
        <v>448</v>
      </c>
      <c r="N55" s="299"/>
      <c r="O55" s="299"/>
      <c r="P55" s="299"/>
      <c r="Q55" s="299"/>
      <c r="R55" s="298"/>
      <c r="S55" s="22"/>
      <c r="T55" s="300" t="s">
        <v>454</v>
      </c>
      <c r="U55" s="290">
        <f>2*PI()*U44*U42</f>
        <v>0.78539816339744828</v>
      </c>
      <c r="V55" s="290" t="s">
        <v>448</v>
      </c>
      <c r="W55" s="299"/>
      <c r="X55" s="299"/>
      <c r="Y55" s="299"/>
      <c r="Z55" s="299"/>
      <c r="AA55" s="298"/>
      <c r="AB55" s="19"/>
    </row>
    <row r="56" spans="1:43" x14ac:dyDescent="0.25">
      <c r="A56" s="19"/>
      <c r="B56" s="498" t="s">
        <v>132</v>
      </c>
      <c r="C56" s="68" t="s">
        <v>133</v>
      </c>
      <c r="D56" s="67" t="s">
        <v>33</v>
      </c>
      <c r="E56" s="147">
        <f t="shared" ref="E56:H56" si="13">2492.9-2.0523*E54-0.0030752*E54^2</f>
        <v>2269.0775278376764</v>
      </c>
      <c r="F56" s="147">
        <f t="shared" si="13"/>
        <v>2268.5948140954929</v>
      </c>
      <c r="G56" s="147">
        <f t="shared" si="13"/>
        <v>2263.4176541006445</v>
      </c>
      <c r="H56" s="148">
        <f t="shared" si="13"/>
        <v>2231.9793619751949</v>
      </c>
      <c r="I56" s="148">
        <f t="shared" ref="I56" si="14">2492.9-2.0523*I54-0.0030752*I54^2</f>
        <v>2231.9793619751949</v>
      </c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19"/>
      <c r="Z56" s="19"/>
      <c r="AA56" s="19"/>
      <c r="AB56" s="19"/>
    </row>
    <row r="57" spans="1:43" ht="15.75" thickBot="1" x14ac:dyDescent="0.3">
      <c r="A57" s="19"/>
      <c r="B57" s="502" t="s">
        <v>134</v>
      </c>
      <c r="C57" s="69" t="s">
        <v>135</v>
      </c>
      <c r="D57" s="69" t="s">
        <v>38</v>
      </c>
      <c r="E57" s="120">
        <f t="shared" ref="E57:H57" si="15">+E49-(E49*E46/E47)</f>
        <v>74.242424242424221</v>
      </c>
      <c r="F57" s="120">
        <f t="shared" si="15"/>
        <v>123.8561616161616</v>
      </c>
      <c r="G57" s="120">
        <f t="shared" si="15"/>
        <v>47.388444444444445</v>
      </c>
      <c r="H57" s="307">
        <f t="shared" si="15"/>
        <v>7.0322424242424262</v>
      </c>
      <c r="I57" s="307">
        <f t="shared" ref="I57" si="16">+I49-(I49*I46/I47)</f>
        <v>7.0322424242424262</v>
      </c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19"/>
      <c r="Z57" s="19"/>
      <c r="AA57" s="19"/>
      <c r="AB57" s="19"/>
    </row>
    <row r="58" spans="1:43" ht="15.75" thickBot="1" x14ac:dyDescent="0.3">
      <c r="A58" s="19"/>
      <c r="B58" s="70" t="s">
        <v>136</v>
      </c>
      <c r="C58" s="71" t="s">
        <v>137</v>
      </c>
      <c r="D58" s="71" t="s">
        <v>19</v>
      </c>
      <c r="E58" s="71">
        <f t="shared" ref="E58:H58" si="17">(E49*E50*(E55- E54)+E57*E56)/3600</f>
        <v>46.856194180881737</v>
      </c>
      <c r="F58" s="71">
        <f t="shared" si="17"/>
        <v>78.489667423397378</v>
      </c>
      <c r="G58" s="71">
        <f t="shared" si="17"/>
        <v>30.823960460131197</v>
      </c>
      <c r="H58" s="72">
        <f t="shared" si="17"/>
        <v>4.8896966145147509</v>
      </c>
      <c r="I58" s="72">
        <f t="shared" ref="I58" si="18">(I49*I50*(I55- I54)+I57*I56)/3600</f>
        <v>4.8896966145147509</v>
      </c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19"/>
      <c r="Z58" s="19"/>
      <c r="AA58" s="19"/>
      <c r="AB58" s="19"/>
    </row>
    <row r="59" spans="1:43" ht="15.75" thickBot="1" x14ac:dyDescent="0.3">
      <c r="A59" s="19"/>
      <c r="B59" s="19"/>
      <c r="C59" s="19"/>
      <c r="D59" s="19"/>
      <c r="E59" s="19"/>
      <c r="F59" s="19"/>
      <c r="G59" s="19"/>
      <c r="H59" s="19"/>
      <c r="I59" s="269"/>
      <c r="J59" s="269"/>
      <c r="K59" s="269"/>
      <c r="L59" s="269"/>
      <c r="M59" s="269"/>
      <c r="N59" s="269"/>
      <c r="O59" s="269"/>
      <c r="P59" s="269"/>
      <c r="Q59" s="269"/>
      <c r="R59" s="269"/>
      <c r="S59" s="269"/>
      <c r="T59" s="269"/>
      <c r="U59" s="269"/>
      <c r="V59" s="269"/>
      <c r="W59" s="269"/>
      <c r="X59" s="269"/>
      <c r="Y59" s="19"/>
      <c r="Z59" s="19"/>
      <c r="AA59" s="19"/>
      <c r="AB59" s="19"/>
      <c r="AE59" s="296"/>
      <c r="AF59" s="296"/>
      <c r="AG59" s="296"/>
      <c r="AH59" s="296"/>
      <c r="AI59" s="296"/>
      <c r="AJ59" s="296"/>
      <c r="AK59" s="296"/>
      <c r="AL59" s="296"/>
      <c r="AM59" s="296"/>
      <c r="AN59" s="296"/>
      <c r="AO59" s="296"/>
      <c r="AP59" s="296"/>
      <c r="AQ59" s="296"/>
    </row>
    <row r="60" spans="1:43" ht="15.75" thickBot="1" x14ac:dyDescent="0.3">
      <c r="A60" s="503"/>
      <c r="B60" s="274"/>
      <c r="C60" s="274"/>
      <c r="D60" s="274"/>
      <c r="E60" s="274"/>
      <c r="F60" s="274"/>
      <c r="G60" s="274"/>
      <c r="H60" s="274"/>
      <c r="I60" s="274"/>
      <c r="J60" s="274"/>
      <c r="K60" s="274"/>
      <c r="L60" s="274"/>
      <c r="M60" s="274"/>
      <c r="N60" s="274"/>
      <c r="O60" s="274"/>
      <c r="P60" s="274"/>
      <c r="Q60" s="274"/>
      <c r="R60" s="274"/>
      <c r="S60" s="274"/>
      <c r="T60" s="274"/>
      <c r="U60" s="274"/>
      <c r="V60" s="274"/>
      <c r="W60" s="274"/>
      <c r="X60" s="274"/>
      <c r="Y60" s="274"/>
      <c r="Z60" s="274"/>
      <c r="AA60" s="274"/>
      <c r="AB60" s="504"/>
      <c r="AE60" s="296"/>
      <c r="AF60" s="296"/>
      <c r="AG60" s="296"/>
      <c r="AH60" s="296"/>
      <c r="AI60" s="296"/>
      <c r="AJ60" s="296"/>
      <c r="AK60" s="296"/>
      <c r="AL60" s="296"/>
      <c r="AM60" s="296"/>
      <c r="AN60" s="296"/>
      <c r="AO60" s="296"/>
      <c r="AP60" s="296"/>
      <c r="AQ60" s="296"/>
    </row>
    <row r="61" spans="1:43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511"/>
      <c r="AE61" s="296"/>
      <c r="AF61" s="296"/>
      <c r="AG61" s="296"/>
      <c r="AH61" s="296"/>
      <c r="AI61" s="296"/>
      <c r="AJ61" s="296"/>
      <c r="AK61" s="296"/>
      <c r="AL61" s="296"/>
      <c r="AM61" s="296"/>
      <c r="AN61" s="296"/>
      <c r="AO61" s="296"/>
      <c r="AP61" s="296"/>
      <c r="AQ61" s="296"/>
    </row>
    <row r="62" spans="1:43" ht="15.75" thickBot="1" x14ac:dyDescent="0.3">
      <c r="A62" s="33"/>
      <c r="B62" s="33"/>
      <c r="C62" s="33"/>
      <c r="D62" s="33"/>
      <c r="E62" s="33"/>
      <c r="F62" s="33"/>
      <c r="G62" s="33"/>
      <c r="H62" s="33"/>
      <c r="I62" s="33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33"/>
      <c r="AB62" s="511"/>
      <c r="AD62" s="21"/>
      <c r="AE62" s="296"/>
      <c r="AF62" s="296"/>
      <c r="AG62" s="296"/>
      <c r="AH62" s="296"/>
      <c r="AI62" s="296"/>
      <c r="AJ62" s="296"/>
      <c r="AK62" s="296"/>
      <c r="AL62" s="296"/>
      <c r="AM62" s="296"/>
      <c r="AN62" s="296"/>
      <c r="AO62" s="296"/>
      <c r="AP62" s="296"/>
      <c r="AQ62" s="296"/>
    </row>
    <row r="63" spans="1:43" ht="15.75" thickBot="1" x14ac:dyDescent="0.3">
      <c r="A63" s="33"/>
      <c r="B63" s="33"/>
      <c r="C63" s="33"/>
      <c r="D63" s="33"/>
      <c r="E63" s="33"/>
      <c r="F63" s="33"/>
      <c r="G63" s="33"/>
      <c r="H63" s="33"/>
      <c r="I63" s="33"/>
      <c r="J63" s="19"/>
      <c r="K63" s="780" t="s">
        <v>691</v>
      </c>
      <c r="L63" s="781"/>
      <c r="M63" s="781"/>
      <c r="N63" s="781"/>
      <c r="O63" s="781"/>
      <c r="P63" s="781"/>
      <c r="Q63" s="781"/>
      <c r="R63" s="782"/>
      <c r="S63" s="19"/>
      <c r="T63" s="19"/>
      <c r="U63" s="19"/>
      <c r="V63" s="19"/>
      <c r="W63" s="19"/>
      <c r="X63" s="19"/>
      <c r="Y63" s="19"/>
      <c r="Z63" s="19"/>
      <c r="AA63" s="33"/>
      <c r="AB63" s="511"/>
      <c r="AE63" s="296"/>
      <c r="AF63" s="296"/>
      <c r="AG63" s="296"/>
      <c r="AH63" s="296"/>
      <c r="AI63" s="296"/>
      <c r="AJ63" s="296"/>
      <c r="AK63" s="296"/>
      <c r="AL63" s="296"/>
      <c r="AM63" s="296"/>
      <c r="AN63" s="296"/>
      <c r="AO63" s="296"/>
      <c r="AP63" s="296"/>
      <c r="AQ63" s="296"/>
    </row>
    <row r="64" spans="1:43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19"/>
      <c r="K64" s="304" t="s">
        <v>465</v>
      </c>
      <c r="L64" s="295">
        <v>0.2</v>
      </c>
      <c r="M64" s="295" t="s">
        <v>60</v>
      </c>
      <c r="N64" s="297"/>
      <c r="O64" s="297"/>
      <c r="P64" s="297"/>
      <c r="Q64" s="297"/>
      <c r="R64" s="301"/>
      <c r="S64" s="19"/>
      <c r="T64" s="19"/>
      <c r="U64" s="19"/>
      <c r="V64" s="19"/>
      <c r="W64" s="19"/>
      <c r="X64" s="19"/>
      <c r="Y64" s="19"/>
      <c r="Z64" s="19"/>
      <c r="AA64" s="33"/>
      <c r="AB64" s="511"/>
      <c r="AE64" s="296"/>
      <c r="AF64" s="296"/>
      <c r="AG64" s="296"/>
      <c r="AH64" s="296"/>
      <c r="AI64" s="296"/>
      <c r="AJ64" s="296"/>
      <c r="AK64" s="296"/>
      <c r="AL64" s="296"/>
      <c r="AM64" s="296"/>
      <c r="AN64" s="296"/>
      <c r="AO64" s="296"/>
      <c r="AP64" s="296"/>
      <c r="AQ64" s="296"/>
    </row>
    <row r="65" spans="1:43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19"/>
      <c r="K65" s="303" t="s">
        <v>464</v>
      </c>
      <c r="L65" s="292">
        <v>0.7</v>
      </c>
      <c r="M65" s="292" t="s">
        <v>60</v>
      </c>
      <c r="N65" s="297"/>
      <c r="O65" s="297"/>
      <c r="P65" s="297"/>
      <c r="Q65" s="297"/>
      <c r="R65" s="301"/>
      <c r="S65" s="19"/>
      <c r="T65" s="19"/>
      <c r="U65" s="19"/>
      <c r="V65" s="19"/>
      <c r="W65" s="19"/>
      <c r="X65" s="19"/>
      <c r="Y65" s="19"/>
      <c r="Z65" s="19"/>
      <c r="AA65" s="33"/>
      <c r="AB65" s="511"/>
      <c r="AE65" s="296"/>
      <c r="AF65" s="296"/>
      <c r="AG65" s="296"/>
      <c r="AH65" s="296"/>
      <c r="AI65" s="296"/>
      <c r="AJ65" s="296"/>
      <c r="AK65" s="296"/>
      <c r="AL65" s="296"/>
      <c r="AM65" s="296"/>
      <c r="AN65" s="296"/>
      <c r="AO65" s="296"/>
      <c r="AP65" s="296"/>
      <c r="AQ65" s="296"/>
    </row>
    <row r="66" spans="1:43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19"/>
      <c r="K66" s="291" t="s">
        <v>462</v>
      </c>
      <c r="L66" s="292">
        <f>((L65/2)^2+L64^2)/(2*L64)</f>
        <v>0.40624999999999994</v>
      </c>
      <c r="M66" s="292" t="s">
        <v>60</v>
      </c>
      <c r="N66" s="297"/>
      <c r="O66" s="297"/>
      <c r="P66" s="297"/>
      <c r="Q66" s="297"/>
      <c r="R66" s="301"/>
      <c r="S66" s="19"/>
      <c r="T66" s="19"/>
      <c r="U66" s="19"/>
      <c r="V66" s="19"/>
      <c r="W66" s="19"/>
      <c r="X66" s="19"/>
      <c r="Y66" s="19"/>
      <c r="Z66" s="19"/>
      <c r="AA66" s="33"/>
      <c r="AB66" s="511"/>
      <c r="AE66" s="296"/>
      <c r="AF66" s="296"/>
      <c r="AG66" s="296"/>
      <c r="AH66" s="296"/>
      <c r="AI66" s="296"/>
      <c r="AJ66" s="296"/>
      <c r="AK66" s="296"/>
      <c r="AL66" s="296"/>
      <c r="AM66" s="296"/>
      <c r="AN66" s="296"/>
      <c r="AO66" s="296"/>
      <c r="AP66" s="296"/>
      <c r="AQ66" s="296"/>
    </row>
    <row r="67" spans="1:43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19"/>
      <c r="K67" s="302"/>
      <c r="L67" s="289"/>
      <c r="M67" s="289"/>
      <c r="N67" s="297"/>
      <c r="O67" s="292" t="s">
        <v>463</v>
      </c>
      <c r="P67" s="292">
        <f>PI()*(L65/2)^2</f>
        <v>0.38484510006474959</v>
      </c>
      <c r="Q67" s="297"/>
      <c r="R67" s="301"/>
      <c r="S67" s="19"/>
      <c r="T67" s="19"/>
      <c r="U67" s="19"/>
      <c r="V67" s="19"/>
      <c r="W67" s="19"/>
      <c r="X67" s="19"/>
      <c r="Y67" s="19"/>
      <c r="Z67" s="19"/>
      <c r="AA67" s="33"/>
      <c r="AB67" s="511"/>
      <c r="AE67" s="296"/>
      <c r="AF67" s="296"/>
      <c r="AG67" s="296"/>
      <c r="AH67" s="296"/>
      <c r="AI67" s="296"/>
      <c r="AJ67" s="296"/>
      <c r="AK67" s="296"/>
      <c r="AL67" s="296"/>
      <c r="AM67" s="296"/>
      <c r="AN67" s="296"/>
      <c r="AO67" s="296"/>
      <c r="AP67" s="296"/>
      <c r="AQ67" s="296"/>
    </row>
    <row r="68" spans="1:43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19"/>
      <c r="K68" s="291" t="s">
        <v>461</v>
      </c>
      <c r="L68" s="292">
        <v>0.2</v>
      </c>
      <c r="M68" s="292" t="s">
        <v>60</v>
      </c>
      <c r="N68" s="297"/>
      <c r="O68" s="292" t="s">
        <v>460</v>
      </c>
      <c r="P68" s="292">
        <f>L65+2*(L68/TAN(L69))</f>
        <v>0.86161049033406267</v>
      </c>
      <c r="Q68" s="297"/>
      <c r="R68" s="301"/>
      <c r="S68" s="19"/>
      <c r="T68" s="19"/>
      <c r="U68" s="19"/>
      <c r="V68" s="19"/>
      <c r="W68" s="19"/>
      <c r="X68" s="19"/>
      <c r="Y68" s="19"/>
      <c r="Z68" s="19"/>
      <c r="AA68" s="33"/>
      <c r="AB68" s="511"/>
      <c r="AE68" s="296"/>
      <c r="AF68" s="296"/>
      <c r="AG68" s="296"/>
      <c r="AH68" s="296"/>
      <c r="AI68" s="296"/>
      <c r="AJ68" s="296"/>
      <c r="AK68" s="296"/>
      <c r="AL68" s="296"/>
      <c r="AM68" s="296"/>
      <c r="AN68" s="296"/>
      <c r="AO68" s="296"/>
      <c r="AP68" s="296"/>
      <c r="AQ68" s="296"/>
    </row>
    <row r="69" spans="1:43" ht="15.75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19"/>
      <c r="K69" s="291" t="s">
        <v>453</v>
      </c>
      <c r="L69" s="292">
        <f>68*PI()/180</f>
        <v>1.1868238913561442</v>
      </c>
      <c r="M69" s="292" t="s">
        <v>452</v>
      </c>
      <c r="N69" s="297"/>
      <c r="O69" s="292" t="s">
        <v>459</v>
      </c>
      <c r="P69" s="292">
        <f>P68^2</f>
        <v>0.74237263705370393</v>
      </c>
      <c r="Q69" s="297"/>
      <c r="R69" s="301"/>
      <c r="S69" s="19"/>
      <c r="T69" s="19"/>
      <c r="U69" s="19"/>
      <c r="V69" s="19"/>
      <c r="W69" s="19"/>
      <c r="X69" s="19"/>
      <c r="Y69" s="19"/>
      <c r="Z69" s="19"/>
      <c r="AA69" s="33"/>
      <c r="AB69" s="511"/>
      <c r="AE69" s="296"/>
      <c r="AF69" s="296"/>
      <c r="AG69" s="296"/>
      <c r="AH69" s="296"/>
      <c r="AI69" s="296"/>
      <c r="AJ69" s="296"/>
      <c r="AK69" s="296"/>
      <c r="AL69" s="296"/>
      <c r="AM69" s="296"/>
      <c r="AN69" s="296"/>
      <c r="AO69" s="296"/>
      <c r="AP69" s="296"/>
      <c r="AQ69" s="296"/>
    </row>
    <row r="70" spans="1:43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19"/>
      <c r="K70" s="302"/>
      <c r="L70" s="289"/>
      <c r="M70" s="289"/>
      <c r="N70" s="297"/>
      <c r="O70" s="292" t="s">
        <v>458</v>
      </c>
      <c r="P70" s="292">
        <f>(L68*(P67+P69+SQRT(P67*P69)))/3</f>
        <v>0.11078169521127156</v>
      </c>
      <c r="Q70" s="297"/>
      <c r="R70" s="301"/>
      <c r="S70" s="19"/>
      <c r="T70" s="19"/>
      <c r="U70" s="19"/>
      <c r="V70" s="19"/>
      <c r="W70" s="19"/>
      <c r="X70" s="19"/>
      <c r="Y70" s="19"/>
      <c r="Z70" s="19"/>
      <c r="AA70" s="33"/>
      <c r="AB70" s="511"/>
      <c r="AE70" s="296"/>
      <c r="AF70" s="296"/>
      <c r="AG70" s="296"/>
      <c r="AH70" s="296"/>
      <c r="AI70" s="296"/>
      <c r="AJ70" s="296"/>
      <c r="AK70" s="296"/>
      <c r="AL70" s="296"/>
      <c r="AM70" s="296"/>
      <c r="AN70" s="296"/>
      <c r="AO70" s="296"/>
      <c r="AP70" s="296"/>
      <c r="AQ70" s="296"/>
    </row>
    <row r="71" spans="1:43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19"/>
      <c r="K71" s="294" t="s">
        <v>457</v>
      </c>
      <c r="L71" s="293">
        <f>(PI()*L64^2*(3*L66-L64))/3</f>
        <v>4.2673300211261346E-2</v>
      </c>
      <c r="M71" s="293" t="s">
        <v>449</v>
      </c>
      <c r="N71" s="297"/>
      <c r="O71" s="297"/>
      <c r="P71" s="297"/>
      <c r="Q71" s="297"/>
      <c r="R71" s="301"/>
      <c r="S71" s="19"/>
      <c r="T71" s="19"/>
      <c r="U71" s="19"/>
      <c r="V71" s="19"/>
      <c r="W71" s="19"/>
      <c r="X71" s="19"/>
      <c r="Y71" s="19"/>
      <c r="Z71" s="19"/>
      <c r="AA71" s="33"/>
      <c r="AB71" s="511"/>
      <c r="AE71" s="296"/>
      <c r="AF71" s="296"/>
      <c r="AG71" s="296"/>
      <c r="AH71" s="296"/>
      <c r="AI71" s="296"/>
      <c r="AJ71" s="296"/>
      <c r="AK71" s="296"/>
      <c r="AL71" s="296"/>
      <c r="AM71" s="296"/>
      <c r="AN71" s="296"/>
      <c r="AO71" s="296"/>
      <c r="AP71" s="296"/>
      <c r="AQ71" s="296"/>
    </row>
    <row r="72" spans="1:43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19"/>
      <c r="K72" s="302"/>
      <c r="L72" s="289"/>
      <c r="M72" s="289"/>
      <c r="N72" s="297"/>
      <c r="O72" s="297"/>
      <c r="P72" s="297"/>
      <c r="Q72" s="297"/>
      <c r="R72" s="301"/>
      <c r="S72" s="19"/>
      <c r="T72" s="19"/>
      <c r="U72" s="19"/>
      <c r="V72" s="19"/>
      <c r="W72" s="19"/>
      <c r="X72" s="19"/>
      <c r="Y72" s="19"/>
      <c r="Z72" s="19"/>
      <c r="AA72" s="33"/>
      <c r="AB72" s="511"/>
      <c r="AE72" s="296"/>
      <c r="AF72" s="296"/>
      <c r="AG72" s="296"/>
      <c r="AH72" s="296"/>
      <c r="AI72" s="296"/>
      <c r="AJ72" s="296"/>
      <c r="AK72" s="296"/>
      <c r="AL72" s="296"/>
      <c r="AM72" s="296"/>
      <c r="AN72" s="296"/>
      <c r="AO72" s="296"/>
      <c r="AP72" s="296"/>
      <c r="AQ72" s="296"/>
    </row>
    <row r="73" spans="1:43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19"/>
      <c r="K73" s="291" t="s">
        <v>456</v>
      </c>
      <c r="L73" s="292">
        <f>P70</f>
        <v>0.11078169521127156</v>
      </c>
      <c r="M73" s="292" t="s">
        <v>449</v>
      </c>
      <c r="N73" s="297"/>
      <c r="O73" s="297"/>
      <c r="P73" s="297"/>
      <c r="Q73" s="297"/>
      <c r="R73" s="301"/>
      <c r="S73" s="19"/>
      <c r="T73" s="19"/>
      <c r="U73" s="19"/>
      <c r="V73" s="19"/>
      <c r="W73" s="19"/>
      <c r="X73" s="19"/>
      <c r="Y73" s="19"/>
      <c r="Z73" s="19"/>
      <c r="AA73" s="33"/>
      <c r="AB73" s="511"/>
      <c r="AE73" s="296"/>
      <c r="AF73" s="296"/>
      <c r="AG73" s="296"/>
      <c r="AH73" s="296"/>
      <c r="AI73" s="296"/>
      <c r="AJ73" s="296"/>
      <c r="AK73" s="296"/>
      <c r="AL73" s="296"/>
      <c r="AM73" s="296"/>
      <c r="AN73" s="296"/>
      <c r="AO73" s="296"/>
      <c r="AP73" s="296"/>
      <c r="AQ73" s="296"/>
    </row>
    <row r="74" spans="1:43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19"/>
      <c r="K74" s="302"/>
      <c r="L74" s="289"/>
      <c r="M74" s="289"/>
      <c r="N74" s="297"/>
      <c r="O74" s="297"/>
      <c r="P74" s="297"/>
      <c r="Q74" s="297"/>
      <c r="R74" s="301"/>
      <c r="S74" s="19"/>
      <c r="T74" s="19"/>
      <c r="U74" s="19"/>
      <c r="V74" s="19"/>
      <c r="W74" s="19"/>
      <c r="X74" s="19"/>
      <c r="Y74" s="19"/>
      <c r="Z74" s="19"/>
      <c r="AA74" s="33"/>
      <c r="AB74" s="511"/>
      <c r="AE74" s="296"/>
      <c r="AF74" s="296"/>
      <c r="AG74" s="296"/>
      <c r="AH74" s="296"/>
      <c r="AI74" s="296"/>
      <c r="AJ74" s="296"/>
      <c r="AK74" s="296"/>
      <c r="AL74" s="296"/>
      <c r="AM74" s="296"/>
      <c r="AN74" s="296"/>
      <c r="AO74" s="296"/>
      <c r="AP74" s="296"/>
      <c r="AQ74" s="296"/>
    </row>
    <row r="75" spans="1:43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19"/>
      <c r="K75" s="291" t="s">
        <v>455</v>
      </c>
      <c r="L75" s="292">
        <f>L73+L71</f>
        <v>0.15345499542253291</v>
      </c>
      <c r="M75" s="292" t="s">
        <v>449</v>
      </c>
      <c r="N75" s="297"/>
      <c r="O75" s="289"/>
      <c r="P75" s="289"/>
      <c r="Q75" s="289"/>
      <c r="R75" s="301"/>
      <c r="S75" s="19"/>
      <c r="T75" s="19"/>
      <c r="U75" s="19"/>
      <c r="V75" s="19"/>
      <c r="W75" s="19"/>
      <c r="X75" s="19"/>
      <c r="Y75" s="19"/>
      <c r="Z75" s="19"/>
      <c r="AA75" s="33"/>
      <c r="AB75" s="511"/>
      <c r="AE75" s="296"/>
      <c r="AF75" s="296"/>
      <c r="AG75" s="296"/>
      <c r="AH75" s="296"/>
      <c r="AI75" s="296"/>
      <c r="AJ75" s="296"/>
      <c r="AK75" s="296"/>
      <c r="AL75" s="296"/>
      <c r="AM75" s="296"/>
      <c r="AN75" s="296"/>
      <c r="AO75" s="296"/>
      <c r="AP75" s="296"/>
      <c r="AQ75" s="296"/>
    </row>
    <row r="76" spans="1:43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19"/>
      <c r="K76" s="302"/>
      <c r="L76" s="289"/>
      <c r="M76" s="289"/>
      <c r="N76" s="297"/>
      <c r="O76" s="289"/>
      <c r="P76" s="289"/>
      <c r="Q76" s="289"/>
      <c r="R76" s="301"/>
      <c r="S76" s="19"/>
      <c r="T76" s="19"/>
      <c r="U76" s="19"/>
      <c r="V76" s="19"/>
      <c r="W76" s="19"/>
      <c r="X76" s="19"/>
      <c r="Y76" s="19"/>
      <c r="Z76" s="19"/>
      <c r="AA76" s="33"/>
      <c r="AB76" s="511"/>
      <c r="AE76" s="296"/>
      <c r="AF76" s="296"/>
      <c r="AG76" s="296"/>
      <c r="AH76" s="296"/>
      <c r="AI76" s="296"/>
      <c r="AJ76" s="296"/>
      <c r="AK76" s="296"/>
      <c r="AL76" s="296"/>
      <c r="AM76" s="296"/>
      <c r="AN76" s="296"/>
      <c r="AO76" s="296"/>
      <c r="AP76" s="296"/>
      <c r="AQ76" s="296"/>
    </row>
    <row r="77" spans="1:43" ht="15.75" thickBot="1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00" t="s">
        <v>454</v>
      </c>
      <c r="L77" s="290">
        <f>2*PI()*L66*L64</f>
        <v>0.51050880620834138</v>
      </c>
      <c r="M77" s="290" t="s">
        <v>448</v>
      </c>
      <c r="N77" s="299"/>
      <c r="O77" s="299"/>
      <c r="P77" s="299"/>
      <c r="Q77" s="299"/>
      <c r="R77" s="298"/>
      <c r="S77" s="33"/>
      <c r="T77" s="33"/>
      <c r="U77" s="33"/>
      <c r="V77" s="33"/>
      <c r="W77" s="33"/>
      <c r="X77" s="33"/>
      <c r="Y77" s="33"/>
      <c r="Z77" s="33"/>
      <c r="AA77" s="33"/>
      <c r="AB77" s="511"/>
      <c r="AE77" s="296"/>
      <c r="AF77" s="296"/>
      <c r="AG77" s="296"/>
      <c r="AH77" s="296"/>
      <c r="AI77" s="296"/>
      <c r="AJ77" s="296"/>
      <c r="AK77" s="296"/>
      <c r="AL77" s="296"/>
      <c r="AM77" s="296"/>
      <c r="AN77" s="296"/>
      <c r="AO77" s="296"/>
      <c r="AP77" s="296"/>
      <c r="AQ77" s="296"/>
    </row>
    <row r="78" spans="1:43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511"/>
      <c r="AC78" s="305"/>
      <c r="AD78" s="21"/>
      <c r="AE78" s="296"/>
      <c r="AF78" s="296"/>
      <c r="AG78" s="296"/>
      <c r="AH78" s="296"/>
      <c r="AI78" s="296"/>
      <c r="AJ78" s="296"/>
      <c r="AK78" s="296"/>
      <c r="AL78" s="296"/>
      <c r="AM78" s="296"/>
      <c r="AN78" s="296"/>
      <c r="AO78" s="296"/>
      <c r="AP78" s="296"/>
      <c r="AQ78" s="296"/>
    </row>
    <row r="79" spans="1:43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511"/>
      <c r="AE79" s="296"/>
      <c r="AF79" s="296"/>
      <c r="AG79" s="296"/>
      <c r="AH79" s="296"/>
      <c r="AI79" s="296"/>
      <c r="AJ79" s="296"/>
      <c r="AK79" s="296"/>
      <c r="AL79" s="296"/>
      <c r="AM79" s="296"/>
      <c r="AN79" s="296"/>
      <c r="AO79" s="296"/>
      <c r="AP79" s="296"/>
      <c r="AQ79" s="296"/>
    </row>
    <row r="80" spans="1:43" ht="15.75" thickBot="1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511"/>
      <c r="AE80" s="296"/>
      <c r="AF80" s="296"/>
      <c r="AG80" s="296"/>
      <c r="AH80" s="296"/>
      <c r="AI80" s="296"/>
      <c r="AJ80" s="296"/>
      <c r="AK80" s="296"/>
      <c r="AL80" s="296"/>
      <c r="AM80" s="296"/>
      <c r="AN80" s="296"/>
      <c r="AO80" s="296"/>
      <c r="AP80" s="296"/>
      <c r="AQ80" s="296"/>
    </row>
    <row r="81" spans="1:43" x14ac:dyDescent="0.25">
      <c r="A81" s="33"/>
      <c r="B81" s="33"/>
      <c r="C81" s="33"/>
      <c r="D81" s="33"/>
      <c r="E81" s="33"/>
      <c r="F81" s="33"/>
      <c r="G81" s="370" t="s">
        <v>78</v>
      </c>
      <c r="H81" s="492" t="s">
        <v>79</v>
      </c>
      <c r="I81" s="589" t="s">
        <v>43</v>
      </c>
      <c r="J81" s="370">
        <f>+J62</f>
        <v>0</v>
      </c>
      <c r="K81" s="492">
        <f t="shared" ref="K81:N81" si="19">+K62</f>
        <v>0</v>
      </c>
      <c r="L81" s="492">
        <f t="shared" si="19"/>
        <v>0</v>
      </c>
      <c r="M81" s="492">
        <f t="shared" si="19"/>
        <v>0</v>
      </c>
      <c r="N81" s="493">
        <f t="shared" si="19"/>
        <v>0</v>
      </c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511"/>
      <c r="AE81" s="296"/>
      <c r="AF81" s="296"/>
      <c r="AG81" s="296"/>
      <c r="AH81" s="296"/>
      <c r="AI81" s="296"/>
      <c r="AJ81" s="296"/>
      <c r="AK81" s="296"/>
      <c r="AL81" s="296"/>
      <c r="AM81" s="296"/>
      <c r="AN81" s="296"/>
      <c r="AO81" s="296"/>
      <c r="AP81" s="296"/>
      <c r="AQ81" s="296"/>
    </row>
    <row r="82" spans="1:43" x14ac:dyDescent="0.25">
      <c r="A82" s="33"/>
      <c r="B82" s="33"/>
      <c r="C82" s="33"/>
      <c r="D82" s="33"/>
      <c r="E82" s="33"/>
      <c r="F82" s="33"/>
      <c r="G82" s="580" t="s">
        <v>80</v>
      </c>
      <c r="H82" s="581" t="s">
        <v>81</v>
      </c>
      <c r="I82" s="372" t="s">
        <v>43</v>
      </c>
      <c r="J82" s="580">
        <f>+J64</f>
        <v>0</v>
      </c>
      <c r="K82" s="581" t="str">
        <f t="shared" ref="K82:N82" si="20">+K64</f>
        <v xml:space="preserve">H fn </v>
      </c>
      <c r="L82" s="581">
        <f t="shared" si="20"/>
        <v>0.2</v>
      </c>
      <c r="M82" s="581" t="str">
        <f t="shared" si="20"/>
        <v>m</v>
      </c>
      <c r="N82" s="586">
        <f t="shared" si="20"/>
        <v>0</v>
      </c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511"/>
      <c r="AE82" s="296"/>
      <c r="AF82" s="296"/>
      <c r="AG82" s="296"/>
      <c r="AH82" s="296"/>
      <c r="AI82" s="296"/>
      <c r="AJ82" s="296"/>
      <c r="AK82" s="296"/>
      <c r="AL82" s="296"/>
      <c r="AM82" s="296"/>
      <c r="AN82" s="296"/>
      <c r="AO82" s="296"/>
      <c r="AP82" s="296"/>
      <c r="AQ82" s="296"/>
    </row>
    <row r="83" spans="1:43" ht="15.75" thickBot="1" x14ac:dyDescent="0.3">
      <c r="A83" s="33"/>
      <c r="B83" s="33"/>
      <c r="C83" s="33"/>
      <c r="D83" s="33"/>
      <c r="E83" s="33"/>
      <c r="F83" s="33"/>
      <c r="G83" s="582" t="s">
        <v>82</v>
      </c>
      <c r="H83" s="583" t="s">
        <v>83</v>
      </c>
      <c r="I83" s="374" t="s">
        <v>43</v>
      </c>
      <c r="J83" s="587">
        <f>+J63</f>
        <v>0</v>
      </c>
      <c r="K83" s="588" t="str">
        <f t="shared" ref="K83:N83" si="21">+K63</f>
        <v>Pequeñas</v>
      </c>
      <c r="L83" s="588">
        <f t="shared" si="21"/>
        <v>0</v>
      </c>
      <c r="M83" s="588">
        <f t="shared" si="21"/>
        <v>0</v>
      </c>
      <c r="N83" s="378">
        <f t="shared" si="21"/>
        <v>0</v>
      </c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511"/>
      <c r="AE83" s="296"/>
      <c r="AF83" s="296"/>
      <c r="AG83" s="296"/>
      <c r="AH83" s="296"/>
      <c r="AI83" s="296"/>
      <c r="AJ83" s="296"/>
      <c r="AK83" s="296"/>
      <c r="AL83" s="296"/>
      <c r="AM83" s="296"/>
      <c r="AN83" s="296"/>
      <c r="AO83" s="296"/>
      <c r="AP83" s="296"/>
      <c r="AQ83" s="296"/>
    </row>
    <row r="84" spans="1:43" x14ac:dyDescent="0.25">
      <c r="A84" s="33"/>
      <c r="B84" s="33"/>
      <c r="C84" s="33"/>
      <c r="D84" s="33"/>
      <c r="E84" s="33"/>
      <c r="F84" s="33"/>
      <c r="G84" s="584" t="s">
        <v>84</v>
      </c>
      <c r="H84" s="585" t="s">
        <v>85</v>
      </c>
      <c r="I84" s="377" t="s">
        <v>60</v>
      </c>
      <c r="J84" s="453">
        <v>0.4</v>
      </c>
      <c r="K84" s="454">
        <v>0.5</v>
      </c>
      <c r="L84" s="455">
        <v>0.3</v>
      </c>
      <c r="M84" s="455">
        <v>0.3</v>
      </c>
      <c r="N84" s="606">
        <v>0.3</v>
      </c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511"/>
      <c r="AE84" s="296"/>
      <c r="AF84" s="296"/>
      <c r="AG84" s="296"/>
      <c r="AH84" s="296"/>
      <c r="AI84" s="296"/>
      <c r="AJ84" s="296"/>
      <c r="AK84" s="296"/>
      <c r="AL84" s="296"/>
      <c r="AM84" s="296"/>
      <c r="AN84" s="296"/>
      <c r="AO84" s="296"/>
      <c r="AP84" s="296"/>
      <c r="AQ84" s="296"/>
    </row>
    <row r="85" spans="1:43" x14ac:dyDescent="0.25">
      <c r="A85" s="33"/>
      <c r="B85" s="33"/>
      <c r="C85" s="33"/>
      <c r="D85" s="33"/>
      <c r="E85" s="33"/>
      <c r="F85" s="33"/>
      <c r="G85" s="580" t="s">
        <v>86</v>
      </c>
      <c r="H85" s="581" t="s">
        <v>87</v>
      </c>
      <c r="I85" s="372" t="s">
        <v>60</v>
      </c>
      <c r="J85" s="456">
        <v>1.2</v>
      </c>
      <c r="K85" s="457">
        <v>1.2</v>
      </c>
      <c r="L85" s="458">
        <v>0.8</v>
      </c>
      <c r="M85" s="458">
        <v>0.8</v>
      </c>
      <c r="N85" s="607">
        <v>0.8</v>
      </c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511"/>
      <c r="AE85" s="296"/>
      <c r="AF85" s="296"/>
      <c r="AG85" s="296"/>
      <c r="AH85" s="296"/>
      <c r="AI85" s="296"/>
      <c r="AJ85" s="296"/>
      <c r="AK85" s="296"/>
      <c r="AL85" s="296"/>
      <c r="AM85" s="296"/>
      <c r="AN85" s="296"/>
      <c r="AO85" s="296"/>
      <c r="AP85" s="296"/>
      <c r="AQ85" s="296"/>
    </row>
    <row r="86" spans="1:43" x14ac:dyDescent="0.25">
      <c r="A86" s="33"/>
      <c r="B86" s="33"/>
      <c r="C86" s="33"/>
      <c r="D86" s="33"/>
      <c r="E86" s="33"/>
      <c r="F86" s="33"/>
      <c r="G86" s="580" t="s">
        <v>88</v>
      </c>
      <c r="H86" s="581" t="s">
        <v>89</v>
      </c>
      <c r="I86" s="372" t="s">
        <v>60</v>
      </c>
      <c r="J86" s="456">
        <v>0.5</v>
      </c>
      <c r="K86" s="457">
        <v>0.5</v>
      </c>
      <c r="L86" s="458">
        <v>0.3</v>
      </c>
      <c r="M86" s="458">
        <v>0.3</v>
      </c>
      <c r="N86" s="607">
        <v>0.3</v>
      </c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511"/>
      <c r="AE86" s="296"/>
      <c r="AF86" s="296"/>
      <c r="AG86" s="296"/>
      <c r="AH86" s="296"/>
      <c r="AI86" s="296"/>
      <c r="AJ86" s="296"/>
      <c r="AK86" s="296"/>
      <c r="AL86" s="296"/>
      <c r="AM86" s="296"/>
      <c r="AN86" s="296"/>
      <c r="AO86" s="296"/>
      <c r="AP86" s="296"/>
      <c r="AQ86" s="296"/>
    </row>
    <row r="87" spans="1:43" x14ac:dyDescent="0.25">
      <c r="A87" s="33"/>
      <c r="B87" s="33"/>
      <c r="C87" s="33"/>
      <c r="D87" s="33"/>
      <c r="E87" s="33"/>
      <c r="F87" s="33"/>
      <c r="G87" s="580" t="s">
        <v>90</v>
      </c>
      <c r="H87" s="581" t="s">
        <v>91</v>
      </c>
      <c r="I87" s="372" t="s">
        <v>119</v>
      </c>
      <c r="J87" s="456">
        <v>68</v>
      </c>
      <c r="K87" s="457">
        <v>68</v>
      </c>
      <c r="L87" s="457">
        <v>68</v>
      </c>
      <c r="M87" s="457">
        <v>68</v>
      </c>
      <c r="N87" s="608">
        <v>68</v>
      </c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511"/>
    </row>
    <row r="88" spans="1:43" x14ac:dyDescent="0.25">
      <c r="A88" s="33"/>
      <c r="B88" s="33"/>
      <c r="C88" s="33"/>
      <c r="D88" s="33"/>
      <c r="E88" s="33"/>
      <c r="F88" s="33"/>
      <c r="G88" s="580" t="s">
        <v>92</v>
      </c>
      <c r="H88" s="581" t="s">
        <v>93</v>
      </c>
      <c r="I88" s="372" t="s">
        <v>60</v>
      </c>
      <c r="J88" s="456">
        <v>1.5</v>
      </c>
      <c r="K88" s="457">
        <v>1.2</v>
      </c>
      <c r="L88" s="458">
        <v>0.8</v>
      </c>
      <c r="M88" s="458">
        <v>0.8</v>
      </c>
      <c r="N88" s="607">
        <v>0.8</v>
      </c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511"/>
    </row>
    <row r="89" spans="1:43" x14ac:dyDescent="0.25">
      <c r="A89" s="33"/>
      <c r="B89" s="33"/>
      <c r="C89" s="33"/>
      <c r="D89" s="33"/>
      <c r="E89" s="33"/>
      <c r="F89" s="33"/>
      <c r="G89" s="580" t="s">
        <v>94</v>
      </c>
      <c r="H89" s="581" t="s">
        <v>95</v>
      </c>
      <c r="I89" s="372" t="s">
        <v>120</v>
      </c>
      <c r="J89" s="456" t="s">
        <v>96</v>
      </c>
      <c r="K89" s="457" t="s">
        <v>96</v>
      </c>
      <c r="L89" s="457" t="s">
        <v>96</v>
      </c>
      <c r="M89" s="457" t="s">
        <v>96</v>
      </c>
      <c r="N89" s="608" t="s">
        <v>96</v>
      </c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511"/>
    </row>
    <row r="90" spans="1:43" x14ac:dyDescent="0.25">
      <c r="A90" s="33"/>
      <c r="B90" s="33"/>
      <c r="C90" s="33"/>
      <c r="D90" s="33"/>
      <c r="E90" s="33"/>
      <c r="F90" s="33"/>
      <c r="G90" s="580" t="s">
        <v>97</v>
      </c>
      <c r="H90" s="581" t="s">
        <v>98</v>
      </c>
      <c r="I90" s="372" t="s">
        <v>120</v>
      </c>
      <c r="J90" s="456" t="s">
        <v>521</v>
      </c>
      <c r="K90" s="457" t="s">
        <v>521</v>
      </c>
      <c r="L90" s="457" t="s">
        <v>521</v>
      </c>
      <c r="M90" s="457" t="s">
        <v>521</v>
      </c>
      <c r="N90" s="608" t="s">
        <v>521</v>
      </c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511"/>
    </row>
    <row r="91" spans="1:43" x14ac:dyDescent="0.25">
      <c r="A91" s="33"/>
      <c r="B91" s="33"/>
      <c r="C91" s="33"/>
      <c r="D91" s="33"/>
      <c r="E91" s="33"/>
      <c r="F91" s="33"/>
      <c r="G91" s="580" t="s">
        <v>99</v>
      </c>
      <c r="H91" s="581" t="s">
        <v>100</v>
      </c>
      <c r="I91" s="372" t="s">
        <v>60</v>
      </c>
      <c r="J91" s="456">
        <v>0</v>
      </c>
      <c r="K91" s="457">
        <v>0</v>
      </c>
      <c r="L91" s="458">
        <v>0</v>
      </c>
      <c r="M91" s="458">
        <v>0</v>
      </c>
      <c r="N91" s="607">
        <v>0</v>
      </c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511"/>
    </row>
    <row r="92" spans="1:43" x14ac:dyDescent="0.25">
      <c r="A92" s="33"/>
      <c r="B92" s="33"/>
      <c r="C92" s="33"/>
      <c r="D92" s="33"/>
      <c r="E92" s="33"/>
      <c r="F92" s="33"/>
      <c r="G92" s="580" t="s">
        <v>101</v>
      </c>
      <c r="H92" s="581" t="s">
        <v>102</v>
      </c>
      <c r="I92" s="372" t="s">
        <v>60</v>
      </c>
      <c r="J92" s="456">
        <v>0.18</v>
      </c>
      <c r="K92" s="457">
        <v>0</v>
      </c>
      <c r="L92" s="458">
        <v>0</v>
      </c>
      <c r="M92" s="458">
        <v>0</v>
      </c>
      <c r="N92" s="607">
        <v>0</v>
      </c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511"/>
    </row>
    <row r="93" spans="1:43" x14ac:dyDescent="0.25">
      <c r="A93" s="33"/>
      <c r="B93" s="33"/>
      <c r="C93" s="33"/>
      <c r="D93" s="33"/>
      <c r="E93" s="33"/>
      <c r="F93" s="33"/>
      <c r="G93" s="580" t="s">
        <v>103</v>
      </c>
      <c r="H93" s="581" t="s">
        <v>104</v>
      </c>
      <c r="I93" s="372" t="s">
        <v>60</v>
      </c>
      <c r="J93" s="456">
        <v>0</v>
      </c>
      <c r="K93" s="457">
        <v>0</v>
      </c>
      <c r="L93" s="458">
        <v>0</v>
      </c>
      <c r="M93" s="458">
        <v>0</v>
      </c>
      <c r="N93" s="607">
        <v>0</v>
      </c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511"/>
    </row>
    <row r="94" spans="1:43" x14ac:dyDescent="0.25">
      <c r="A94" s="33"/>
      <c r="B94" s="33"/>
      <c r="C94" s="33"/>
      <c r="D94" s="33"/>
      <c r="E94" s="33"/>
      <c r="F94" s="33"/>
      <c r="G94" s="580" t="s">
        <v>105</v>
      </c>
      <c r="H94" s="581" t="s">
        <v>106</v>
      </c>
      <c r="I94" s="372" t="s">
        <v>60</v>
      </c>
      <c r="J94" s="456">
        <v>0</v>
      </c>
      <c r="K94" s="457">
        <v>0</v>
      </c>
      <c r="L94" s="458">
        <v>0</v>
      </c>
      <c r="M94" s="458">
        <v>0</v>
      </c>
      <c r="N94" s="607">
        <v>0</v>
      </c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511"/>
    </row>
    <row r="95" spans="1:43" ht="15.75" thickBot="1" x14ac:dyDescent="0.3">
      <c r="A95" s="33"/>
      <c r="B95" s="33"/>
      <c r="C95" s="33"/>
      <c r="D95" s="33"/>
      <c r="E95" s="33"/>
      <c r="F95" s="33"/>
      <c r="G95" s="582" t="s">
        <v>289</v>
      </c>
      <c r="H95" s="583" t="s">
        <v>290</v>
      </c>
      <c r="I95" s="374" t="s">
        <v>60</v>
      </c>
      <c r="J95" s="459">
        <f>+(3/4*25.4)/1000</f>
        <v>1.9049999999999997E-2</v>
      </c>
      <c r="K95" s="460">
        <f>+(5/8*25.4)/1000</f>
        <v>1.5875E-2</v>
      </c>
      <c r="L95" s="461">
        <f>+(1/2*25.4)/1000</f>
        <v>1.2699999999999999E-2</v>
      </c>
      <c r="M95" s="461">
        <f>+(1/2*25.4)/1000</f>
        <v>1.2699999999999999E-2</v>
      </c>
      <c r="N95" s="609">
        <f>+(1/2*25.4)/1000</f>
        <v>1.2699999999999999E-2</v>
      </c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511"/>
    </row>
    <row r="96" spans="1:43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511"/>
    </row>
    <row r="97" spans="1:28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511"/>
    </row>
    <row r="98" spans="1:28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511"/>
    </row>
    <row r="99" spans="1:28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511"/>
    </row>
    <row r="100" spans="1:28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511"/>
    </row>
    <row r="101" spans="1:28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511"/>
    </row>
    <row r="102" spans="1:28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511"/>
    </row>
    <row r="103" spans="1:28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511"/>
    </row>
    <row r="104" spans="1:28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511"/>
    </row>
    <row r="105" spans="1:28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511"/>
    </row>
    <row r="106" spans="1:28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511"/>
    </row>
    <row r="107" spans="1:28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511"/>
    </row>
    <row r="108" spans="1:28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511"/>
    </row>
    <row r="109" spans="1:28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511"/>
    </row>
    <row r="110" spans="1:28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511"/>
    </row>
    <row r="111" spans="1:28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511"/>
    </row>
    <row r="112" spans="1:28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511"/>
    </row>
    <row r="113" spans="1:28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511"/>
    </row>
    <row r="114" spans="1:28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511"/>
    </row>
    <row r="115" spans="1:28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511"/>
    </row>
    <row r="116" spans="1:28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511"/>
    </row>
    <row r="117" spans="1:28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511"/>
    </row>
    <row r="118" spans="1:28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511"/>
    </row>
    <row r="119" spans="1:28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511"/>
    </row>
    <row r="120" spans="1:28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511"/>
    </row>
    <row r="121" spans="1:28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511"/>
    </row>
    <row r="122" spans="1:28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511"/>
    </row>
    <row r="123" spans="1:28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511"/>
    </row>
    <row r="124" spans="1:28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511"/>
    </row>
    <row r="125" spans="1:28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511"/>
    </row>
    <row r="126" spans="1:28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511"/>
    </row>
    <row r="127" spans="1:28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511"/>
    </row>
    <row r="128" spans="1:28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511"/>
    </row>
    <row r="129" spans="1:28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511"/>
    </row>
    <row r="130" spans="1:28" ht="15.75" thickBot="1" x14ac:dyDescent="0.3">
      <c r="A130" s="269"/>
      <c r="B130" s="269"/>
      <c r="C130" s="269"/>
      <c r="D130" s="269"/>
      <c r="E130" s="269"/>
      <c r="F130" s="269"/>
      <c r="G130" s="269"/>
      <c r="H130" s="269"/>
      <c r="I130" s="269"/>
      <c r="J130" s="269"/>
      <c r="K130" s="269"/>
      <c r="L130" s="269"/>
      <c r="M130" s="269"/>
      <c r="N130" s="269"/>
      <c r="O130" s="269"/>
      <c r="P130" s="269"/>
      <c r="Q130" s="269"/>
      <c r="R130" s="269"/>
      <c r="S130" s="269"/>
      <c r="T130" s="269"/>
      <c r="U130" s="269"/>
      <c r="V130" s="269"/>
      <c r="W130" s="269"/>
      <c r="X130" s="269"/>
      <c r="Y130" s="269"/>
      <c r="Z130" s="269"/>
      <c r="AA130" s="269"/>
      <c r="AB130" s="510"/>
    </row>
  </sheetData>
  <mergeCells count="96">
    <mergeCell ref="K63:R63"/>
    <mergeCell ref="AE5:AJ5"/>
    <mergeCell ref="O24:T24"/>
    <mergeCell ref="K2:L2"/>
    <mergeCell ref="A39:AB39"/>
    <mergeCell ref="T41:AA41"/>
    <mergeCell ref="K41:R41"/>
    <mergeCell ref="B41:H41"/>
    <mergeCell ref="H10:J10"/>
    <mergeCell ref="H11:J11"/>
    <mergeCell ref="H17:L17"/>
    <mergeCell ref="H20:I20"/>
    <mergeCell ref="H21:I21"/>
    <mergeCell ref="V19:W19"/>
    <mergeCell ref="B18:E18"/>
    <mergeCell ref="H22:I22"/>
    <mergeCell ref="B2:E6"/>
    <mergeCell ref="O2:S2"/>
    <mergeCell ref="H18:I18"/>
    <mergeCell ref="O3:S3"/>
    <mergeCell ref="H19:I19"/>
    <mergeCell ref="O4:P4"/>
    <mergeCell ref="O5:P5"/>
    <mergeCell ref="O6:P6"/>
    <mergeCell ref="O7:S7"/>
    <mergeCell ref="O12:P12"/>
    <mergeCell ref="O13:P13"/>
    <mergeCell ref="O8:P8"/>
    <mergeCell ref="O9:P9"/>
    <mergeCell ref="H13:J13"/>
    <mergeCell ref="H8:J8"/>
    <mergeCell ref="H9:J9"/>
    <mergeCell ref="O21:P21"/>
    <mergeCell ref="H29:I29"/>
    <mergeCell ref="O14:P14"/>
    <mergeCell ref="H30:I30"/>
    <mergeCell ref="H14:J14"/>
    <mergeCell ref="O18:P18"/>
    <mergeCell ref="O15:S15"/>
    <mergeCell ref="O16:P16"/>
    <mergeCell ref="O17:P17"/>
    <mergeCell ref="O11:S11"/>
    <mergeCell ref="H15:J15"/>
    <mergeCell ref="H27:I27"/>
    <mergeCell ref="V32:W32"/>
    <mergeCell ref="V33:W33"/>
    <mergeCell ref="H25:I25"/>
    <mergeCell ref="V28:W28"/>
    <mergeCell ref="O20:P20"/>
    <mergeCell ref="H12:J12"/>
    <mergeCell ref="V12:W12"/>
    <mergeCell ref="V13:W13"/>
    <mergeCell ref="V14:W14"/>
    <mergeCell ref="V18:W18"/>
    <mergeCell ref="V20:W20"/>
    <mergeCell ref="V15:W15"/>
    <mergeCell ref="V16:W16"/>
    <mergeCell ref="H37:I37"/>
    <mergeCell ref="O22:P22"/>
    <mergeCell ref="H33:I33"/>
    <mergeCell ref="H34:I34"/>
    <mergeCell ref="H35:I35"/>
    <mergeCell ref="H32:L32"/>
    <mergeCell ref="H26:I26"/>
    <mergeCell ref="H28:I28"/>
    <mergeCell ref="H23:I23"/>
    <mergeCell ref="H24:I24"/>
    <mergeCell ref="H36:I36"/>
    <mergeCell ref="K3:L3"/>
    <mergeCell ref="K4:L4"/>
    <mergeCell ref="K5:L5"/>
    <mergeCell ref="K6:L6"/>
    <mergeCell ref="O10:P10"/>
    <mergeCell ref="H2:J2"/>
    <mergeCell ref="H3:J3"/>
    <mergeCell ref="H4:J4"/>
    <mergeCell ref="H5:J5"/>
    <mergeCell ref="H6:J6"/>
    <mergeCell ref="V8:W8"/>
    <mergeCell ref="V9:W9"/>
    <mergeCell ref="V2:Y2"/>
    <mergeCell ref="V10:Y10"/>
    <mergeCell ref="V11:W11"/>
    <mergeCell ref="V3:Y3"/>
    <mergeCell ref="V4:W4"/>
    <mergeCell ref="V5:W5"/>
    <mergeCell ref="V6:W6"/>
    <mergeCell ref="V7:W7"/>
    <mergeCell ref="V17:W17"/>
    <mergeCell ref="V21:W21"/>
    <mergeCell ref="V27:W27"/>
    <mergeCell ref="V22:W22"/>
    <mergeCell ref="V23:W23"/>
    <mergeCell ref="V24:W24"/>
    <mergeCell ref="V26:W26"/>
    <mergeCell ref="V25:W25"/>
  </mergeCells>
  <conditionalFormatting sqref="O26:T26">
    <cfRule type="expression" priority="1">
      <formula>IF($P$26&gt;$K$15,"si","no")</formula>
    </cfRule>
    <cfRule type="cellIs" dxfId="0" priority="3" stopIfTrue="1" operator="greaterThan">
      <formula>$P$26&gt;$K$15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ECCEA-65E4-40F5-B818-0B670FC74DFC}">
  <sheetPr codeName="Hoja2">
    <tabColor theme="4" tint="0.59999389629810485"/>
  </sheetPr>
  <dimension ref="A1:EI295"/>
  <sheetViews>
    <sheetView tabSelected="1" topLeftCell="A7" zoomScaleNormal="100" workbookViewId="0">
      <selection activeCell="F37" sqref="F37"/>
    </sheetView>
  </sheetViews>
  <sheetFormatPr baseColWidth="10" defaultColWidth="8.7109375" defaultRowHeight="15" x14ac:dyDescent="0.25"/>
  <cols>
    <col min="2" max="2" width="36.7109375" bestFit="1" customWidth="1"/>
    <col min="3" max="3" width="9.7109375" bestFit="1" customWidth="1"/>
    <col min="4" max="4" width="10" style="29" customWidth="1"/>
    <col min="5" max="5" width="10" customWidth="1"/>
    <col min="6" max="6" width="10" style="122" customWidth="1"/>
    <col min="7" max="9" width="10" customWidth="1"/>
    <col min="10" max="10" width="10" style="122" customWidth="1"/>
    <col min="11" max="16" width="10" customWidth="1"/>
    <col min="17" max="17" width="10" style="363" customWidth="1"/>
    <col min="18" max="21" width="10" customWidth="1"/>
    <col min="22" max="22" width="9.140625" style="474" bestFit="1" customWidth="1"/>
    <col min="23" max="23" width="0" hidden="1" customWidth="1"/>
    <col min="24" max="24" width="23" hidden="1" customWidth="1"/>
    <col min="25" max="31" width="0" hidden="1" customWidth="1"/>
    <col min="32" max="32" width="16.140625" hidden="1" customWidth="1"/>
    <col min="33" max="41" width="0" hidden="1" customWidth="1"/>
  </cols>
  <sheetData>
    <row r="1" spans="1:139" ht="15.75" thickBot="1" x14ac:dyDescent="0.3">
      <c r="A1" s="19"/>
      <c r="B1" s="19"/>
      <c r="C1" s="19"/>
      <c r="D1" s="27"/>
      <c r="E1" s="19"/>
      <c r="F1" s="34"/>
      <c r="G1" s="19"/>
      <c r="H1" s="19"/>
      <c r="I1" s="19"/>
      <c r="J1" s="34"/>
      <c r="K1" s="19"/>
      <c r="L1" s="19"/>
      <c r="M1" s="19"/>
      <c r="N1" s="19"/>
      <c r="O1" s="19"/>
      <c r="P1" s="19"/>
      <c r="R1" s="19"/>
      <c r="S1" s="19"/>
      <c r="T1" s="19"/>
      <c r="U1" s="19"/>
      <c r="V1" s="473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</row>
    <row r="2" spans="1:139" ht="15.75" thickBot="1" x14ac:dyDescent="0.3">
      <c r="A2" s="19"/>
      <c r="B2" s="791" t="s">
        <v>0</v>
      </c>
      <c r="C2" s="792"/>
      <c r="D2" s="792"/>
      <c r="E2" s="793"/>
      <c r="F2" s="20">
        <v>40</v>
      </c>
      <c r="G2" s="19"/>
      <c r="H2" s="743" t="s">
        <v>1</v>
      </c>
      <c r="I2" s="744"/>
      <c r="J2" s="744"/>
      <c r="K2" s="744"/>
      <c r="L2" s="745"/>
      <c r="M2" s="19"/>
      <c r="N2" s="772" t="s">
        <v>422</v>
      </c>
      <c r="O2" s="773"/>
      <c r="P2" s="773"/>
      <c r="Q2" s="773"/>
      <c r="R2" s="774"/>
      <c r="S2" s="19"/>
      <c r="T2" s="19"/>
      <c r="U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A2" s="19"/>
      <c r="DB2" s="19"/>
      <c r="DC2" s="19"/>
      <c r="DD2" s="19"/>
      <c r="DE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  <c r="DS2" s="19"/>
      <c r="DT2" s="19"/>
      <c r="DU2" s="19"/>
      <c r="DV2" s="19"/>
      <c r="DW2" s="19"/>
      <c r="DX2" s="19"/>
      <c r="DY2" s="19"/>
      <c r="DZ2" s="19"/>
      <c r="EA2" s="19"/>
      <c r="EB2" s="19"/>
      <c r="EC2" s="19"/>
      <c r="ED2" s="19"/>
      <c r="EE2" s="19"/>
      <c r="EF2" s="19"/>
      <c r="EG2" s="19"/>
      <c r="EH2" s="19"/>
      <c r="EI2" s="19"/>
    </row>
    <row r="3" spans="1:139" ht="15.75" thickBot="1" x14ac:dyDescent="0.3">
      <c r="A3" s="19"/>
      <c r="B3" s="1" t="s">
        <v>2</v>
      </c>
      <c r="C3" s="2" t="s">
        <v>3</v>
      </c>
      <c r="D3" s="2">
        <f>+D_Inicial!D19</f>
        <v>57.018181818181816</v>
      </c>
      <c r="E3" s="3" t="s">
        <v>4</v>
      </c>
      <c r="F3" s="20" t="s">
        <v>436</v>
      </c>
      <c r="G3" s="19"/>
      <c r="H3" s="775" t="s">
        <v>397</v>
      </c>
      <c r="I3" s="776"/>
      <c r="J3" s="345" t="s">
        <v>429</v>
      </c>
      <c r="K3" s="263">
        <f>K4/D16</f>
        <v>554.96137849079037</v>
      </c>
      <c r="L3" s="251" t="s">
        <v>4</v>
      </c>
      <c r="M3" s="19"/>
      <c r="N3" s="751" t="s">
        <v>198</v>
      </c>
      <c r="O3" s="752"/>
      <c r="P3" s="752"/>
      <c r="Q3" s="752"/>
      <c r="R3" s="777"/>
      <c r="S3" s="19"/>
      <c r="T3" s="19"/>
      <c r="U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</row>
    <row r="4" spans="1:139" ht="15.75" thickBot="1" x14ac:dyDescent="0.3">
      <c r="A4" s="19"/>
      <c r="B4" s="4" t="s">
        <v>74</v>
      </c>
      <c r="C4" s="359" t="s">
        <v>75</v>
      </c>
      <c r="D4" s="243">
        <v>2.4862680289403767</v>
      </c>
      <c r="E4" s="6" t="s">
        <v>76</v>
      </c>
      <c r="F4" s="245">
        <f>K15/D3</f>
        <v>2.2410370398159265</v>
      </c>
      <c r="G4" s="19"/>
      <c r="H4" s="737" t="s">
        <v>396</v>
      </c>
      <c r="I4" s="738"/>
      <c r="J4" s="341" t="s">
        <v>430</v>
      </c>
      <c r="K4" s="264">
        <f>+K6/(1-D7)</f>
        <v>332.97682709447423</v>
      </c>
      <c r="L4" s="249" t="s">
        <v>4</v>
      </c>
      <c r="M4" s="19"/>
      <c r="N4" s="730" t="s">
        <v>415</v>
      </c>
      <c r="O4" s="731"/>
      <c r="P4" s="250" t="s">
        <v>50</v>
      </c>
      <c r="Q4" s="345">
        <f>997.39+4.46*D9</f>
        <v>1073.21</v>
      </c>
      <c r="R4" s="251" t="s">
        <v>51</v>
      </c>
      <c r="S4" s="19"/>
      <c r="T4" s="19"/>
      <c r="U4" s="19"/>
      <c r="W4" s="19"/>
      <c r="X4" s="19"/>
      <c r="Y4" s="19"/>
      <c r="Z4" s="296"/>
      <c r="AA4" s="296"/>
      <c r="AB4" s="296"/>
      <c r="AC4" s="296"/>
      <c r="AD4" s="296"/>
      <c r="AE4" s="21"/>
      <c r="AF4" s="400" t="s">
        <v>363</v>
      </c>
      <c r="AG4" s="431">
        <v>0.155</v>
      </c>
      <c r="AH4" s="431" t="s">
        <v>364</v>
      </c>
      <c r="AI4" s="431">
        <f>+Q22</f>
        <v>0.54263528032359476</v>
      </c>
      <c r="AJ4" s="432"/>
      <c r="AK4" s="781" t="s">
        <v>365</v>
      </c>
      <c r="AL4" s="782"/>
      <c r="AM4" s="401"/>
      <c r="AN4" s="401"/>
      <c r="AO4" s="401"/>
      <c r="AP4" s="401"/>
      <c r="AQ4" s="401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</row>
    <row r="5" spans="1:139" x14ac:dyDescent="0.25">
      <c r="A5" s="19"/>
      <c r="B5" s="7" t="s">
        <v>77</v>
      </c>
      <c r="C5" s="8" t="s">
        <v>42</v>
      </c>
      <c r="D5" s="486">
        <v>5</v>
      </c>
      <c r="E5" s="9" t="s">
        <v>43</v>
      </c>
      <c r="F5" s="20"/>
      <c r="G5" s="19"/>
      <c r="H5" s="741" t="s">
        <v>413</v>
      </c>
      <c r="I5" s="742"/>
      <c r="J5" s="350" t="s">
        <v>431</v>
      </c>
      <c r="K5" s="266">
        <f>+K4*D7</f>
        <v>6.6595365418894845</v>
      </c>
      <c r="L5" s="249" t="s">
        <v>4</v>
      </c>
      <c r="M5" s="19"/>
      <c r="N5" s="732" t="s">
        <v>416</v>
      </c>
      <c r="O5" s="733"/>
      <c r="P5" s="252" t="s">
        <v>54</v>
      </c>
      <c r="Q5" s="341">
        <f>997.39+4.46*D10</f>
        <v>1095.51</v>
      </c>
      <c r="R5" s="249" t="s">
        <v>51</v>
      </c>
      <c r="S5" s="19"/>
      <c r="T5" s="19"/>
      <c r="U5" s="19"/>
      <c r="W5" s="19"/>
      <c r="X5" s="19"/>
      <c r="Y5" s="19"/>
      <c r="Z5" s="296"/>
      <c r="AA5" s="296"/>
      <c r="AB5" s="296"/>
      <c r="AC5" s="296"/>
      <c r="AD5" s="296"/>
      <c r="AE5" s="21"/>
      <c r="AF5" s="402" t="s">
        <v>367</v>
      </c>
      <c r="AG5" s="430">
        <v>0.75</v>
      </c>
      <c r="AH5" s="430">
        <v>1</v>
      </c>
      <c r="AI5" s="430">
        <v>1.25</v>
      </c>
      <c r="AJ5" s="433">
        <v>1.5</v>
      </c>
      <c r="AK5" s="28">
        <f>IF($D$3&lt;40,AL5,IF($AK$11=$AG$11,AG5,IF($AK$11=$AH$11,AH5,IF($AK$11=$AI$11,AI5,AJ5))))</f>
        <v>0.75</v>
      </c>
      <c r="AL5" s="428">
        <v>0.5</v>
      </c>
      <c r="AM5" s="401"/>
      <c r="AN5" s="401"/>
      <c r="AO5" s="401"/>
      <c r="AP5" s="401"/>
      <c r="AQ5" s="401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</row>
    <row r="6" spans="1:139" ht="15.75" thickBot="1" x14ac:dyDescent="0.3">
      <c r="A6" s="19"/>
      <c r="B6" s="16" t="s">
        <v>326</v>
      </c>
      <c r="C6" s="17" t="s">
        <v>5</v>
      </c>
      <c r="D6" s="36">
        <f>+K21/Q21</f>
        <v>0.36483257043013434</v>
      </c>
      <c r="E6" s="18" t="s">
        <v>6</v>
      </c>
      <c r="F6" s="20">
        <f>+F4*D3</f>
        <v>127.77985739750446</v>
      </c>
      <c r="G6" s="19"/>
      <c r="H6" s="741" t="s">
        <v>412</v>
      </c>
      <c r="I6" s="742"/>
      <c r="J6" s="341" t="s">
        <v>432</v>
      </c>
      <c r="K6" s="266">
        <f>+K8/(1-D8)</f>
        <v>326.31729055258472</v>
      </c>
      <c r="L6" s="249" t="s">
        <v>4</v>
      </c>
      <c r="M6" s="19"/>
      <c r="N6" s="726" t="s">
        <v>417</v>
      </c>
      <c r="O6" s="727"/>
      <c r="P6" s="253" t="s">
        <v>57</v>
      </c>
      <c r="Q6" s="343">
        <f>997.39+4.46*D11</f>
        <v>1331.8899999999999</v>
      </c>
      <c r="R6" s="254" t="s">
        <v>51</v>
      </c>
      <c r="S6" s="19"/>
      <c r="T6" s="19"/>
      <c r="U6" s="19"/>
      <c r="W6" s="19"/>
      <c r="X6" s="19" t="s">
        <v>2</v>
      </c>
      <c r="Y6" s="19" t="s">
        <v>611</v>
      </c>
      <c r="Z6" s="545">
        <f>+D3</f>
        <v>57.018181818181816</v>
      </c>
      <c r="AA6" s="296" t="s">
        <v>4</v>
      </c>
      <c r="AB6" s="296"/>
      <c r="AC6" s="296"/>
      <c r="AD6" s="296"/>
      <c r="AE6" s="21"/>
      <c r="AF6" s="402" t="s">
        <v>370</v>
      </c>
      <c r="AG6" s="430">
        <f>ROUNDUP(($AI$4/($AG$4*AG5)),0.001)</f>
        <v>5</v>
      </c>
      <c r="AH6" s="430">
        <f t="shared" ref="AH6:AJ6" si="0">ROUNDUP(($AI$4/($AG$4*AH5)),0.001)</f>
        <v>4</v>
      </c>
      <c r="AI6" s="430">
        <f t="shared" si="0"/>
        <v>3</v>
      </c>
      <c r="AJ6" s="433">
        <f t="shared" si="0"/>
        <v>3</v>
      </c>
      <c r="AK6" s="28">
        <f>IF($D$3&lt;40,AL6,IF($AK$11=$AG$11,AG6,IF($AK$11=$AH$11,AH6,IF($AK$11=$AI$11,AI6,AJ6))))</f>
        <v>5</v>
      </c>
      <c r="AL6" s="404">
        <f>ROUNDUP(($AI$4/($AG$4*AL5)),0.001)</f>
        <v>8</v>
      </c>
      <c r="AM6" s="401"/>
      <c r="AN6" s="401"/>
      <c r="AO6" s="401"/>
      <c r="AP6" s="401"/>
      <c r="AQ6" s="401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</row>
    <row r="7" spans="1:139" ht="15.75" thickBot="1" x14ac:dyDescent="0.3">
      <c r="A7" s="19"/>
      <c r="B7" s="4" t="s">
        <v>10</v>
      </c>
      <c r="C7" s="359" t="s">
        <v>11</v>
      </c>
      <c r="D7" s="5">
        <v>0.02</v>
      </c>
      <c r="E7" s="6" t="s">
        <v>6</v>
      </c>
      <c r="F7" s="20">
        <f>+D4*D3</f>
        <v>141.76248252285492</v>
      </c>
      <c r="G7" s="19"/>
      <c r="H7" s="741" t="s">
        <v>14</v>
      </c>
      <c r="I7" s="742"/>
      <c r="J7" s="350" t="s">
        <v>433</v>
      </c>
      <c r="K7" s="266">
        <f>+K6*D8</f>
        <v>13.052691622103389</v>
      </c>
      <c r="L7" s="249" t="s">
        <v>4</v>
      </c>
      <c r="M7" s="19"/>
      <c r="N7" s="734" t="s">
        <v>402</v>
      </c>
      <c r="O7" s="735"/>
      <c r="P7" s="735"/>
      <c r="Q7" s="735"/>
      <c r="R7" s="736"/>
      <c r="S7" s="19"/>
      <c r="T7" s="19"/>
      <c r="U7" s="19"/>
      <c r="W7" s="19"/>
      <c r="X7" s="19" t="s">
        <v>74</v>
      </c>
      <c r="Y7" s="19" t="s">
        <v>75</v>
      </c>
      <c r="Z7" s="296">
        <v>74.775399466652942</v>
      </c>
      <c r="AA7" s="296" t="s">
        <v>4</v>
      </c>
      <c r="AB7" s="296"/>
      <c r="AC7" s="296"/>
      <c r="AD7" s="296"/>
      <c r="AE7" s="21"/>
      <c r="AF7" s="402" t="s">
        <v>372</v>
      </c>
      <c r="AG7" s="430">
        <f>IF(AG6&gt;7,ROUNDUP(AG6/2,0.1),AG6)</f>
        <v>5</v>
      </c>
      <c r="AH7" s="430">
        <f>IF(AH6&gt;7,ROUNDUP(AH6/2,0.1),AH6)</f>
        <v>4</v>
      </c>
      <c r="AI7" s="430">
        <f>IF(AI6&gt;7,ROUNDUP(AI6/2,0.1),AI6)</f>
        <v>3</v>
      </c>
      <c r="AJ7" s="433">
        <f>IF(AJ6&gt;7,ROUNDUP(AJ6/2,0.1),AJ6)</f>
        <v>3</v>
      </c>
      <c r="AK7" s="28">
        <f>IF($D$3&lt;40,AL7,IF($AK$11=$AG$11,AG7,IF($AK$11=$AH$11,AH7,IF($AK$11=$AI$11,AI7,AJ7))))</f>
        <v>5</v>
      </c>
      <c r="AL7" s="404">
        <f>IF(AL6&gt;7,ROUNDUP(AL6/2,0.1),AL6)</f>
        <v>4</v>
      </c>
      <c r="AM7" s="401"/>
      <c r="AN7" s="401"/>
      <c r="AO7" s="401"/>
      <c r="AP7" s="401"/>
      <c r="AQ7" s="401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</row>
    <row r="8" spans="1:139" x14ac:dyDescent="0.25">
      <c r="A8" s="19"/>
      <c r="B8" s="4" t="s">
        <v>14</v>
      </c>
      <c r="C8" s="359" t="s">
        <v>15</v>
      </c>
      <c r="D8" s="5">
        <v>0.04</v>
      </c>
      <c r="E8" s="6" t="s">
        <v>6</v>
      </c>
      <c r="F8" s="20">
        <f>+F7-F6</f>
        <v>13.982625125350467</v>
      </c>
      <c r="G8" s="19"/>
      <c r="H8" s="741" t="s">
        <v>411</v>
      </c>
      <c r="I8" s="742"/>
      <c r="J8" s="341" t="s">
        <v>434</v>
      </c>
      <c r="K8" s="266">
        <f>+D3*D13/D9</f>
        <v>313.26459893048133</v>
      </c>
      <c r="L8" s="249" t="s">
        <v>4</v>
      </c>
      <c r="M8" s="19"/>
      <c r="N8" s="730" t="s">
        <v>418</v>
      </c>
      <c r="O8" s="731"/>
      <c r="P8" s="345" t="s">
        <v>12</v>
      </c>
      <c r="Q8" s="345">
        <f>D22+0.2209*EXP(0.0557*D10)</f>
        <v>97.331960342879725</v>
      </c>
      <c r="R8" s="251" t="s">
        <v>13</v>
      </c>
      <c r="S8" s="19"/>
      <c r="T8" s="19"/>
      <c r="U8" s="19"/>
      <c r="W8" s="19"/>
      <c r="X8" s="19" t="s">
        <v>144</v>
      </c>
      <c r="Y8" s="19"/>
      <c r="Z8" s="296">
        <v>30</v>
      </c>
      <c r="AA8" s="296" t="s">
        <v>6</v>
      </c>
      <c r="AB8" s="296"/>
      <c r="AC8" s="296"/>
      <c r="AD8" s="296"/>
      <c r="AE8" s="21"/>
      <c r="AF8" s="402" t="s">
        <v>376</v>
      </c>
      <c r="AG8" s="430">
        <f>IF(AG6&lt;7,1,ROUNDUP(AG6/AG7,0.1))</f>
        <v>1</v>
      </c>
      <c r="AH8" s="430">
        <f>IF(AH6&lt;7,1,ROUNDUP(AH6/AH7,0.1))</f>
        <v>1</v>
      </c>
      <c r="AI8" s="430">
        <f>IF(AI6&lt;7,1,ROUNDUP(AI6/AI7,0.1))</f>
        <v>1</v>
      </c>
      <c r="AJ8" s="433">
        <f>IF(AJ6&lt;7,1,ROUNDUP(AJ6/AJ7,0.1))</f>
        <v>1</v>
      </c>
      <c r="AK8" s="28">
        <f>IF($D$3&lt;40,AL8,IF($AK$11=$AG$11,AG8,IF($AK$11=$AH$11,AH8,IF($AK$11=$AI$11,AI8,AJ8))))</f>
        <v>1</v>
      </c>
      <c r="AL8" s="404">
        <f>IF(AL6&lt;7,1,ROUNDUP(AL6/AL7,0.1))</f>
        <v>2</v>
      </c>
      <c r="AM8" s="401"/>
      <c r="AN8" s="401"/>
      <c r="AO8" s="401"/>
      <c r="AP8" s="401"/>
      <c r="AQ8" s="401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</row>
    <row r="9" spans="1:139" x14ac:dyDescent="0.25">
      <c r="A9" s="19"/>
      <c r="B9" s="1" t="s">
        <v>20</v>
      </c>
      <c r="C9" s="2" t="s">
        <v>21</v>
      </c>
      <c r="D9" s="2">
        <v>17</v>
      </c>
      <c r="E9" s="3" t="s">
        <v>22</v>
      </c>
      <c r="F9" s="20">
        <f>+F8*12*6</f>
        <v>1006.7490090252336</v>
      </c>
      <c r="G9" s="19"/>
      <c r="H9" s="737" t="s">
        <v>398</v>
      </c>
      <c r="I9" s="738"/>
      <c r="J9" s="341" t="s">
        <v>435</v>
      </c>
      <c r="K9" s="264">
        <f>K6-D3</f>
        <v>269.29910873440292</v>
      </c>
      <c r="L9" s="249" t="s">
        <v>4</v>
      </c>
      <c r="M9" s="19"/>
      <c r="N9" s="732" t="s">
        <v>419</v>
      </c>
      <c r="O9" s="733"/>
      <c r="P9" s="341" t="s">
        <v>16</v>
      </c>
      <c r="Q9" s="341">
        <f>D22+0.2209*EXP(0.0557*D11)</f>
        <v>110.98294297073372</v>
      </c>
      <c r="R9" s="249" t="s">
        <v>13</v>
      </c>
      <c r="S9" s="19"/>
      <c r="T9" s="19"/>
      <c r="U9" s="19"/>
      <c r="W9" s="19"/>
      <c r="X9" t="s">
        <v>17</v>
      </c>
      <c r="Y9" t="s">
        <v>613</v>
      </c>
      <c r="Z9">
        <v>243.95474075995523</v>
      </c>
      <c r="AA9" s="296" t="s">
        <v>19</v>
      </c>
      <c r="AC9" s="296"/>
      <c r="AD9" s="296"/>
      <c r="AE9" s="21"/>
      <c r="AF9" s="402" t="s">
        <v>379</v>
      </c>
      <c r="AG9" s="430">
        <f>AG7*AG8</f>
        <v>5</v>
      </c>
      <c r="AH9" s="430">
        <f>AH7*AH8</f>
        <v>4</v>
      </c>
      <c r="AI9" s="430">
        <f>AI7*AI8</f>
        <v>3</v>
      </c>
      <c r="AJ9" s="433">
        <f>AJ7*AJ8</f>
        <v>3</v>
      </c>
      <c r="AK9" s="28">
        <f>IF($D$3&lt;40,AL9,IF($AK$11=$AG$11,AG9,IF($AK$11=$AH$11,AH9,IF($AK$11=$AI$11,AI9,AJ9))))</f>
        <v>5</v>
      </c>
      <c r="AL9" s="404">
        <f>AL7*AL8</f>
        <v>8</v>
      </c>
      <c r="AM9" s="401"/>
      <c r="AN9" s="401"/>
      <c r="AO9" s="401"/>
      <c r="AP9" s="401"/>
      <c r="AQ9" s="401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</row>
    <row r="10" spans="1:139" ht="15.75" thickBot="1" x14ac:dyDescent="0.3">
      <c r="A10" s="19"/>
      <c r="B10" s="1" t="s">
        <v>24</v>
      </c>
      <c r="C10" s="2" t="s">
        <v>25</v>
      </c>
      <c r="D10" s="2">
        <v>22</v>
      </c>
      <c r="E10" s="3" t="s">
        <v>22</v>
      </c>
      <c r="F10" s="20"/>
      <c r="G10" s="19"/>
      <c r="H10" s="737" t="s">
        <v>401</v>
      </c>
      <c r="I10" s="738"/>
      <c r="J10" s="341" t="s">
        <v>432</v>
      </c>
      <c r="K10" s="264">
        <f>+K6</f>
        <v>326.31729055258472</v>
      </c>
      <c r="L10" s="249" t="s">
        <v>4</v>
      </c>
      <c r="M10" s="19"/>
      <c r="N10" s="726" t="s">
        <v>420</v>
      </c>
      <c r="O10" s="727"/>
      <c r="P10" s="343" t="s">
        <v>23</v>
      </c>
      <c r="Q10" s="343">
        <f>D22+0.2209*EXP(0.0557*D12)</f>
        <v>136.71813336403685</v>
      </c>
      <c r="R10" s="254" t="s">
        <v>13</v>
      </c>
      <c r="S10" s="19"/>
      <c r="T10" s="19"/>
      <c r="U10" s="19"/>
      <c r="W10" s="19"/>
      <c r="X10" t="s">
        <v>614</v>
      </c>
      <c r="Y10" t="s">
        <v>68</v>
      </c>
      <c r="Z10">
        <v>101.55667402499365</v>
      </c>
      <c r="AA10" s="296" t="s">
        <v>19</v>
      </c>
      <c r="AC10" s="296"/>
      <c r="AD10" s="296"/>
      <c r="AE10" s="21"/>
      <c r="AF10" s="402" t="s">
        <v>380</v>
      </c>
      <c r="AG10" s="430">
        <f>IF($AG$4*AG7&lt;0.62,5,$AG$4*AG7)</f>
        <v>0.77500000000000002</v>
      </c>
      <c r="AH10" s="430">
        <f t="shared" ref="AH10:AJ10" si="1">IF($AG$4*AH7&lt;0.62,5,$AG$4*AH7)</f>
        <v>0.62</v>
      </c>
      <c r="AI10" s="430">
        <f t="shared" si="1"/>
        <v>5</v>
      </c>
      <c r="AJ10" s="433">
        <f t="shared" si="1"/>
        <v>5</v>
      </c>
      <c r="AK10" s="28">
        <f>IF($D$3&lt;40,AL10,IF($AK$11=$AG$11,AG10,IF($AK$11=AH11,AH10,IF($AK$11=$AI$11,AI10,AJ10))))</f>
        <v>0.77500000000000002</v>
      </c>
      <c r="AL10" s="404">
        <f>$AG$4*AL7</f>
        <v>0.62</v>
      </c>
      <c r="AM10" s="401"/>
      <c r="AN10" s="401"/>
      <c r="AO10" s="401"/>
      <c r="AP10" s="401"/>
      <c r="AQ10" s="401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</row>
    <row r="11" spans="1:139" ht="15.75" thickBot="1" x14ac:dyDescent="0.3">
      <c r="A11" s="19"/>
      <c r="B11" s="1" t="s">
        <v>29</v>
      </c>
      <c r="C11" s="2" t="s">
        <v>30</v>
      </c>
      <c r="D11" s="2">
        <v>75</v>
      </c>
      <c r="E11" s="3" t="s">
        <v>22</v>
      </c>
      <c r="F11" s="20"/>
      <c r="G11" s="19"/>
      <c r="H11" s="737" t="s">
        <v>399</v>
      </c>
      <c r="I11" s="738"/>
      <c r="J11" s="341" t="s">
        <v>36</v>
      </c>
      <c r="K11" s="264">
        <f>+K8</f>
        <v>313.26459893048133</v>
      </c>
      <c r="L11" s="249" t="s">
        <v>4</v>
      </c>
      <c r="M11" s="19"/>
      <c r="N11" s="743" t="s">
        <v>421</v>
      </c>
      <c r="O11" s="744"/>
      <c r="P11" s="744"/>
      <c r="Q11" s="744"/>
      <c r="R11" s="745"/>
      <c r="S11" s="19"/>
      <c r="T11" s="19"/>
      <c r="U11" s="19"/>
      <c r="W11" s="19"/>
      <c r="X11" s="19" t="s">
        <v>326</v>
      </c>
      <c r="Y11" s="19" t="s">
        <v>612</v>
      </c>
      <c r="Z11" s="296">
        <f>+D6*100</f>
        <v>36.483257043013431</v>
      </c>
      <c r="AA11" s="296" t="s">
        <v>6</v>
      </c>
      <c r="AB11" s="296"/>
      <c r="AC11" s="296"/>
      <c r="AD11" s="296"/>
      <c r="AE11" s="21"/>
      <c r="AF11" s="405" t="s">
        <v>364</v>
      </c>
      <c r="AG11" s="434">
        <f>AG5*AG8*AG10</f>
        <v>0.58125000000000004</v>
      </c>
      <c r="AH11" s="434">
        <f>AH5*AH8*AH10</f>
        <v>0.62</v>
      </c>
      <c r="AI11" s="434">
        <f>AI5*AI8*AI10</f>
        <v>6.25</v>
      </c>
      <c r="AJ11" s="435">
        <f>AJ5*AJ8*AJ10</f>
        <v>7.5</v>
      </c>
      <c r="AK11" s="429">
        <f>IF(D3&lt;40,AL11,MIN(AG11:AJ11))</f>
        <v>0.58125000000000004</v>
      </c>
      <c r="AL11" s="406">
        <f>(AL5*AL8)*($AG$4*AL7)</f>
        <v>0.62</v>
      </c>
      <c r="AM11" s="401"/>
      <c r="AN11" s="401"/>
      <c r="AO11" s="401"/>
      <c r="AP11" s="401"/>
      <c r="AQ11" s="401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</row>
    <row r="12" spans="1:139" x14ac:dyDescent="0.25">
      <c r="A12" s="19"/>
      <c r="B12" s="1" t="s">
        <v>34</v>
      </c>
      <c r="C12" s="2" t="s">
        <v>35</v>
      </c>
      <c r="D12" s="2">
        <v>93.4</v>
      </c>
      <c r="E12" s="3" t="s">
        <v>22</v>
      </c>
      <c r="F12" s="20"/>
      <c r="G12" s="19"/>
      <c r="H12" s="737" t="s">
        <v>400</v>
      </c>
      <c r="I12" s="738"/>
      <c r="J12" s="341" t="s">
        <v>40</v>
      </c>
      <c r="K12" s="264">
        <f>K11*D10/D11</f>
        <v>91.890949019607859</v>
      </c>
      <c r="L12" s="249" t="s">
        <v>4</v>
      </c>
      <c r="M12" s="19"/>
      <c r="N12" s="732" t="s">
        <v>418</v>
      </c>
      <c r="O12" s="733"/>
      <c r="P12" s="252" t="s">
        <v>32</v>
      </c>
      <c r="Q12" s="341">
        <f>2492.9-2.0523*((D22+Q8)/2)-0.0030752*((D22+Q8)/2)^2</f>
        <v>2265.0093657063012</v>
      </c>
      <c r="R12" s="249" t="s">
        <v>33</v>
      </c>
      <c r="S12" s="19"/>
      <c r="T12" s="19"/>
      <c r="U12" s="19"/>
      <c r="W12" s="19"/>
      <c r="X12" s="19"/>
      <c r="Y12" s="19"/>
      <c r="Z12" s="296"/>
      <c r="AA12" s="296"/>
      <c r="AB12" s="296"/>
      <c r="AC12" s="296"/>
      <c r="AD12" s="296"/>
      <c r="AE12" s="21"/>
      <c r="AF12" s="402"/>
      <c r="AG12" s="403"/>
      <c r="AH12" s="19"/>
      <c r="AI12" s="19"/>
      <c r="AJ12" s="19"/>
      <c r="AK12" s="19"/>
      <c r="AL12" s="19"/>
      <c r="AM12" s="401"/>
      <c r="AN12" s="401"/>
      <c r="AO12" s="401"/>
      <c r="AP12" s="401"/>
      <c r="AQ12" s="401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</row>
    <row r="13" spans="1:139" ht="15.75" thickBot="1" x14ac:dyDescent="0.3">
      <c r="A13" s="19"/>
      <c r="B13" s="1" t="s">
        <v>39</v>
      </c>
      <c r="C13" s="359" t="s">
        <v>35</v>
      </c>
      <c r="D13" s="2">
        <f>D12</f>
        <v>93.4</v>
      </c>
      <c r="E13" s="3" t="s">
        <v>22</v>
      </c>
      <c r="F13" s="20"/>
      <c r="G13" s="19"/>
      <c r="H13" s="739" t="s">
        <v>423</v>
      </c>
      <c r="I13" s="740"/>
      <c r="J13" s="248" t="s">
        <v>406</v>
      </c>
      <c r="K13" s="266">
        <f>D3*D4</f>
        <v>141.76248252285492</v>
      </c>
      <c r="L13" s="249" t="s">
        <v>4</v>
      </c>
      <c r="M13" s="19"/>
      <c r="N13" s="732" t="s">
        <v>419</v>
      </c>
      <c r="O13" s="733"/>
      <c r="P13" s="252" t="s">
        <v>32</v>
      </c>
      <c r="Q13" s="341">
        <f>2492.9-2.0523*((Q8+Q9)/2)-0.0030752*((Q8+Q9)/2)^2</f>
        <v>2245.7755098976954</v>
      </c>
      <c r="R13" s="249" t="s">
        <v>33</v>
      </c>
      <c r="S13" s="104"/>
      <c r="T13" s="19"/>
      <c r="U13" s="19"/>
      <c r="W13" s="19"/>
      <c r="X13" s="19"/>
      <c r="Y13" s="19"/>
      <c r="Z13" s="296"/>
      <c r="AA13" s="296"/>
      <c r="AB13" s="296"/>
      <c r="AC13" s="296"/>
      <c r="AD13" s="296"/>
      <c r="AE13" s="21"/>
      <c r="AF13" s="405"/>
      <c r="AG13" s="408"/>
      <c r="AH13" s="19"/>
      <c r="AI13" s="19"/>
      <c r="AJ13" s="19"/>
      <c r="AK13" s="19"/>
      <c r="AL13" s="19"/>
      <c r="AM13" s="401"/>
      <c r="AN13" s="401"/>
      <c r="AO13" s="401"/>
      <c r="AP13" s="401"/>
      <c r="AQ13" s="401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</row>
    <row r="14" spans="1:139" ht="15.75" thickBot="1" x14ac:dyDescent="0.3">
      <c r="A14" s="19"/>
      <c r="B14" s="4" t="s">
        <v>44</v>
      </c>
      <c r="C14" s="359" t="s">
        <v>45</v>
      </c>
      <c r="D14" s="5">
        <v>0.2</v>
      </c>
      <c r="E14" s="6" t="s">
        <v>6</v>
      </c>
      <c r="F14" s="20"/>
      <c r="G14" s="19"/>
      <c r="H14" s="737" t="s">
        <v>424</v>
      </c>
      <c r="I14" s="738"/>
      <c r="J14" s="341" t="s">
        <v>37</v>
      </c>
      <c r="K14" s="264">
        <f>K3-K4</f>
        <v>221.98455139631614</v>
      </c>
      <c r="L14" s="249" t="s">
        <v>4</v>
      </c>
      <c r="M14" s="19"/>
      <c r="N14" s="726" t="s">
        <v>420</v>
      </c>
      <c r="O14" s="727"/>
      <c r="P14" s="253" t="s">
        <v>32</v>
      </c>
      <c r="Q14" s="343">
        <f>2492.9-2.0523*((Q9+Q10)/2)-0.0030752*((Q9+Q10)/2)^2</f>
        <v>2191.5511836295354</v>
      </c>
      <c r="R14" s="254" t="s">
        <v>33</v>
      </c>
      <c r="S14" s="21"/>
      <c r="T14" s="19"/>
      <c r="U14" s="19"/>
      <c r="W14" s="19"/>
      <c r="X14" s="19"/>
      <c r="Y14" s="19"/>
      <c r="Z14" s="296"/>
      <c r="AA14" s="296"/>
      <c r="AB14" s="296"/>
      <c r="AC14" s="296"/>
      <c r="AD14" s="296"/>
      <c r="AE14" s="21"/>
      <c r="AF14" s="21"/>
      <c r="AG14" s="21"/>
      <c r="AH14" s="21"/>
      <c r="AI14" s="21"/>
      <c r="AJ14" s="21"/>
      <c r="AK14" s="21"/>
      <c r="AL14" s="21"/>
      <c r="AM14" s="401"/>
      <c r="AN14" s="401"/>
      <c r="AO14" s="401"/>
      <c r="AP14" s="401"/>
      <c r="AQ14" s="401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</row>
    <row r="15" spans="1:139" ht="15.75" thickBot="1" x14ac:dyDescent="0.3">
      <c r="A15" s="19"/>
      <c r="B15" s="4" t="s">
        <v>48</v>
      </c>
      <c r="C15" s="10" t="s">
        <v>49</v>
      </c>
      <c r="D15" s="11">
        <v>1.8</v>
      </c>
      <c r="E15" s="6"/>
      <c r="F15" s="20"/>
      <c r="G15" s="19"/>
      <c r="H15" s="761" t="s">
        <v>425</v>
      </c>
      <c r="I15" s="762"/>
      <c r="J15" s="344" t="s">
        <v>405</v>
      </c>
      <c r="K15" s="265">
        <f>K14*((100%-D20)/(100%-D14))</f>
        <v>127.77985739750446</v>
      </c>
      <c r="L15" s="254" t="s">
        <v>4</v>
      </c>
      <c r="M15" s="19"/>
      <c r="N15" s="743" t="s">
        <v>403</v>
      </c>
      <c r="O15" s="744"/>
      <c r="P15" s="744"/>
      <c r="Q15" s="744"/>
      <c r="R15" s="745"/>
      <c r="S15" s="21"/>
      <c r="T15" s="19"/>
      <c r="U15" s="19"/>
      <c r="W15" s="19"/>
      <c r="X15" s="19"/>
      <c r="Y15" s="19"/>
      <c r="Z15" s="296"/>
      <c r="AA15" s="296"/>
      <c r="AB15" s="296"/>
      <c r="AC15" s="296"/>
      <c r="AD15" s="296"/>
      <c r="AE15" s="21"/>
      <c r="AF15" s="21"/>
      <c r="AG15" s="21"/>
      <c r="AH15" s="21"/>
      <c r="AI15" s="21"/>
      <c r="AJ15" s="21"/>
      <c r="AK15" s="21"/>
      <c r="AL15" s="21"/>
      <c r="AM15" s="401"/>
      <c r="AN15" s="401"/>
      <c r="AO15" s="401"/>
      <c r="AP15" s="401"/>
      <c r="AQ15" s="401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</row>
    <row r="16" spans="1:139" ht="15.75" thickBot="1" x14ac:dyDescent="0.3">
      <c r="A16" s="19"/>
      <c r="B16" s="1" t="s">
        <v>52</v>
      </c>
      <c r="C16" s="2" t="s">
        <v>53</v>
      </c>
      <c r="D16" s="12">
        <v>0.6</v>
      </c>
      <c r="E16" s="3" t="s">
        <v>6</v>
      </c>
      <c r="F16" s="20"/>
      <c r="G16" s="19"/>
      <c r="H16" s="23"/>
      <c r="I16" s="23"/>
      <c r="J16" s="23"/>
      <c r="K16" s="118"/>
      <c r="L16" s="118"/>
      <c r="M16" s="19"/>
      <c r="N16" s="732" t="s">
        <v>426</v>
      </c>
      <c r="O16" s="733"/>
      <c r="P16" s="341" t="s">
        <v>46</v>
      </c>
      <c r="Q16" s="341">
        <f>4.18*(1-0.006*D9)</f>
        <v>3.7536399999999999</v>
      </c>
      <c r="R16" s="249" t="s">
        <v>47</v>
      </c>
      <c r="S16" s="21"/>
      <c r="T16" s="296"/>
      <c r="U16" s="19"/>
      <c r="W16" s="19"/>
      <c r="X16" s="19"/>
      <c r="Y16" s="19"/>
      <c r="Z16" s="296"/>
      <c r="AA16" s="296"/>
      <c r="AB16" s="296"/>
      <c r="AC16" s="296"/>
      <c r="AD16" s="296"/>
      <c r="AE16" s="21"/>
      <c r="AF16" s="21"/>
      <c r="AG16" s="21"/>
      <c r="AH16" s="21"/>
      <c r="AI16" s="21"/>
      <c r="AJ16" s="21">
        <f>Q102^(1/3)</f>
        <v>1.2184159922253455</v>
      </c>
      <c r="AK16" s="21"/>
      <c r="AL16" s="21"/>
      <c r="AM16" s="401"/>
      <c r="AN16" s="401"/>
      <c r="AO16" s="401"/>
      <c r="AP16" s="401"/>
      <c r="AQ16" s="401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</row>
    <row r="17" spans="1:139" ht="15.75" thickBot="1" x14ac:dyDescent="0.3">
      <c r="A17" s="19"/>
      <c r="B17" s="1" t="s">
        <v>55</v>
      </c>
      <c r="C17" s="2" t="s">
        <v>56</v>
      </c>
      <c r="D17" s="12">
        <v>0.14000000000000001</v>
      </c>
      <c r="E17" s="3" t="s">
        <v>6</v>
      </c>
      <c r="F17" s="20"/>
      <c r="G17" s="19"/>
      <c r="H17" s="734" t="s">
        <v>414</v>
      </c>
      <c r="I17" s="735"/>
      <c r="J17" s="735"/>
      <c r="K17" s="735"/>
      <c r="L17" s="736"/>
      <c r="M17" s="19"/>
      <c r="N17" s="732" t="s">
        <v>427</v>
      </c>
      <c r="O17" s="733"/>
      <c r="P17" s="341" t="s">
        <v>46</v>
      </c>
      <c r="Q17" s="341">
        <f>4.18*(1-0.006*D10)</f>
        <v>3.6282399999999999</v>
      </c>
      <c r="R17" s="249" t="s">
        <v>47</v>
      </c>
      <c r="S17" s="20"/>
      <c r="T17" s="19"/>
      <c r="U17" s="19"/>
      <c r="W17" s="19"/>
      <c r="X17" s="19"/>
      <c r="Y17" s="19"/>
      <c r="Z17" s="19"/>
      <c r="AA17" s="19"/>
      <c r="AB17" s="19"/>
      <c r="AC17" s="296"/>
      <c r="AD17" s="296"/>
      <c r="AE17" s="21"/>
      <c r="AF17" s="21"/>
      <c r="AG17" s="21"/>
      <c r="AH17" s="21"/>
      <c r="AI17" s="21"/>
      <c r="AJ17" s="21"/>
      <c r="AK17" s="21"/>
      <c r="AL17" s="21"/>
      <c r="AM17" s="401"/>
      <c r="AN17" s="401"/>
      <c r="AO17" s="401"/>
      <c r="AP17" s="401"/>
      <c r="AQ17" s="401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</row>
    <row r="18" spans="1:139" ht="15.75" thickBot="1" x14ac:dyDescent="0.3">
      <c r="A18" s="19"/>
      <c r="B18" s="1" t="s">
        <v>58</v>
      </c>
      <c r="C18" s="2" t="s">
        <v>59</v>
      </c>
      <c r="D18" s="2">
        <v>1062</v>
      </c>
      <c r="E18" s="3" t="s">
        <v>60</v>
      </c>
      <c r="F18" s="20"/>
      <c r="G18" s="19"/>
      <c r="H18" s="730" t="s">
        <v>404</v>
      </c>
      <c r="I18" s="731"/>
      <c r="J18" s="345" t="s">
        <v>61</v>
      </c>
      <c r="K18" s="345">
        <f>(K10*Q16*(Q8-D19)+(K10-K11)*Q12)/3600</f>
        <v>32.822852571106623</v>
      </c>
      <c r="L18" s="251" t="s">
        <v>19</v>
      </c>
      <c r="M18" s="19"/>
      <c r="N18" s="726" t="s">
        <v>428</v>
      </c>
      <c r="O18" s="727"/>
      <c r="P18" s="343" t="s">
        <v>46</v>
      </c>
      <c r="Q18" s="343">
        <f>4.18*(1-0.006*D11)</f>
        <v>2.2989999999999999</v>
      </c>
      <c r="R18" s="254" t="s">
        <v>47</v>
      </c>
      <c r="S18" s="104"/>
      <c r="T18" s="19"/>
      <c r="U18" s="19"/>
      <c r="W18" s="19"/>
      <c r="X18" s="19"/>
      <c r="Y18" s="19"/>
      <c r="Z18" s="19"/>
      <c r="AA18" s="19"/>
      <c r="AB18" s="19"/>
      <c r="AC18" s="296"/>
      <c r="AD18" s="296"/>
      <c r="AE18" s="21"/>
      <c r="AF18" s="21"/>
      <c r="AG18" s="21"/>
      <c r="AH18" s="21"/>
      <c r="AI18" s="21"/>
      <c r="AJ18" s="21"/>
      <c r="AK18" s="21"/>
      <c r="AL18" s="21"/>
      <c r="AM18" s="401"/>
      <c r="AN18" s="401"/>
      <c r="AO18" s="401"/>
      <c r="AP18" s="401"/>
      <c r="AQ18" s="401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</row>
    <row r="19" spans="1:139" ht="15.75" thickBot="1" x14ac:dyDescent="0.3">
      <c r="A19" s="19"/>
      <c r="B19" s="13" t="s">
        <v>62</v>
      </c>
      <c r="C19" s="14" t="s">
        <v>63</v>
      </c>
      <c r="D19" s="14">
        <v>25</v>
      </c>
      <c r="E19" s="15" t="s">
        <v>13</v>
      </c>
      <c r="F19" s="20"/>
      <c r="G19" s="19"/>
      <c r="H19" s="732" t="s">
        <v>407</v>
      </c>
      <c r="I19" s="733"/>
      <c r="J19" s="341" t="s">
        <v>64</v>
      </c>
      <c r="K19" s="341">
        <f>(K11*Q17*(Q9-Q8)+(K11-K12)*Q13)/3600</f>
        <v>142.40867131568584</v>
      </c>
      <c r="L19" s="249" t="s">
        <v>19</v>
      </c>
      <c r="M19" s="19"/>
      <c r="N19" s="118"/>
      <c r="O19" s="23"/>
      <c r="P19" s="23"/>
      <c r="Q19" s="23"/>
      <c r="R19" s="23"/>
      <c r="S19" s="104"/>
      <c r="T19" s="19"/>
      <c r="U19" s="19"/>
      <c r="W19" s="19"/>
      <c r="X19" s="19"/>
      <c r="Y19" s="19"/>
      <c r="Z19" s="19"/>
      <c r="AA19" s="19"/>
      <c r="AB19" s="19"/>
      <c r="AC19" s="401"/>
      <c r="AD19" s="401"/>
      <c r="AE19" s="401"/>
      <c r="AF19" s="401"/>
      <c r="AG19" s="401"/>
      <c r="AH19" s="401"/>
      <c r="AI19" s="401"/>
      <c r="AJ19" s="401"/>
      <c r="AK19" s="401"/>
      <c r="AL19" s="401"/>
      <c r="AM19" s="401"/>
      <c r="AN19" s="401"/>
      <c r="AO19" s="401"/>
      <c r="AP19" s="401"/>
      <c r="AQ19" s="401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</row>
    <row r="20" spans="1:139" x14ac:dyDescent="0.25">
      <c r="A20" s="19"/>
      <c r="B20" s="255" t="s">
        <v>65</v>
      </c>
      <c r="C20" s="256" t="s">
        <v>66</v>
      </c>
      <c r="D20" s="257">
        <f>((K4-K4*(D16+D17))-(K4-K4*(D16+D17))*(D9/100))/(K4*(1-D16))</f>
        <v>0.53949999999999998</v>
      </c>
      <c r="E20" s="258" t="s">
        <v>6</v>
      </c>
      <c r="F20" s="20"/>
      <c r="G20" s="19"/>
      <c r="H20" s="732" t="s">
        <v>408</v>
      </c>
      <c r="I20" s="733"/>
      <c r="J20" s="341" t="s">
        <v>67</v>
      </c>
      <c r="K20" s="341">
        <f>(K12*Q18*(Q10-Q9)+(K12-D3)*Q14)/3600</f>
        <v>22.739500239741158</v>
      </c>
      <c r="L20" s="249" t="s">
        <v>19</v>
      </c>
      <c r="M20" s="19"/>
      <c r="N20" s="751" t="s">
        <v>7</v>
      </c>
      <c r="O20" s="752"/>
      <c r="P20" s="340" t="s">
        <v>8</v>
      </c>
      <c r="Q20" s="340">
        <f>17.85-20.35*D14</f>
        <v>13.780000000000001</v>
      </c>
      <c r="R20" s="351" t="s">
        <v>9</v>
      </c>
      <c r="S20" s="20"/>
      <c r="T20" s="19"/>
      <c r="U20" s="19"/>
      <c r="W20" s="19"/>
      <c r="X20" s="19"/>
      <c r="Y20" s="19"/>
      <c r="Z20" s="19"/>
      <c r="AA20" s="19"/>
      <c r="AB20" s="19"/>
      <c r="AC20" s="401"/>
      <c r="AD20" s="401"/>
      <c r="AE20" s="401"/>
      <c r="AF20" s="401"/>
      <c r="AG20" s="401"/>
      <c r="AH20" s="401"/>
      <c r="AI20" s="401"/>
      <c r="AJ20" s="401"/>
      <c r="AK20" s="401"/>
      <c r="AL20" s="401"/>
      <c r="AM20" s="401"/>
      <c r="AN20" s="401"/>
      <c r="AO20" s="401"/>
      <c r="AP20" s="401"/>
      <c r="AQ20" s="401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</row>
    <row r="21" spans="1:139" x14ac:dyDescent="0.25">
      <c r="A21" s="19"/>
      <c r="B21" s="255" t="s">
        <v>69</v>
      </c>
      <c r="C21" s="256" t="s">
        <v>70</v>
      </c>
      <c r="D21" s="259">
        <f>760*EXP(-0.0001158*D18)</f>
        <v>672.05409330988732</v>
      </c>
      <c r="E21" s="258" t="s">
        <v>71</v>
      </c>
      <c r="F21" s="20"/>
      <c r="G21" s="19"/>
      <c r="H21" s="732" t="s">
        <v>409</v>
      </c>
      <c r="I21" s="733"/>
      <c r="J21" s="341" t="s">
        <v>68</v>
      </c>
      <c r="K21" s="341">
        <f>SUM(K18:K20)</f>
        <v>197.97102412653359</v>
      </c>
      <c r="L21" s="249" t="s">
        <v>19</v>
      </c>
      <c r="M21" s="19"/>
      <c r="N21" s="759" t="s">
        <v>17</v>
      </c>
      <c r="O21" s="760"/>
      <c r="P21" s="342" t="s">
        <v>18</v>
      </c>
      <c r="Q21" s="342">
        <f>(D4*D3)*Q20/3.6</f>
        <v>542.63528032359477</v>
      </c>
      <c r="R21" s="267" t="s">
        <v>19</v>
      </c>
      <c r="S21" s="20"/>
      <c r="T21" s="19"/>
      <c r="U21" s="19"/>
      <c r="W21" s="19"/>
      <c r="X21" s="19"/>
      <c r="Y21" s="19"/>
      <c r="Z21" s="19"/>
      <c r="AA21" s="19"/>
      <c r="AB21" s="19"/>
      <c r="AC21" s="401"/>
      <c r="AD21" s="401"/>
      <c r="AE21" s="401"/>
      <c r="AF21" s="401"/>
      <c r="AG21" s="401"/>
      <c r="AH21" s="401"/>
      <c r="AI21" s="401"/>
      <c r="AJ21" s="401"/>
      <c r="AK21" s="401"/>
      <c r="AL21" s="401"/>
      <c r="AM21" s="401"/>
      <c r="AN21" s="401"/>
      <c r="AO21" s="401"/>
      <c r="AP21" s="401"/>
      <c r="AQ21" s="401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</row>
    <row r="22" spans="1:139" ht="15.75" thickBot="1" x14ac:dyDescent="0.3">
      <c r="A22" s="19"/>
      <c r="B22" s="260" t="s">
        <v>72</v>
      </c>
      <c r="C22" s="261" t="s">
        <v>73</v>
      </c>
      <c r="D22" s="261">
        <f>-227.03+3816.44/(18.3036-LN(7.5*(D21*133.3224/1000)))</f>
        <v>96.579679202909716</v>
      </c>
      <c r="E22" s="262" t="s">
        <v>13</v>
      </c>
      <c r="F22" s="20"/>
      <c r="G22" s="19"/>
      <c r="H22" s="726" t="s">
        <v>410</v>
      </c>
      <c r="I22" s="727"/>
      <c r="J22" s="343" t="s">
        <v>68</v>
      </c>
      <c r="K22" s="343">
        <f>(K8*(Q10-D19)*Q16+K9*((Q12+Q14)/2))/3600</f>
        <v>203.17813699673377</v>
      </c>
      <c r="L22" s="254" t="s">
        <v>19</v>
      </c>
      <c r="M22" s="19"/>
      <c r="N22" s="728" t="s">
        <v>26</v>
      </c>
      <c r="O22" s="729"/>
      <c r="P22" s="344" t="s">
        <v>27</v>
      </c>
      <c r="Q22" s="344">
        <f>Q21/1000</f>
        <v>0.54263528032359476</v>
      </c>
      <c r="R22" s="268" t="s">
        <v>28</v>
      </c>
      <c r="S22" s="20"/>
      <c r="T22" s="19"/>
      <c r="U22" s="19"/>
      <c r="W22" s="19"/>
      <c r="X22" s="19"/>
      <c r="Y22" s="19"/>
      <c r="Z22" s="19"/>
      <c r="AA22" s="19"/>
      <c r="AB22" s="19"/>
      <c r="AC22" s="401"/>
      <c r="AD22" s="401"/>
      <c r="AE22" s="401"/>
      <c r="AF22" s="401"/>
      <c r="AG22" s="401"/>
      <c r="AH22" s="401"/>
      <c r="AI22" s="401"/>
      <c r="AJ22" s="401"/>
      <c r="AK22" s="401"/>
      <c r="AL22" s="401"/>
      <c r="AM22" s="401"/>
      <c r="AN22" s="401"/>
      <c r="AO22" s="401"/>
      <c r="AP22" s="401"/>
      <c r="AQ22" s="401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</row>
    <row r="23" spans="1:139" ht="15.75" thickBot="1" x14ac:dyDescent="0.3">
      <c r="A23" s="19"/>
      <c r="B23" s="244"/>
      <c r="C23" s="244"/>
      <c r="D23" s="244"/>
      <c r="E23" s="244"/>
      <c r="F23" s="20"/>
      <c r="G23" s="19"/>
      <c r="H23" s="19"/>
      <c r="I23" s="19"/>
      <c r="J23" s="34"/>
      <c r="K23" s="19"/>
      <c r="L23" s="21"/>
      <c r="M23" s="21"/>
      <c r="N23" s="21"/>
      <c r="O23" s="21"/>
      <c r="P23" s="21"/>
      <c r="R23" s="21"/>
      <c r="S23" s="21"/>
      <c r="T23" s="19"/>
      <c r="U23" s="19"/>
      <c r="W23" s="19"/>
      <c r="X23" s="19"/>
      <c r="Y23" s="19"/>
      <c r="Z23" s="19"/>
      <c r="AA23" s="19"/>
      <c r="AB23" s="19"/>
      <c r="AC23" s="401"/>
      <c r="AD23" s="401"/>
      <c r="AE23" s="401"/>
      <c r="AF23" s="401"/>
      <c r="AG23" s="401"/>
      <c r="AH23" s="401"/>
      <c r="AI23" s="401"/>
      <c r="AJ23" s="401"/>
      <c r="AK23" s="401"/>
      <c r="AL23" s="401"/>
      <c r="AM23" s="401"/>
      <c r="AN23" s="401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</row>
    <row r="24" spans="1:139" ht="15.75" thickBot="1" x14ac:dyDescent="0.3">
      <c r="A24" s="846" t="s">
        <v>514</v>
      </c>
      <c r="B24" s="847"/>
      <c r="C24" s="847"/>
      <c r="D24" s="847"/>
      <c r="E24" s="847"/>
      <c r="F24" s="847"/>
      <c r="G24" s="847"/>
      <c r="H24" s="847"/>
      <c r="I24" s="847"/>
      <c r="J24" s="847"/>
      <c r="K24" s="847"/>
      <c r="L24" s="847"/>
      <c r="M24" s="847"/>
      <c r="N24" s="847"/>
      <c r="O24" s="847"/>
      <c r="P24" s="847"/>
      <c r="Q24" s="847"/>
      <c r="R24" s="847"/>
      <c r="S24" s="847"/>
      <c r="T24" s="847"/>
      <c r="U24" s="848"/>
      <c r="W24" s="19"/>
      <c r="X24" s="19"/>
      <c r="Y24" s="19"/>
      <c r="Z24" s="19"/>
      <c r="AA24" s="19"/>
      <c r="AB24" s="19"/>
      <c r="AC24" s="401"/>
      <c r="AD24" s="401"/>
      <c r="AE24" s="401"/>
      <c r="AF24" s="401"/>
      <c r="AG24" s="401"/>
      <c r="AH24" s="401"/>
      <c r="AI24" s="401"/>
      <c r="AJ24" s="401"/>
      <c r="AK24" s="401"/>
      <c r="AL24" s="401"/>
      <c r="AM24" s="401"/>
      <c r="AN24" s="401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</row>
    <row r="25" spans="1:139" ht="15.75" thickBot="1" x14ac:dyDescent="0.3">
      <c r="A25" s="103"/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W25" s="19"/>
      <c r="X25" s="19"/>
      <c r="Y25" s="19"/>
      <c r="Z25" s="19"/>
      <c r="AA25" s="19"/>
      <c r="AB25" s="19"/>
      <c r="AC25" s="401"/>
      <c r="AD25" s="401"/>
      <c r="AE25" s="401"/>
      <c r="AF25" s="401"/>
      <c r="AG25" s="401"/>
      <c r="AH25" s="401"/>
      <c r="AI25" s="401"/>
      <c r="AJ25" s="401"/>
      <c r="AK25" s="401"/>
      <c r="AL25" s="401"/>
      <c r="AM25" s="401"/>
      <c r="AN25" s="401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</row>
    <row r="26" spans="1:139" ht="15.75" thickBot="1" x14ac:dyDescent="0.3">
      <c r="A26" s="33"/>
      <c r="B26" s="501" t="s">
        <v>476</v>
      </c>
      <c r="C26" s="183" t="s">
        <v>475</v>
      </c>
      <c r="D26" s="169" t="s">
        <v>43</v>
      </c>
      <c r="E26" s="169">
        <v>1</v>
      </c>
      <c r="F26" s="169">
        <v>2</v>
      </c>
      <c r="G26" s="169">
        <v>3</v>
      </c>
      <c r="H26" s="169">
        <v>4</v>
      </c>
      <c r="I26" s="367">
        <v>5</v>
      </c>
      <c r="J26" s="33"/>
      <c r="K26" s="33"/>
      <c r="L26" s="33"/>
      <c r="M26" s="33"/>
      <c r="N26" s="19"/>
      <c r="O26" s="19"/>
      <c r="P26" s="19"/>
      <c r="Q26" s="33"/>
      <c r="R26" s="33"/>
      <c r="S26" s="33"/>
      <c r="T26" s="33"/>
      <c r="U26" s="33"/>
      <c r="W26" s="19"/>
      <c r="X26" s="19"/>
      <c r="Y26" s="19"/>
      <c r="Z26" s="19"/>
      <c r="AA26" s="19"/>
      <c r="AB26" s="19"/>
      <c r="AC26" s="401"/>
      <c r="AD26" s="401"/>
      <c r="AE26" s="401"/>
      <c r="AF26" s="401"/>
      <c r="AG26" s="401"/>
      <c r="AH26" s="401"/>
      <c r="AI26" s="401"/>
      <c r="AJ26" s="401"/>
      <c r="AK26" s="401"/>
      <c r="AL26" s="401"/>
      <c r="AM26" s="401"/>
      <c r="AN26" s="401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  <c r="DE26" s="19"/>
      <c r="DF26" s="19"/>
      <c r="DG26" s="19"/>
      <c r="DH26" s="19"/>
      <c r="DI26" s="19"/>
      <c r="DJ26" s="19"/>
      <c r="DK26" s="19"/>
      <c r="DL26" s="19"/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19"/>
      <c r="DX26" s="19"/>
      <c r="DY26" s="19"/>
      <c r="DZ26" s="19"/>
      <c r="EA26" s="19"/>
      <c r="EB26" s="19"/>
      <c r="EC26" s="19"/>
      <c r="ED26" s="19"/>
      <c r="EE26" s="19"/>
      <c r="EF26" s="19"/>
      <c r="EG26" s="19"/>
      <c r="EH26" s="19"/>
      <c r="EI26" s="19"/>
    </row>
    <row r="27" spans="1:139" x14ac:dyDescent="0.25">
      <c r="A27" s="33"/>
      <c r="B27" s="331" t="s">
        <v>82</v>
      </c>
      <c r="C27" s="330" t="s">
        <v>474</v>
      </c>
      <c r="D27" s="184" t="s">
        <v>43</v>
      </c>
      <c r="E27" s="368" t="s">
        <v>473</v>
      </c>
      <c r="F27" s="368" t="s">
        <v>473</v>
      </c>
      <c r="G27" s="368" t="s">
        <v>473</v>
      </c>
      <c r="H27" s="368" t="s">
        <v>473</v>
      </c>
      <c r="I27" s="369" t="s">
        <v>473</v>
      </c>
      <c r="J27" s="33"/>
      <c r="K27" s="33"/>
      <c r="L27" s="33"/>
      <c r="M27" s="19"/>
      <c r="N27" s="849" t="s">
        <v>517</v>
      </c>
      <c r="O27" s="850"/>
      <c r="P27" s="850"/>
      <c r="Q27" s="850"/>
      <c r="R27" s="851"/>
      <c r="S27" s="33"/>
      <c r="T27" s="33"/>
      <c r="U27" s="33"/>
      <c r="W27" s="19"/>
      <c r="X27" s="633">
        <v>0.38600000000000001</v>
      </c>
      <c r="Y27" s="19"/>
      <c r="Z27" s="19"/>
      <c r="AA27" s="19"/>
      <c r="AB27" s="19"/>
      <c r="AC27" s="401"/>
      <c r="AD27" s="401"/>
      <c r="AE27" s="401"/>
      <c r="AF27" s="401"/>
      <c r="AG27" s="401"/>
      <c r="AH27" s="401"/>
      <c r="AI27" s="401"/>
      <c r="AJ27" s="401"/>
      <c r="AK27" s="401"/>
      <c r="AL27" s="401"/>
      <c r="AM27" s="401"/>
      <c r="AN27" s="401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</row>
    <row r="28" spans="1:139" ht="15" customHeight="1" thickBot="1" x14ac:dyDescent="0.3">
      <c r="A28" s="33"/>
      <c r="B28" s="498" t="s">
        <v>121</v>
      </c>
      <c r="C28" s="67" t="s">
        <v>122</v>
      </c>
      <c r="D28" s="67" t="s">
        <v>43</v>
      </c>
      <c r="E28" s="67">
        <v>1</v>
      </c>
      <c r="F28" s="495">
        <v>2</v>
      </c>
      <c r="G28" s="67">
        <v>3</v>
      </c>
      <c r="H28" s="67">
        <v>4</v>
      </c>
      <c r="I28" s="499">
        <v>5</v>
      </c>
      <c r="J28" s="33"/>
      <c r="K28" s="33"/>
      <c r="L28" s="33"/>
      <c r="M28" s="19"/>
      <c r="N28" s="852"/>
      <c r="O28" s="853"/>
      <c r="P28" s="853"/>
      <c r="Q28" s="853"/>
      <c r="R28" s="854"/>
      <c r="S28" s="33"/>
      <c r="T28" s="33"/>
      <c r="U28" s="33"/>
      <c r="W28" s="19"/>
      <c r="X28" s="634">
        <v>2.7E-2</v>
      </c>
      <c r="AC28" s="401"/>
      <c r="AD28" s="401"/>
      <c r="AE28" s="401"/>
      <c r="AF28" s="401"/>
      <c r="AG28" s="401"/>
      <c r="AH28" s="401"/>
      <c r="AI28" s="401"/>
      <c r="AJ28" s="401"/>
      <c r="AK28" s="401"/>
      <c r="AL28" s="401"/>
      <c r="AM28" s="401"/>
      <c r="AN28" s="401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</row>
    <row r="29" spans="1:139" ht="15.75" customHeight="1" x14ac:dyDescent="0.25">
      <c r="A29" s="33"/>
      <c r="B29" s="500" t="s">
        <v>123</v>
      </c>
      <c r="C29" s="317" t="s">
        <v>138</v>
      </c>
      <c r="D29" s="317" t="s">
        <v>124</v>
      </c>
      <c r="E29" s="315">
        <f>+D9</f>
        <v>17</v>
      </c>
      <c r="F29" s="316">
        <f>+E30</f>
        <v>18</v>
      </c>
      <c r="G29" s="315">
        <f>+F30</f>
        <v>37</v>
      </c>
      <c r="H29" s="315">
        <f>+G30</f>
        <v>56</v>
      </c>
      <c r="I29" s="509">
        <f>+H30</f>
        <v>75</v>
      </c>
      <c r="J29" s="33"/>
      <c r="K29" s="33"/>
      <c r="L29" s="33"/>
      <c r="M29" s="19"/>
      <c r="N29" s="855" t="s">
        <v>516</v>
      </c>
      <c r="O29" s="856"/>
      <c r="P29" s="856"/>
      <c r="Q29" s="856"/>
      <c r="R29" s="857"/>
      <c r="S29" s="33"/>
      <c r="T29" s="33"/>
      <c r="U29" s="33"/>
      <c r="W29" s="19"/>
      <c r="X29" s="634">
        <v>0.129</v>
      </c>
      <c r="AC29" s="401"/>
      <c r="AD29" s="401"/>
      <c r="AE29" s="401"/>
      <c r="AF29" s="401"/>
      <c r="AG29" s="401"/>
      <c r="AH29" s="401"/>
      <c r="AI29" s="401"/>
      <c r="AJ29" s="401"/>
      <c r="AK29" s="401"/>
      <c r="AL29" s="401"/>
      <c r="AM29" s="401"/>
      <c r="AN29" s="401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</row>
    <row r="30" spans="1:139" ht="15.75" customHeight="1" x14ac:dyDescent="0.25">
      <c r="A30" s="33"/>
      <c r="B30" s="500" t="s">
        <v>125</v>
      </c>
      <c r="C30" s="317" t="s">
        <v>139</v>
      </c>
      <c r="D30" s="317" t="s">
        <v>124</v>
      </c>
      <c r="E30" s="315">
        <v>18</v>
      </c>
      <c r="F30" s="316">
        <f>+F29+19</f>
        <v>37</v>
      </c>
      <c r="G30" s="315">
        <f>+G29+19</f>
        <v>56</v>
      </c>
      <c r="H30" s="315">
        <f>+H29+19</f>
        <v>75</v>
      </c>
      <c r="I30" s="509">
        <f>+D13</f>
        <v>93.4</v>
      </c>
      <c r="J30" s="33"/>
      <c r="K30" s="33"/>
      <c r="L30" s="33"/>
      <c r="M30" s="19"/>
      <c r="N30" s="858"/>
      <c r="O30" s="859"/>
      <c r="P30" s="859"/>
      <c r="Q30" s="859"/>
      <c r="R30" s="860"/>
      <c r="S30" s="33"/>
      <c r="T30" s="33"/>
      <c r="U30" s="33"/>
      <c r="W30" s="19"/>
      <c r="X30" s="634">
        <v>2.7E-2</v>
      </c>
      <c r="AC30" s="401"/>
      <c r="AD30" s="401"/>
      <c r="AE30" s="401"/>
      <c r="AF30" s="401"/>
      <c r="AG30" s="401"/>
      <c r="AH30" s="401"/>
      <c r="AI30" s="401"/>
      <c r="AJ30" s="401"/>
      <c r="AK30" s="401"/>
      <c r="AL30" s="401"/>
      <c r="AM30" s="401"/>
      <c r="AN30" s="401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</row>
    <row r="31" spans="1:139" ht="15.75" thickBot="1" x14ac:dyDescent="0.3">
      <c r="A31" s="33"/>
      <c r="B31" s="494" t="s">
        <v>126</v>
      </c>
      <c r="C31" s="67" t="s">
        <v>140</v>
      </c>
      <c r="D31" s="67" t="s">
        <v>124</v>
      </c>
      <c r="E31" s="67">
        <f t="shared" ref="E31:H31" si="2">(E29+E30)/2</f>
        <v>17.5</v>
      </c>
      <c r="F31" s="495">
        <f t="shared" si="2"/>
        <v>27.5</v>
      </c>
      <c r="G31" s="67">
        <f t="shared" si="2"/>
        <v>46.5</v>
      </c>
      <c r="H31" s="67">
        <f t="shared" si="2"/>
        <v>65.5</v>
      </c>
      <c r="I31" s="499">
        <f t="shared" ref="I31" si="3">(I29+I30)/2</f>
        <v>84.2</v>
      </c>
      <c r="J31" s="33"/>
      <c r="K31" s="33"/>
      <c r="L31" s="33"/>
      <c r="M31" s="19"/>
      <c r="N31" s="861"/>
      <c r="O31" s="862"/>
      <c r="P31" s="862"/>
      <c r="Q31" s="862"/>
      <c r="R31" s="863"/>
      <c r="S31" s="33"/>
      <c r="T31" s="33"/>
      <c r="U31" s="33"/>
      <c r="W31" s="19"/>
      <c r="X31" s="634"/>
      <c r="AC31" s="401"/>
      <c r="AD31" s="401"/>
      <c r="AE31" s="401"/>
      <c r="AF31" s="401"/>
      <c r="AG31" s="401"/>
      <c r="AH31" s="401"/>
      <c r="AI31" s="401"/>
      <c r="AJ31" s="401"/>
      <c r="AK31" s="401"/>
      <c r="AL31" s="401"/>
      <c r="AM31" s="401"/>
      <c r="AN31" s="401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</row>
    <row r="32" spans="1:139" x14ac:dyDescent="0.25">
      <c r="A32" s="33"/>
      <c r="B32" s="498" t="s">
        <v>319</v>
      </c>
      <c r="C32" s="67" t="s">
        <v>127</v>
      </c>
      <c r="D32" s="67" t="s">
        <v>38</v>
      </c>
      <c r="E32" s="147">
        <f>+K6</f>
        <v>326.31729055258472</v>
      </c>
      <c r="F32" s="314">
        <f>+K11</f>
        <v>313.26459893048133</v>
      </c>
      <c r="G32" s="314">
        <f>+(F32*F29)/F30</f>
        <v>152.39899407428823</v>
      </c>
      <c r="H32" s="314">
        <f>+(G32*G29)/G30</f>
        <v>100.69219251336901</v>
      </c>
      <c r="I32" s="150">
        <f>+(H32*H29)/H30</f>
        <v>75.183503743315526</v>
      </c>
      <c r="J32" s="33"/>
      <c r="K32" s="33"/>
      <c r="L32" s="33"/>
      <c r="M32" s="33"/>
      <c r="N32" s="19"/>
      <c r="O32" s="19"/>
      <c r="P32" s="19"/>
      <c r="Q32" s="19"/>
      <c r="R32" s="19"/>
      <c r="S32" s="33"/>
      <c r="T32" s="33"/>
      <c r="U32" s="33"/>
      <c r="W32" s="19"/>
      <c r="X32" s="634"/>
      <c r="AC32" s="401"/>
      <c r="AD32" s="401"/>
      <c r="AE32" s="401"/>
      <c r="AF32" s="401"/>
      <c r="AG32" s="401"/>
      <c r="AH32" s="401"/>
      <c r="AI32" s="401"/>
      <c r="AJ32" s="401"/>
      <c r="AK32" s="401"/>
      <c r="AL32" s="401"/>
      <c r="AM32" s="401"/>
      <c r="AN32" s="401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</row>
    <row r="33" spans="1:139" ht="15.75" thickBot="1" x14ac:dyDescent="0.3">
      <c r="A33" s="33"/>
      <c r="B33" s="498" t="s">
        <v>128</v>
      </c>
      <c r="C33" s="67" t="s">
        <v>129</v>
      </c>
      <c r="D33" s="67" t="s">
        <v>47</v>
      </c>
      <c r="E33" s="147">
        <f t="shared" ref="E33:H33" si="4">4.18*(1-0.006*E31)</f>
        <v>3.7410999999999999</v>
      </c>
      <c r="F33" s="314">
        <f t="shared" si="4"/>
        <v>3.4902999999999995</v>
      </c>
      <c r="G33" s="147">
        <f t="shared" si="4"/>
        <v>3.0137799999999997</v>
      </c>
      <c r="H33" s="147">
        <f t="shared" si="4"/>
        <v>2.5372599999999998</v>
      </c>
      <c r="I33" s="148">
        <f t="shared" ref="I33" si="5">4.18*(1-0.006*I31)</f>
        <v>2.0682640000000001</v>
      </c>
      <c r="J33" s="33"/>
      <c r="K33" s="33"/>
      <c r="L33" s="33"/>
      <c r="M33" s="33"/>
      <c r="N33" s="19"/>
      <c r="O33" s="19"/>
      <c r="P33" s="247"/>
      <c r="Q33" s="19"/>
      <c r="R33" s="19"/>
      <c r="S33" s="33"/>
      <c r="T33" s="33"/>
      <c r="U33" s="33"/>
      <c r="W33" s="19"/>
      <c r="X33" s="634"/>
      <c r="AC33" s="401"/>
      <c r="AD33" s="401"/>
      <c r="AE33" s="401"/>
      <c r="AF33" s="401"/>
      <c r="AG33" s="401"/>
      <c r="AH33" s="401"/>
      <c r="AI33" s="401"/>
      <c r="AJ33" s="401"/>
      <c r="AK33" s="401"/>
      <c r="AL33" s="401"/>
      <c r="AM33" s="401"/>
      <c r="AN33" s="401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C33" s="19"/>
      <c r="DD33" s="19"/>
      <c r="DE33" s="19"/>
      <c r="DF33" s="19"/>
      <c r="DG33" s="19"/>
      <c r="DH33" s="19"/>
      <c r="DI33" s="19"/>
      <c r="DJ33" s="19"/>
      <c r="DK33" s="19"/>
      <c r="DL33" s="19"/>
      <c r="DM33" s="19"/>
      <c r="DN33" s="19"/>
      <c r="DO33" s="19"/>
      <c r="DP33" s="19"/>
      <c r="DQ33" s="19"/>
      <c r="DR33" s="19"/>
      <c r="DS33" s="19"/>
      <c r="DT33" s="19"/>
      <c r="DU33" s="19"/>
      <c r="DV33" s="19"/>
      <c r="DW33" s="19"/>
      <c r="DX33" s="19"/>
      <c r="DY33" s="19"/>
      <c r="DZ33" s="19"/>
      <c r="EA33" s="19"/>
      <c r="EB33" s="19"/>
      <c r="EC33" s="19"/>
      <c r="ED33" s="19"/>
      <c r="EE33" s="19"/>
      <c r="EF33" s="19"/>
      <c r="EG33" s="19"/>
      <c r="EH33" s="19"/>
      <c r="EI33" s="19"/>
    </row>
    <row r="34" spans="1:139" ht="15.75" thickBot="1" x14ac:dyDescent="0.3">
      <c r="A34" s="33"/>
      <c r="B34" s="498" t="s">
        <v>472</v>
      </c>
      <c r="C34" s="313" t="s">
        <v>471</v>
      </c>
      <c r="D34" s="306" t="s">
        <v>51</v>
      </c>
      <c r="E34" s="162">
        <f t="shared" ref="E34:H34" si="6">997.39+4.46*E31</f>
        <v>1075.44</v>
      </c>
      <c r="F34" s="162">
        <f t="shared" si="6"/>
        <v>1120.04</v>
      </c>
      <c r="G34" s="162">
        <f t="shared" si="6"/>
        <v>1204.78</v>
      </c>
      <c r="H34" s="162">
        <f t="shared" si="6"/>
        <v>1289.52</v>
      </c>
      <c r="I34" s="312">
        <f t="shared" ref="I34" si="7">997.39+4.46*I31</f>
        <v>1372.922</v>
      </c>
      <c r="J34" s="33"/>
      <c r="K34" s="33"/>
      <c r="L34" s="33"/>
      <c r="M34" s="33"/>
      <c r="N34" s="743" t="s">
        <v>518</v>
      </c>
      <c r="O34" s="744"/>
      <c r="P34" s="346" t="s">
        <v>68</v>
      </c>
      <c r="Q34" s="364">
        <f>+SUM(E41:J41)</f>
        <v>200.89420031181444</v>
      </c>
      <c r="R34" s="347" t="s">
        <v>19</v>
      </c>
      <c r="S34" s="33"/>
      <c r="T34" s="33"/>
      <c r="U34" s="33"/>
      <c r="W34" s="19"/>
      <c r="X34" s="634"/>
      <c r="AC34" s="401"/>
      <c r="AD34" s="401"/>
      <c r="AE34" s="401"/>
      <c r="AF34" s="401"/>
      <c r="AG34" s="401"/>
      <c r="AH34" s="401"/>
      <c r="AI34" s="401"/>
      <c r="AJ34" s="401"/>
      <c r="AK34" s="401"/>
      <c r="AL34" s="401"/>
      <c r="AM34" s="401"/>
      <c r="AN34" s="401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19"/>
      <c r="DS34" s="19"/>
      <c r="DT34" s="19"/>
      <c r="DU34" s="19"/>
      <c r="DV34" s="19"/>
      <c r="DW34" s="19"/>
      <c r="DX34" s="19"/>
      <c r="DY34" s="19"/>
      <c r="DZ34" s="19"/>
      <c r="EA34" s="19"/>
      <c r="EB34" s="19"/>
      <c r="EC34" s="19"/>
      <c r="ED34" s="19"/>
      <c r="EE34" s="19"/>
      <c r="EF34" s="19"/>
      <c r="EG34" s="19"/>
      <c r="EH34" s="19"/>
      <c r="EI34" s="19"/>
    </row>
    <row r="35" spans="1:139" ht="15.75" thickBot="1" x14ac:dyDescent="0.3">
      <c r="A35" s="33"/>
      <c r="B35" s="311" t="s">
        <v>450</v>
      </c>
      <c r="C35" s="310" t="s">
        <v>470</v>
      </c>
      <c r="D35" s="310" t="s">
        <v>469</v>
      </c>
      <c r="E35" s="160">
        <f t="shared" ref="E35:H35" si="8">+E32/E34</f>
        <v>0.30342677467137608</v>
      </c>
      <c r="F35" s="160">
        <f t="shared" si="8"/>
        <v>0.27969054581129366</v>
      </c>
      <c r="G35" s="160">
        <f t="shared" si="8"/>
        <v>0.12649528882807504</v>
      </c>
      <c r="H35" s="160">
        <f t="shared" si="8"/>
        <v>7.8085018079106186E-2</v>
      </c>
      <c r="I35" s="161">
        <f t="shared" ref="I35" si="9">+I32/I34</f>
        <v>5.4761671634160951E-2</v>
      </c>
      <c r="J35" s="33"/>
      <c r="K35" s="33"/>
      <c r="L35" s="33"/>
      <c r="M35" s="33"/>
      <c r="N35" s="19"/>
      <c r="O35" s="19"/>
      <c r="P35" s="19"/>
      <c r="Q35" s="33"/>
      <c r="R35" s="33"/>
      <c r="S35" s="33"/>
      <c r="T35" s="33"/>
      <c r="U35" s="33"/>
      <c r="W35" s="19"/>
      <c r="X35" s="634"/>
      <c r="AC35" s="401"/>
      <c r="AD35" s="401"/>
      <c r="AE35" s="401"/>
      <c r="AF35" s="401"/>
      <c r="AG35" s="401"/>
      <c r="AH35" s="401"/>
      <c r="AI35" s="401"/>
      <c r="AJ35" s="401"/>
      <c r="AK35" s="401"/>
      <c r="AL35" s="401"/>
      <c r="AM35" s="401"/>
      <c r="AN35" s="401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</row>
    <row r="36" spans="1:139" ht="15.75" thickBot="1" x14ac:dyDescent="0.3">
      <c r="A36" s="33"/>
      <c r="B36" s="70" t="s">
        <v>450</v>
      </c>
      <c r="C36" s="71" t="s">
        <v>468</v>
      </c>
      <c r="D36" s="71" t="s">
        <v>451</v>
      </c>
      <c r="E36" s="379">
        <f t="shared" ref="E36:H36" si="10">+E35*1000</f>
        <v>303.42677467137605</v>
      </c>
      <c r="F36" s="379">
        <f t="shared" si="10"/>
        <v>279.69054581129365</v>
      </c>
      <c r="G36" s="379">
        <f t="shared" si="10"/>
        <v>126.49528882807503</v>
      </c>
      <c r="H36" s="379">
        <f t="shared" si="10"/>
        <v>78.085018079106192</v>
      </c>
      <c r="I36" s="380">
        <f t="shared" ref="I36" si="11">+I35*1000</f>
        <v>54.761671634160948</v>
      </c>
      <c r="J36" s="33"/>
      <c r="K36" s="33"/>
      <c r="L36" s="33"/>
      <c r="M36" s="33"/>
      <c r="N36" s="19"/>
      <c r="O36" s="19"/>
      <c r="P36" s="19"/>
      <c r="Q36" s="33"/>
      <c r="R36" s="19"/>
      <c r="S36" s="33"/>
      <c r="T36" s="33"/>
      <c r="U36" s="33"/>
      <c r="W36" s="19"/>
      <c r="X36" s="635"/>
      <c r="Y36" s="19"/>
      <c r="Z36" s="247"/>
      <c r="AA36" s="19"/>
      <c r="AB36" s="19"/>
      <c r="AC36" s="401"/>
      <c r="AD36" s="401"/>
      <c r="AE36" s="401"/>
      <c r="AF36" s="401"/>
      <c r="AG36" s="401"/>
      <c r="AH36" s="401"/>
      <c r="AI36" s="401"/>
      <c r="AJ36" s="401"/>
      <c r="AK36" s="401"/>
      <c r="AL36" s="401"/>
      <c r="AM36" s="401"/>
      <c r="AN36" s="401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C36" s="19"/>
      <c r="DD36" s="19"/>
      <c r="DE36" s="19"/>
      <c r="DF36" s="19"/>
      <c r="DG36" s="19"/>
      <c r="DH36" s="19"/>
      <c r="DI36" s="19"/>
      <c r="DJ36" s="19"/>
      <c r="DK36" s="19"/>
      <c r="DL36" s="19"/>
      <c r="DM36" s="19"/>
      <c r="DN36" s="19"/>
      <c r="DO36" s="19"/>
      <c r="DP36" s="19"/>
      <c r="DQ36" s="19"/>
      <c r="DR36" s="19"/>
      <c r="DS36" s="19"/>
      <c r="DT36" s="19"/>
      <c r="DU36" s="19"/>
      <c r="DV36" s="19"/>
      <c r="DW36" s="19"/>
      <c r="DX36" s="19"/>
      <c r="DY36" s="19"/>
      <c r="DZ36" s="19"/>
      <c r="EA36" s="19"/>
      <c r="EB36" s="19"/>
      <c r="EC36" s="19"/>
      <c r="ED36" s="19"/>
      <c r="EE36" s="19"/>
      <c r="EF36" s="19"/>
      <c r="EG36" s="19"/>
      <c r="EH36" s="19"/>
      <c r="EI36" s="19"/>
    </row>
    <row r="37" spans="1:139" x14ac:dyDescent="0.25">
      <c r="A37" s="33"/>
      <c r="B37" s="498" t="s">
        <v>467</v>
      </c>
      <c r="C37" s="67" t="s">
        <v>130</v>
      </c>
      <c r="D37" s="67" t="s">
        <v>131</v>
      </c>
      <c r="E37" s="147">
        <f>+D9</f>
        <v>17</v>
      </c>
      <c r="F37" s="147">
        <f t="shared" ref="E37:H38" si="12">$D$22+0.2209*EXP(0.0557*F29)</f>
        <v>97.181710908145178</v>
      </c>
      <c r="G37" s="147">
        <f t="shared" si="12"/>
        <v>98.314414493413452</v>
      </c>
      <c r="H37" s="147">
        <f t="shared" si="12"/>
        <v>101.57826399827711</v>
      </c>
      <c r="I37" s="148">
        <f t="shared" ref="I37" si="13">$D$22+0.2209*EXP(0.0557*I29)</f>
        <v>110.98294297073372</v>
      </c>
      <c r="J37" s="33"/>
      <c r="K37" s="33"/>
      <c r="L37" s="33"/>
      <c r="M37" s="33"/>
      <c r="N37" s="19"/>
      <c r="O37" s="19"/>
      <c r="P37" s="19"/>
      <c r="Q37" s="33"/>
      <c r="R37" s="33"/>
      <c r="S37" s="33"/>
      <c r="T37" s="33"/>
      <c r="U37" s="33"/>
      <c r="W37" s="19"/>
      <c r="X37" s="288"/>
      <c r="Y37" s="19"/>
      <c r="Z37" s="247"/>
      <c r="AA37" s="19"/>
      <c r="AB37" s="19"/>
      <c r="AC37" s="401"/>
      <c r="AD37" s="401"/>
      <c r="AE37" s="401"/>
      <c r="AF37" s="401"/>
      <c r="AG37" s="401"/>
      <c r="AH37" s="401"/>
      <c r="AI37" s="401"/>
      <c r="AJ37" s="401"/>
      <c r="AK37" s="401"/>
      <c r="AL37" s="401"/>
      <c r="AM37" s="401"/>
      <c r="AN37" s="401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9"/>
      <c r="DI37" s="19"/>
      <c r="DJ37" s="19"/>
      <c r="DK37" s="19"/>
      <c r="DL37" s="19"/>
      <c r="DM37" s="19"/>
      <c r="DN37" s="19"/>
      <c r="DO37" s="19"/>
      <c r="DP37" s="19"/>
      <c r="DQ37" s="19"/>
      <c r="DR37" s="19"/>
      <c r="DS37" s="19"/>
      <c r="DT37" s="19"/>
      <c r="DU37" s="19"/>
      <c r="DV37" s="19"/>
      <c r="DW37" s="19"/>
      <c r="DX37" s="19"/>
      <c r="DY37" s="19"/>
      <c r="DZ37" s="19"/>
      <c r="EA37" s="19"/>
      <c r="EB37" s="19"/>
      <c r="EC37" s="19"/>
      <c r="ED37" s="19"/>
      <c r="EE37" s="19"/>
      <c r="EF37" s="19"/>
      <c r="EG37" s="19"/>
      <c r="EH37" s="19"/>
      <c r="EI37" s="19"/>
    </row>
    <row r="38" spans="1:139" x14ac:dyDescent="0.25">
      <c r="A38" s="33"/>
      <c r="B38" s="498" t="s">
        <v>466</v>
      </c>
      <c r="C38" s="67" t="s">
        <v>130</v>
      </c>
      <c r="D38" s="67" t="s">
        <v>131</v>
      </c>
      <c r="E38" s="147">
        <f t="shared" si="12"/>
        <v>97.181710908145178</v>
      </c>
      <c r="F38" s="147">
        <f t="shared" si="12"/>
        <v>98.314414493413452</v>
      </c>
      <c r="G38" s="147">
        <f t="shared" si="12"/>
        <v>101.57826399827711</v>
      </c>
      <c r="H38" s="147">
        <f t="shared" si="12"/>
        <v>110.98294297073372</v>
      </c>
      <c r="I38" s="148">
        <f t="shared" ref="I38" si="14">$D$22+0.2209*EXP(0.0557*I30)</f>
        <v>136.71813336403685</v>
      </c>
      <c r="J38" s="33"/>
      <c r="K38" s="33"/>
      <c r="L38" s="33"/>
      <c r="M38" s="33"/>
      <c r="N38" s="19"/>
      <c r="O38" s="19"/>
      <c r="P38" s="19"/>
      <c r="Q38" s="33"/>
      <c r="R38" s="33"/>
      <c r="S38" s="33"/>
      <c r="T38" s="33"/>
      <c r="U38" s="33"/>
      <c r="W38" s="19"/>
      <c r="X38" s="288"/>
      <c r="Y38" s="19"/>
      <c r="Z38" s="247"/>
      <c r="AA38" s="19"/>
      <c r="AB38" s="19"/>
      <c r="AC38" s="401"/>
      <c r="AD38" s="401"/>
      <c r="AE38" s="401"/>
      <c r="AF38" s="401"/>
      <c r="AG38" s="401"/>
      <c r="AH38" s="401"/>
      <c r="AI38" s="401"/>
      <c r="AJ38" s="401"/>
      <c r="AK38" s="401"/>
      <c r="AL38" s="401"/>
      <c r="AM38" s="401"/>
      <c r="AN38" s="401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  <c r="DE38" s="19"/>
      <c r="DF38" s="19"/>
      <c r="DG38" s="19"/>
      <c r="DH38" s="19"/>
      <c r="DI38" s="19"/>
      <c r="DJ38" s="19"/>
      <c r="DK38" s="19"/>
      <c r="DL38" s="19"/>
      <c r="DM38" s="19"/>
      <c r="DN38" s="19"/>
      <c r="DO38" s="19"/>
      <c r="DP38" s="19"/>
      <c r="DQ38" s="19"/>
      <c r="DR38" s="19"/>
      <c r="DS38" s="19"/>
      <c r="DT38" s="19"/>
      <c r="DU38" s="19"/>
      <c r="DV38" s="19"/>
      <c r="DW38" s="19"/>
      <c r="DX38" s="19"/>
      <c r="DY38" s="19"/>
      <c r="DZ38" s="19"/>
      <c r="EA38" s="19"/>
      <c r="EB38" s="19"/>
      <c r="EC38" s="19"/>
      <c r="ED38" s="19"/>
      <c r="EE38" s="19"/>
      <c r="EF38" s="19"/>
      <c r="EG38" s="19"/>
      <c r="EH38" s="19"/>
      <c r="EI38" s="19"/>
    </row>
    <row r="39" spans="1:139" x14ac:dyDescent="0.25">
      <c r="A39" s="33"/>
      <c r="B39" s="498" t="s">
        <v>132</v>
      </c>
      <c r="C39" s="68" t="s">
        <v>133</v>
      </c>
      <c r="D39" s="67" t="s">
        <v>33</v>
      </c>
      <c r="E39" s="147">
        <f t="shared" ref="E39:H39" si="15">2492.9-2.0523*E37-0.0030752*E37^2</f>
        <v>2457.1221672000001</v>
      </c>
      <c r="F39" s="147">
        <f t="shared" si="15"/>
        <v>2264.4109096709963</v>
      </c>
      <c r="G39" s="147">
        <f t="shared" si="15"/>
        <v>2261.4052923915115</v>
      </c>
      <c r="H39" s="147">
        <f t="shared" si="15"/>
        <v>2252.700573238114</v>
      </c>
      <c r="I39" s="148">
        <f t="shared" ref="I39" si="16">2492.9-2.0523*I37-0.0030752*I37^2</f>
        <v>2227.2518107848186</v>
      </c>
      <c r="J39" s="33"/>
      <c r="K39" s="33"/>
      <c r="L39" s="33"/>
      <c r="M39" s="33"/>
      <c r="N39" s="19"/>
      <c r="O39" s="19"/>
      <c r="P39" s="19"/>
      <c r="Q39" s="33"/>
      <c r="R39" s="19"/>
      <c r="S39" s="33"/>
      <c r="T39" s="33"/>
      <c r="U39" s="33"/>
      <c r="W39" s="19"/>
      <c r="X39" s="288"/>
      <c r="Y39" s="19"/>
      <c r="Z39" s="247"/>
      <c r="AA39" s="19"/>
      <c r="AB39" s="19"/>
      <c r="AC39" s="401"/>
      <c r="AD39" s="401"/>
      <c r="AE39" s="401"/>
      <c r="AF39" s="401"/>
      <c r="AG39" s="401"/>
      <c r="AH39" s="401"/>
      <c r="AI39" s="401"/>
      <c r="AJ39" s="401"/>
      <c r="AK39" s="401"/>
      <c r="AL39" s="401"/>
      <c r="AM39" s="401"/>
      <c r="AN39" s="401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</row>
    <row r="40" spans="1:139" ht="15.75" thickBot="1" x14ac:dyDescent="0.3">
      <c r="A40" s="33"/>
      <c r="B40" s="502" t="s">
        <v>134</v>
      </c>
      <c r="C40" s="69" t="s">
        <v>135</v>
      </c>
      <c r="D40" s="69" t="s">
        <v>38</v>
      </c>
      <c r="E40" s="120">
        <f t="shared" ref="E40:H40" si="17">+E32-(E32*E29/E30)</f>
        <v>18.128738364032529</v>
      </c>
      <c r="F40" s="120">
        <f t="shared" si="17"/>
        <v>160.8656048561931</v>
      </c>
      <c r="G40" s="120">
        <f t="shared" si="17"/>
        <v>51.706801560919217</v>
      </c>
      <c r="H40" s="120">
        <f t="shared" si="17"/>
        <v>25.508688770053482</v>
      </c>
      <c r="I40" s="307">
        <f t="shared" ref="I40" si="18">+I32-(I32*I29/I30)</f>
        <v>14.811311229946533</v>
      </c>
      <c r="J40" s="33"/>
      <c r="K40" s="33"/>
      <c r="L40" s="33"/>
      <c r="M40" s="366"/>
      <c r="N40" s="365"/>
      <c r="O40" s="33"/>
      <c r="P40" s="33"/>
      <c r="Q40" s="33"/>
      <c r="R40" s="33"/>
      <c r="S40" s="33"/>
      <c r="T40" s="33"/>
      <c r="U40" s="33"/>
      <c r="W40" s="19"/>
      <c r="X40" s="631"/>
      <c r="Y40" s="19"/>
      <c r="Z40" s="247"/>
      <c r="AA40" s="19"/>
      <c r="AB40" s="19"/>
      <c r="AC40" s="401"/>
      <c r="AD40" s="401"/>
      <c r="AE40" s="401"/>
      <c r="AF40" s="401"/>
      <c r="AG40" s="401"/>
      <c r="AH40" s="401"/>
      <c r="AI40" s="401"/>
      <c r="AJ40" s="401"/>
      <c r="AK40" s="401"/>
      <c r="AL40" s="401"/>
      <c r="AM40" s="401"/>
      <c r="AN40" s="401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</row>
    <row r="41" spans="1:139" ht="15.75" thickBot="1" x14ac:dyDescent="0.3">
      <c r="A41" s="33"/>
      <c r="B41" s="70" t="s">
        <v>136</v>
      </c>
      <c r="C41" s="71" t="s">
        <v>137</v>
      </c>
      <c r="D41" s="71" t="s">
        <v>19</v>
      </c>
      <c r="E41" s="71">
        <f t="shared" ref="E41:H41" si="19">(E32*E33*(E38- E37)+E40*E39)/3600</f>
        <v>39.563667837614524</v>
      </c>
      <c r="F41" s="71">
        <f t="shared" si="19"/>
        <v>101.52897624689882</v>
      </c>
      <c r="G41" s="71">
        <f t="shared" si="19"/>
        <v>32.896975311185741</v>
      </c>
      <c r="H41" s="71">
        <f t="shared" si="19"/>
        <v>16.629490713807375</v>
      </c>
      <c r="I41" s="72">
        <f t="shared" ref="I41" si="20">(I32*I33*(I38- I37)+I40*I39)/3600</f>
        <v>10.275090202307988</v>
      </c>
      <c r="J41" s="33"/>
      <c r="K41" s="33"/>
      <c r="L41" s="33"/>
      <c r="M41" s="19"/>
      <c r="N41" s="19"/>
      <c r="O41" s="19"/>
      <c r="P41" s="19"/>
      <c r="Q41" s="33"/>
      <c r="R41" s="19"/>
      <c r="S41" s="33"/>
      <c r="T41" s="33"/>
      <c r="U41" s="33"/>
      <c r="W41" s="19"/>
      <c r="X41" s="632">
        <f>+SUM(X27:X36)</f>
        <v>0.56900000000000006</v>
      </c>
      <c r="Y41" s="19"/>
      <c r="Z41" s="247"/>
      <c r="AA41" s="19"/>
      <c r="AB41" s="19"/>
      <c r="AC41" s="401"/>
      <c r="AD41" s="401"/>
      <c r="AE41" s="401"/>
      <c r="AF41" s="401"/>
      <c r="AG41" s="401"/>
      <c r="AH41" s="401"/>
      <c r="AI41" s="401"/>
      <c r="AJ41" s="401"/>
      <c r="AK41" s="401"/>
      <c r="AL41" s="401"/>
      <c r="AM41" s="401"/>
      <c r="AN41" s="401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</row>
    <row r="42" spans="1:139" ht="15.75" thickBo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W42" s="19"/>
      <c r="X42" s="19"/>
      <c r="Y42" s="19"/>
      <c r="Z42" s="247"/>
      <c r="AA42" s="19"/>
      <c r="AB42" s="19"/>
      <c r="AC42" s="401"/>
      <c r="AD42" s="401"/>
      <c r="AE42" s="401"/>
      <c r="AF42" s="401"/>
      <c r="AG42" s="401"/>
      <c r="AH42" s="401"/>
      <c r="AI42" s="401"/>
      <c r="AJ42" s="401"/>
      <c r="AK42" s="401"/>
      <c r="AL42" s="401"/>
      <c r="AM42" s="401"/>
      <c r="AN42" s="401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</row>
    <row r="43" spans="1:139" ht="15.75" thickBot="1" x14ac:dyDescent="0.3">
      <c r="A43" s="846" t="s">
        <v>515</v>
      </c>
      <c r="B43" s="847"/>
      <c r="C43" s="847"/>
      <c r="D43" s="847"/>
      <c r="E43" s="847"/>
      <c r="F43" s="847"/>
      <c r="G43" s="847"/>
      <c r="H43" s="847"/>
      <c r="I43" s="847"/>
      <c r="J43" s="847"/>
      <c r="K43" s="847"/>
      <c r="L43" s="847"/>
      <c r="M43" s="847"/>
      <c r="N43" s="847"/>
      <c r="O43" s="847"/>
      <c r="P43" s="847"/>
      <c r="Q43" s="847"/>
      <c r="R43" s="847"/>
      <c r="S43" s="847"/>
      <c r="T43" s="847"/>
      <c r="U43" s="848"/>
      <c r="W43" s="19"/>
      <c r="X43" s="19">
        <f>3.412-0.847</f>
        <v>2.5649999999999999</v>
      </c>
      <c r="Y43" s="19"/>
      <c r="Z43" s="247"/>
      <c r="AA43" s="19"/>
      <c r="AB43" s="19"/>
      <c r="AC43" s="401"/>
      <c r="AD43" s="401"/>
      <c r="AE43" s="401"/>
      <c r="AF43" s="401"/>
      <c r="AG43" s="401"/>
      <c r="AH43" s="401"/>
      <c r="AI43" s="401"/>
      <c r="AJ43" s="401"/>
      <c r="AK43" s="401"/>
      <c r="AL43" s="401"/>
      <c r="AM43" s="401"/>
      <c r="AN43" s="401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</row>
    <row r="44" spans="1:139" ht="15.75" thickBo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103"/>
      <c r="K44" s="103"/>
      <c r="L44" s="103"/>
      <c r="M44" s="33"/>
      <c r="N44" s="33"/>
      <c r="O44" s="33"/>
      <c r="P44" s="33"/>
      <c r="Q44" s="33"/>
      <c r="R44" s="33"/>
      <c r="S44" s="33"/>
      <c r="T44" s="33"/>
      <c r="U44" s="33"/>
      <c r="W44" s="19"/>
      <c r="X44" s="19"/>
      <c r="Y44" s="19"/>
      <c r="Z44" s="247"/>
      <c r="AA44" s="19"/>
      <c r="AB44" s="19"/>
      <c r="AC44" s="401"/>
      <c r="AD44" s="401"/>
      <c r="AE44" s="401"/>
      <c r="AF44" s="401"/>
      <c r="AG44" s="401"/>
      <c r="AH44" s="401"/>
      <c r="AI44" s="401"/>
      <c r="AJ44" s="401"/>
      <c r="AK44" s="401"/>
      <c r="AL44" s="401"/>
      <c r="AM44" s="401"/>
      <c r="AN44" s="401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</row>
    <row r="45" spans="1:139" ht="15" customHeight="1" x14ac:dyDescent="0.25">
      <c r="A45" s="33"/>
      <c r="B45" s="370" t="s">
        <v>78</v>
      </c>
      <c r="C45" s="348" t="s">
        <v>79</v>
      </c>
      <c r="D45" s="371" t="s">
        <v>43</v>
      </c>
      <c r="E45" s="370">
        <f>+E26</f>
        <v>1</v>
      </c>
      <c r="F45" s="492">
        <f t="shared" ref="F45:H45" si="21">+F26</f>
        <v>2</v>
      </c>
      <c r="G45" s="492">
        <f t="shared" si="21"/>
        <v>3</v>
      </c>
      <c r="H45" s="492">
        <f t="shared" si="21"/>
        <v>4</v>
      </c>
      <c r="I45" s="493">
        <f t="shared" ref="I45" si="22">+I26</f>
        <v>5</v>
      </c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W45" s="19"/>
      <c r="X45" s="19"/>
      <c r="Y45" s="19"/>
      <c r="Z45" s="247"/>
      <c r="AA45" s="19"/>
      <c r="AB45" s="19"/>
      <c r="AC45" s="401"/>
      <c r="AD45" s="401"/>
      <c r="AE45" s="401"/>
      <c r="AF45" s="401"/>
      <c r="AG45" s="401"/>
      <c r="AH45" s="401"/>
      <c r="AI45" s="401"/>
      <c r="AJ45" s="401"/>
      <c r="AK45" s="401"/>
      <c r="AL45" s="401"/>
      <c r="AM45" s="401"/>
      <c r="AN45" s="401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19"/>
      <c r="CJ45" s="19"/>
      <c r="CK45" s="19"/>
      <c r="CL45" s="19"/>
      <c r="CM45" s="19"/>
      <c r="CN45" s="19"/>
      <c r="CO45" s="19"/>
      <c r="CP45" s="19"/>
      <c r="CQ45" s="19"/>
      <c r="CR45" s="19"/>
      <c r="CS45" s="19"/>
      <c r="CT45" s="19"/>
      <c r="CU45" s="19"/>
      <c r="CV45" s="19"/>
      <c r="CW45" s="19"/>
      <c r="CX45" s="19"/>
      <c r="CY45" s="19"/>
      <c r="CZ45" s="19"/>
      <c r="DA45" s="19"/>
      <c r="DB45" s="19"/>
      <c r="DC45" s="19"/>
      <c r="DD45" s="19"/>
      <c r="DE45" s="19"/>
      <c r="DF45" s="19"/>
      <c r="DG45" s="19"/>
      <c r="DH45" s="19"/>
      <c r="DI45" s="19"/>
      <c r="DJ45" s="19"/>
      <c r="DK45" s="19"/>
      <c r="DL45" s="19"/>
      <c r="DM45" s="19"/>
      <c r="DN45" s="19"/>
      <c r="DO45" s="19"/>
      <c r="DP45" s="19"/>
      <c r="DQ45" s="19"/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  <c r="EG45" s="19"/>
      <c r="EH45" s="19"/>
      <c r="EI45" s="19"/>
    </row>
    <row r="46" spans="1:139" ht="15" customHeight="1" x14ac:dyDescent="0.25">
      <c r="A46" s="33"/>
      <c r="B46" s="349" t="s">
        <v>80</v>
      </c>
      <c r="C46" s="337" t="s">
        <v>81</v>
      </c>
      <c r="D46" s="372" t="s">
        <v>43</v>
      </c>
      <c r="E46" s="580">
        <f>+E28</f>
        <v>1</v>
      </c>
      <c r="F46" s="581">
        <f t="shared" ref="F46:H46" si="23">+F28</f>
        <v>2</v>
      </c>
      <c r="G46" s="581">
        <f t="shared" si="23"/>
        <v>3</v>
      </c>
      <c r="H46" s="581">
        <f t="shared" si="23"/>
        <v>4</v>
      </c>
      <c r="I46" s="586">
        <f t="shared" ref="I46" si="24">+I28</f>
        <v>5</v>
      </c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W46" s="19"/>
      <c r="X46" s="19"/>
      <c r="Y46" s="19"/>
      <c r="Z46" s="247"/>
      <c r="AA46" s="19"/>
      <c r="AB46" s="19"/>
      <c r="AC46" s="401"/>
      <c r="AD46" s="401"/>
      <c r="AE46" s="401"/>
      <c r="AF46" s="401"/>
      <c r="AG46" s="401"/>
      <c r="AH46" s="401"/>
      <c r="AI46" s="401"/>
      <c r="AJ46" s="401"/>
      <c r="AK46" s="401"/>
      <c r="AL46" s="401"/>
      <c r="AM46" s="401"/>
      <c r="AN46" s="401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C46" s="19"/>
      <c r="DD46" s="19"/>
      <c r="DE46" s="19"/>
      <c r="DF46" s="19"/>
      <c r="DG46" s="19"/>
      <c r="DH46" s="19"/>
      <c r="DI46" s="19"/>
      <c r="DJ46" s="19"/>
      <c r="DK46" s="19"/>
      <c r="DL46" s="19"/>
      <c r="DM46" s="19"/>
      <c r="DN46" s="19"/>
      <c r="DO46" s="19"/>
      <c r="DP46" s="19"/>
      <c r="DQ46" s="19"/>
      <c r="DR46" s="19"/>
      <c r="DS46" s="19"/>
      <c r="DT46" s="19"/>
      <c r="DU46" s="19"/>
      <c r="DV46" s="19"/>
      <c r="DW46" s="19"/>
      <c r="DX46" s="19"/>
      <c r="DY46" s="19"/>
      <c r="DZ46" s="19"/>
      <c r="EA46" s="19"/>
      <c r="EB46" s="19"/>
      <c r="EC46" s="19"/>
      <c r="ED46" s="19"/>
      <c r="EE46" s="19"/>
      <c r="EF46" s="19"/>
      <c r="EG46" s="19"/>
      <c r="EH46" s="19"/>
      <c r="EI46" s="19"/>
    </row>
    <row r="47" spans="1:139" ht="15" customHeight="1" thickBot="1" x14ac:dyDescent="0.3">
      <c r="A47" s="33"/>
      <c r="B47" s="373" t="s">
        <v>82</v>
      </c>
      <c r="C47" s="339" t="s">
        <v>83</v>
      </c>
      <c r="D47" s="374" t="s">
        <v>43</v>
      </c>
      <c r="E47" s="587" t="str">
        <f>+E27</f>
        <v>Semiesferica</v>
      </c>
      <c r="F47" s="588" t="str">
        <f t="shared" ref="F47:H47" si="25">+F27</f>
        <v>Semiesferica</v>
      </c>
      <c r="G47" s="588" t="str">
        <f t="shared" si="25"/>
        <v>Semiesferica</v>
      </c>
      <c r="H47" s="588" t="str">
        <f t="shared" si="25"/>
        <v>Semiesferica</v>
      </c>
      <c r="I47" s="378" t="str">
        <f t="shared" ref="I47" si="26">+I27</f>
        <v>Semiesferica</v>
      </c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W47" s="247"/>
      <c r="X47" s="247"/>
      <c r="Y47" s="247"/>
      <c r="Z47" s="247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19"/>
      <c r="CX47" s="19"/>
      <c r="CY47" s="19"/>
      <c r="CZ47" s="19"/>
      <c r="DA47" s="19"/>
      <c r="DB47" s="19"/>
      <c r="DC47" s="19"/>
      <c r="DD47" s="19"/>
      <c r="DE47" s="19"/>
      <c r="DF47" s="19"/>
      <c r="DG47" s="19"/>
      <c r="DH47" s="19"/>
      <c r="DI47" s="19"/>
      <c r="DJ47" s="19"/>
      <c r="DK47" s="19"/>
      <c r="DL47" s="19"/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  <c r="EG47" s="19"/>
      <c r="EH47" s="19"/>
      <c r="EI47" s="19"/>
    </row>
    <row r="48" spans="1:139" ht="15" customHeight="1" x14ac:dyDescent="0.25">
      <c r="A48" s="33"/>
      <c r="B48" s="375" t="s">
        <v>84</v>
      </c>
      <c r="C48" s="376" t="s">
        <v>85</v>
      </c>
      <c r="D48" s="377" t="s">
        <v>60</v>
      </c>
      <c r="E48" s="453">
        <v>0.4</v>
      </c>
      <c r="F48" s="454">
        <v>0.5</v>
      </c>
      <c r="G48" s="455">
        <v>0.3</v>
      </c>
      <c r="H48" s="455">
        <v>0.3</v>
      </c>
      <c r="I48" s="606">
        <v>0.3</v>
      </c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W48" s="247"/>
      <c r="X48" s="247"/>
      <c r="Y48" s="247"/>
      <c r="Z48" s="247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C48" s="19"/>
      <c r="DD48" s="19"/>
      <c r="DE48" s="19"/>
      <c r="DF48" s="19"/>
      <c r="DG48" s="19"/>
      <c r="DH48" s="19"/>
      <c r="DI48" s="19"/>
      <c r="DJ48" s="19"/>
      <c r="DK48" s="19"/>
      <c r="DL48" s="19"/>
      <c r="DM48" s="19"/>
      <c r="DN48" s="19"/>
      <c r="DO48" s="19"/>
      <c r="DP48" s="19"/>
      <c r="DQ48" s="19"/>
      <c r="DR48" s="19"/>
      <c r="DS48" s="19"/>
      <c r="DT48" s="19"/>
      <c r="DU48" s="19"/>
      <c r="DV48" s="19"/>
      <c r="DW48" s="19"/>
      <c r="DX48" s="19"/>
      <c r="DY48" s="19"/>
      <c r="DZ48" s="19"/>
      <c r="EA48" s="19"/>
      <c r="EB48" s="19"/>
      <c r="EC48" s="19"/>
      <c r="ED48" s="19"/>
      <c r="EE48" s="19"/>
      <c r="EF48" s="19"/>
      <c r="EG48" s="19"/>
      <c r="EH48" s="19"/>
      <c r="EI48" s="19"/>
    </row>
    <row r="49" spans="1:139" ht="15" customHeight="1" x14ac:dyDescent="0.25">
      <c r="A49" s="33"/>
      <c r="B49" s="349" t="s">
        <v>86</v>
      </c>
      <c r="C49" s="337" t="s">
        <v>87</v>
      </c>
      <c r="D49" s="372" t="s">
        <v>60</v>
      </c>
      <c r="E49" s="456">
        <v>1.2</v>
      </c>
      <c r="F49" s="457">
        <v>1.2</v>
      </c>
      <c r="G49" s="458">
        <v>0.8</v>
      </c>
      <c r="H49" s="458">
        <v>0.8</v>
      </c>
      <c r="I49" s="607">
        <v>0.8</v>
      </c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W49" s="247"/>
      <c r="X49" s="247"/>
      <c r="Y49" s="247"/>
      <c r="Z49" s="247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19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19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19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</row>
    <row r="50" spans="1:139" ht="15" customHeight="1" x14ac:dyDescent="0.25">
      <c r="A50" s="33"/>
      <c r="B50" s="349" t="s">
        <v>88</v>
      </c>
      <c r="C50" s="337" t="s">
        <v>89</v>
      </c>
      <c r="D50" s="372" t="s">
        <v>60</v>
      </c>
      <c r="E50" s="456">
        <v>0.5</v>
      </c>
      <c r="F50" s="457">
        <v>0.5</v>
      </c>
      <c r="G50" s="458">
        <v>0.3</v>
      </c>
      <c r="H50" s="458">
        <v>0.3</v>
      </c>
      <c r="I50" s="607">
        <v>0.3</v>
      </c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W50" s="247"/>
      <c r="X50" s="247"/>
      <c r="Y50" s="247"/>
      <c r="Z50" s="247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19"/>
      <c r="CR50" s="19"/>
      <c r="CS50" s="19"/>
      <c r="CT50" s="19"/>
      <c r="CU50" s="19"/>
      <c r="CV50" s="19"/>
      <c r="CW50" s="19"/>
      <c r="CX50" s="19"/>
      <c r="CY50" s="19"/>
      <c r="CZ50" s="19"/>
      <c r="DA50" s="19"/>
      <c r="DB50" s="19"/>
      <c r="DC50" s="19"/>
      <c r="DD50" s="19"/>
      <c r="DE50" s="19"/>
      <c r="DF50" s="19"/>
      <c r="DG50" s="19"/>
      <c r="DH50" s="19"/>
      <c r="DI50" s="19"/>
      <c r="DJ50" s="19"/>
      <c r="DK50" s="19"/>
      <c r="DL50" s="19"/>
      <c r="DM50" s="19"/>
      <c r="DN50" s="19"/>
      <c r="DO50" s="19"/>
      <c r="DP50" s="19"/>
      <c r="DQ50" s="19"/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  <c r="EG50" s="19"/>
      <c r="EH50" s="19"/>
      <c r="EI50" s="19"/>
    </row>
    <row r="51" spans="1:139" ht="15" customHeight="1" x14ac:dyDescent="0.25">
      <c r="A51" s="33"/>
      <c r="B51" s="349" t="s">
        <v>90</v>
      </c>
      <c r="C51" s="337" t="s">
        <v>91</v>
      </c>
      <c r="D51" s="372" t="s">
        <v>119</v>
      </c>
      <c r="E51" s="456">
        <v>68</v>
      </c>
      <c r="F51" s="457">
        <v>68</v>
      </c>
      <c r="G51" s="457">
        <v>68</v>
      </c>
      <c r="H51" s="457">
        <v>68</v>
      </c>
      <c r="I51" s="608">
        <v>68</v>
      </c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W51" s="247"/>
      <c r="X51" s="247"/>
      <c r="Y51" s="247"/>
      <c r="Z51" s="247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</row>
    <row r="52" spans="1:139" x14ac:dyDescent="0.25">
      <c r="A52" s="33"/>
      <c r="B52" s="349" t="s">
        <v>92</v>
      </c>
      <c r="C52" s="337" t="s">
        <v>93</v>
      </c>
      <c r="D52" s="372" t="s">
        <v>60</v>
      </c>
      <c r="E52" s="456">
        <v>1.5</v>
      </c>
      <c r="F52" s="457">
        <v>1.2</v>
      </c>
      <c r="G52" s="458">
        <v>0.8</v>
      </c>
      <c r="H52" s="458">
        <v>0.8</v>
      </c>
      <c r="I52" s="607">
        <v>0.8</v>
      </c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W52" s="247"/>
      <c r="X52" s="247"/>
      <c r="Y52" s="247"/>
      <c r="Z52" s="247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</row>
    <row r="53" spans="1:139" x14ac:dyDescent="0.25">
      <c r="A53" s="33"/>
      <c r="B53" s="349" t="s">
        <v>94</v>
      </c>
      <c r="C53" s="337" t="s">
        <v>95</v>
      </c>
      <c r="D53" s="372" t="s">
        <v>120</v>
      </c>
      <c r="E53" s="456" t="s">
        <v>96</v>
      </c>
      <c r="F53" s="457" t="s">
        <v>96</v>
      </c>
      <c r="G53" s="457" t="s">
        <v>96</v>
      </c>
      <c r="H53" s="457" t="s">
        <v>96</v>
      </c>
      <c r="I53" s="608" t="s">
        <v>96</v>
      </c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W53" s="247"/>
      <c r="X53" s="399"/>
      <c r="Y53" s="399"/>
      <c r="Z53" s="399"/>
      <c r="AA53" s="399"/>
      <c r="AB53" s="399"/>
      <c r="AD53" s="399"/>
      <c r="AE53" s="399"/>
      <c r="AF53" s="399"/>
      <c r="AG53" s="399"/>
      <c r="AH53" s="399"/>
      <c r="AI53" s="399"/>
      <c r="AJ53" s="399"/>
      <c r="AK53" s="39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</row>
    <row r="54" spans="1:139" x14ac:dyDescent="0.25">
      <c r="A54" s="33"/>
      <c r="B54" s="349" t="s">
        <v>97</v>
      </c>
      <c r="C54" s="337" t="s">
        <v>98</v>
      </c>
      <c r="D54" s="372" t="s">
        <v>120</v>
      </c>
      <c r="E54" s="456" t="s">
        <v>521</v>
      </c>
      <c r="F54" s="457" t="s">
        <v>521</v>
      </c>
      <c r="G54" s="457" t="s">
        <v>521</v>
      </c>
      <c r="H54" s="457" t="s">
        <v>521</v>
      </c>
      <c r="I54" s="608" t="s">
        <v>521</v>
      </c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W54" s="19"/>
      <c r="X54" s="399"/>
      <c r="Y54" s="399"/>
      <c r="Z54" s="399"/>
      <c r="AA54" s="399"/>
      <c r="AB54" s="399"/>
      <c r="AC54" s="399"/>
      <c r="AD54" s="399"/>
      <c r="AE54" s="399"/>
      <c r="AF54" s="399"/>
      <c r="AG54" s="399"/>
      <c r="AH54" s="399"/>
      <c r="AI54" s="399"/>
      <c r="AJ54" s="399"/>
      <c r="AK54" s="39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</row>
    <row r="55" spans="1:139" x14ac:dyDescent="0.25">
      <c r="A55" s="33"/>
      <c r="B55" s="349" t="s">
        <v>99</v>
      </c>
      <c r="C55" s="337" t="s">
        <v>100</v>
      </c>
      <c r="D55" s="372" t="s">
        <v>60</v>
      </c>
      <c r="E55" s="456">
        <v>0</v>
      </c>
      <c r="F55" s="457">
        <v>0</v>
      </c>
      <c r="G55" s="458">
        <v>0</v>
      </c>
      <c r="H55" s="458">
        <v>0</v>
      </c>
      <c r="I55" s="607">
        <v>0</v>
      </c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W55" s="19"/>
      <c r="X55" s="399">
        <f>7.56-0.296</f>
        <v>7.2639999999999993</v>
      </c>
      <c r="Y55" s="399"/>
      <c r="Z55" s="399"/>
      <c r="AA55" s="399"/>
      <c r="AB55" s="399"/>
      <c r="AC55" s="399"/>
      <c r="AD55" s="399"/>
      <c r="AE55" s="399"/>
      <c r="AF55" s="399"/>
      <c r="AG55" s="399"/>
      <c r="AH55" s="399"/>
      <c r="AI55" s="399"/>
      <c r="AJ55" s="399"/>
      <c r="AK55" s="39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</row>
    <row r="56" spans="1:139" x14ac:dyDescent="0.25">
      <c r="A56" s="33"/>
      <c r="B56" s="349" t="s">
        <v>101</v>
      </c>
      <c r="C56" s="337" t="s">
        <v>102</v>
      </c>
      <c r="D56" s="372" t="s">
        <v>60</v>
      </c>
      <c r="E56" s="456">
        <v>0.18</v>
      </c>
      <c r="F56" s="457">
        <v>0</v>
      </c>
      <c r="G56" s="458">
        <v>0</v>
      </c>
      <c r="H56" s="458">
        <v>0</v>
      </c>
      <c r="I56" s="607">
        <v>0</v>
      </c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W56" s="19"/>
      <c r="X56" s="399"/>
      <c r="Y56" s="399"/>
      <c r="Z56" s="399"/>
      <c r="AA56" s="399"/>
      <c r="AB56" s="399"/>
      <c r="AC56" s="399"/>
      <c r="AD56" s="399"/>
      <c r="AE56" s="399"/>
      <c r="AF56" s="399"/>
      <c r="AG56" s="399"/>
      <c r="AH56" s="399"/>
      <c r="AI56" s="399"/>
      <c r="AJ56" s="399"/>
      <c r="AK56" s="39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</row>
    <row r="57" spans="1:139" x14ac:dyDescent="0.25">
      <c r="A57" s="33"/>
      <c r="B57" s="349" t="s">
        <v>105</v>
      </c>
      <c r="C57" s="337" t="s">
        <v>106</v>
      </c>
      <c r="D57" s="372" t="s">
        <v>60</v>
      </c>
      <c r="E57" s="456">
        <v>0</v>
      </c>
      <c r="F57" s="457">
        <v>0</v>
      </c>
      <c r="G57" s="458">
        <v>0</v>
      </c>
      <c r="H57" s="458">
        <v>0</v>
      </c>
      <c r="I57" s="607">
        <v>0</v>
      </c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W57" s="19"/>
      <c r="X57" s="399"/>
      <c r="Y57" s="399"/>
      <c r="Z57" s="399"/>
      <c r="AA57" s="399"/>
      <c r="AB57" s="399"/>
      <c r="AC57" s="399"/>
      <c r="AD57" s="399"/>
      <c r="AE57" s="399"/>
      <c r="AF57" s="399"/>
      <c r="AG57" s="399"/>
      <c r="AH57" s="399"/>
      <c r="AI57" s="399"/>
      <c r="AJ57" s="399"/>
      <c r="AK57" s="39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C57" s="19"/>
      <c r="DD57" s="19"/>
      <c r="DE57" s="19"/>
      <c r="DF57" s="19"/>
      <c r="DG57" s="19"/>
      <c r="DH57" s="19"/>
      <c r="DI57" s="19"/>
      <c r="DJ57" s="19"/>
      <c r="DK57" s="19"/>
      <c r="DL57" s="19"/>
      <c r="DM57" s="19"/>
      <c r="DN57" s="19"/>
      <c r="DO57" s="19"/>
      <c r="DP57" s="19"/>
      <c r="DQ57" s="19"/>
      <c r="DR57" s="19"/>
      <c r="DS57" s="19"/>
      <c r="DT57" s="19"/>
      <c r="DU57" s="19"/>
      <c r="DV57" s="19"/>
      <c r="DW57" s="19"/>
      <c r="DX57" s="19"/>
      <c r="DY57" s="19"/>
      <c r="DZ57" s="19"/>
      <c r="EA57" s="19"/>
      <c r="EB57" s="19"/>
      <c r="EC57" s="19"/>
      <c r="ED57" s="19"/>
      <c r="EE57" s="19"/>
      <c r="EF57" s="19"/>
      <c r="EG57" s="19"/>
      <c r="EH57" s="19"/>
      <c r="EI57" s="19"/>
    </row>
    <row r="58" spans="1:139" ht="15.75" thickBot="1" x14ac:dyDescent="0.3">
      <c r="A58" s="33"/>
      <c r="B58" s="373" t="s">
        <v>289</v>
      </c>
      <c r="C58" s="339" t="s">
        <v>290</v>
      </c>
      <c r="D58" s="374" t="s">
        <v>60</v>
      </c>
      <c r="E58" s="459">
        <f>+(3/4*25.4)/1000</f>
        <v>1.9049999999999997E-2</v>
      </c>
      <c r="F58" s="460">
        <f>+(5/8*25.4)/1000</f>
        <v>1.5875E-2</v>
      </c>
      <c r="G58" s="461">
        <f>+(1/2*25.4)/1000</f>
        <v>1.2699999999999999E-2</v>
      </c>
      <c r="H58" s="461">
        <f>+(1/2*25.4)/1000</f>
        <v>1.2699999999999999E-2</v>
      </c>
      <c r="I58" s="609">
        <f>+(1/2*25.4)/1000</f>
        <v>1.2699999999999999E-2</v>
      </c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W58" s="19"/>
      <c r="X58" s="399"/>
      <c r="Y58" s="399"/>
      <c r="Z58" s="399"/>
      <c r="AA58" s="399"/>
      <c r="AB58" s="399"/>
      <c r="AC58" s="399"/>
      <c r="AD58" s="399"/>
      <c r="AE58" s="399"/>
      <c r="AF58" s="399"/>
      <c r="AG58" s="399"/>
      <c r="AH58" s="399"/>
      <c r="AI58" s="399"/>
      <c r="AJ58" s="399"/>
      <c r="AK58" s="39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19"/>
      <c r="CR58" s="19"/>
      <c r="CS58" s="19"/>
      <c r="CT58" s="19"/>
      <c r="CU58" s="19"/>
      <c r="CV58" s="19"/>
      <c r="CW58" s="19"/>
      <c r="CX58" s="19"/>
      <c r="CY58" s="19"/>
      <c r="CZ58" s="19"/>
      <c r="DA58" s="19"/>
      <c r="DB58" s="19"/>
      <c r="DC58" s="19"/>
      <c r="DD58" s="19"/>
      <c r="DE58" s="19"/>
      <c r="DF58" s="19"/>
      <c r="DG58" s="19"/>
      <c r="DH58" s="19"/>
      <c r="DI58" s="19"/>
      <c r="DJ58" s="19"/>
      <c r="DK58" s="19"/>
      <c r="DL58" s="19"/>
      <c r="DM58" s="19"/>
      <c r="DN58" s="19"/>
      <c r="DO58" s="19"/>
      <c r="DP58" s="19"/>
      <c r="DQ58" s="19"/>
      <c r="DR58" s="19"/>
      <c r="DS58" s="19"/>
      <c r="DT58" s="19"/>
      <c r="DU58" s="19"/>
      <c r="DV58" s="19"/>
      <c r="DW58" s="19"/>
      <c r="DX58" s="19"/>
      <c r="DY58" s="19"/>
      <c r="DZ58" s="19"/>
      <c r="EA58" s="19"/>
      <c r="EB58" s="19"/>
      <c r="EC58" s="19"/>
      <c r="ED58" s="19"/>
      <c r="EE58" s="19"/>
      <c r="EF58" s="19"/>
      <c r="EG58" s="19"/>
      <c r="EH58" s="19"/>
      <c r="EI58" s="19"/>
    </row>
    <row r="59" spans="1:139" ht="15.75" thickBot="1" x14ac:dyDescent="0.3">
      <c r="A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W59" s="19"/>
      <c r="X59" s="399"/>
      <c r="Y59" s="399"/>
      <c r="Z59" s="399"/>
      <c r="AA59" s="399"/>
      <c r="AB59" s="399"/>
      <c r="AC59" s="399"/>
      <c r="AD59" s="399"/>
      <c r="AE59" s="399"/>
      <c r="AF59" s="399"/>
      <c r="AG59" s="399"/>
      <c r="AH59" s="399"/>
      <c r="AI59" s="399"/>
      <c r="AJ59" s="399"/>
      <c r="AK59" s="39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19"/>
      <c r="CJ59" s="19"/>
      <c r="CK59" s="19"/>
      <c r="CL59" s="19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9"/>
      <c r="DD59" s="19"/>
      <c r="DE59" s="19"/>
      <c r="DF59" s="19"/>
      <c r="DG59" s="19"/>
      <c r="DH59" s="19"/>
      <c r="DI59" s="19"/>
      <c r="DJ59" s="19"/>
      <c r="DK59" s="19"/>
      <c r="DL59" s="19"/>
      <c r="DM59" s="19"/>
      <c r="DN59" s="19"/>
      <c r="DO59" s="19"/>
      <c r="DP59" s="19"/>
      <c r="DQ59" s="19"/>
      <c r="DR59" s="19"/>
      <c r="DS59" s="19"/>
      <c r="DT59" s="19"/>
      <c r="DU59" s="19"/>
      <c r="DV59" s="19"/>
      <c r="DW59" s="19"/>
      <c r="DX59" s="19"/>
      <c r="DY59" s="19"/>
      <c r="DZ59" s="19"/>
      <c r="EA59" s="19"/>
      <c r="EB59" s="19"/>
      <c r="EC59" s="19"/>
      <c r="ED59" s="19"/>
      <c r="EE59" s="19"/>
      <c r="EF59" s="19"/>
      <c r="EG59" s="19"/>
      <c r="EH59" s="19"/>
      <c r="EI59" s="19"/>
    </row>
    <row r="60" spans="1:139" x14ac:dyDescent="0.25">
      <c r="A60" s="33"/>
      <c r="B60" s="620" t="s">
        <v>113</v>
      </c>
      <c r="C60" s="109" t="s">
        <v>114</v>
      </c>
      <c r="D60" s="110" t="s">
        <v>60</v>
      </c>
      <c r="E60" s="639">
        <v>0.63</v>
      </c>
      <c r="F60" s="640">
        <v>0.47199999999999998</v>
      </c>
      <c r="G60" s="640">
        <v>0.443</v>
      </c>
      <c r="H60" s="640">
        <v>0.40899999999999997</v>
      </c>
      <c r="I60" s="641">
        <v>0.28000000000000003</v>
      </c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W60" s="19"/>
      <c r="X60" s="399"/>
      <c r="Y60" s="399"/>
      <c r="Z60" s="399"/>
      <c r="AA60" s="399"/>
      <c r="AB60" s="399"/>
      <c r="AC60" s="399"/>
      <c r="AD60" s="399"/>
      <c r="AE60" s="399"/>
      <c r="AF60" s="399"/>
      <c r="AG60" s="399"/>
      <c r="AH60" s="399"/>
      <c r="AI60" s="399"/>
      <c r="AJ60" s="399"/>
      <c r="AK60" s="39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  <c r="DO60" s="19"/>
      <c r="DP60" s="19"/>
      <c r="DQ60" s="19"/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  <c r="EG60" s="19"/>
      <c r="EH60" s="19"/>
      <c r="EI60" s="19"/>
    </row>
    <row r="61" spans="1:139" x14ac:dyDescent="0.25">
      <c r="A61" s="33"/>
      <c r="B61" s="618" t="s">
        <v>711</v>
      </c>
      <c r="C61" s="619" t="s">
        <v>712</v>
      </c>
      <c r="D61" s="80" t="s">
        <v>60</v>
      </c>
      <c r="E61" s="642">
        <v>0.70499999999999996</v>
      </c>
      <c r="F61" s="643">
        <v>0.70499999999999996</v>
      </c>
      <c r="G61" s="643">
        <v>0.70499999999999996</v>
      </c>
      <c r="H61" s="643">
        <v>0.70499999999999996</v>
      </c>
      <c r="I61" s="644">
        <v>0.70499999999999996</v>
      </c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W61" s="19"/>
      <c r="X61" s="399"/>
      <c r="Y61" s="399"/>
      <c r="Z61" s="399"/>
      <c r="AA61" s="399"/>
      <c r="AB61" s="399"/>
      <c r="AC61" s="399"/>
      <c r="AD61" s="399"/>
      <c r="AE61" s="399"/>
      <c r="AF61" s="399"/>
      <c r="AG61" s="399"/>
      <c r="AH61" s="399"/>
      <c r="AI61" s="399"/>
      <c r="AJ61" s="399"/>
      <c r="AK61" s="39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19"/>
      <c r="CA61" s="19"/>
      <c r="CB61" s="19"/>
      <c r="CC61" s="19"/>
      <c r="CD61" s="19"/>
      <c r="CE61" s="19"/>
      <c r="CF61" s="19"/>
      <c r="CG61" s="19"/>
      <c r="CH61" s="19"/>
      <c r="CI61" s="19"/>
      <c r="CJ61" s="19"/>
      <c r="CK61" s="19"/>
      <c r="CL61" s="19"/>
      <c r="CM61" s="19"/>
      <c r="CN61" s="19"/>
      <c r="CO61" s="19"/>
      <c r="CP61" s="19"/>
      <c r="CQ61" s="19"/>
      <c r="CR61" s="19"/>
      <c r="CS61" s="19"/>
      <c r="CT61" s="19"/>
      <c r="CU61" s="19"/>
      <c r="CV61" s="19"/>
      <c r="CW61" s="19"/>
      <c r="CX61" s="19"/>
      <c r="CY61" s="19"/>
      <c r="CZ61" s="19"/>
      <c r="DA61" s="19"/>
      <c r="DB61" s="19"/>
      <c r="DC61" s="19"/>
      <c r="DD61" s="19"/>
      <c r="DE61" s="19"/>
      <c r="DF61" s="19"/>
      <c r="DG61" s="19"/>
      <c r="DH61" s="19"/>
      <c r="DI61" s="19"/>
      <c r="DJ61" s="19"/>
      <c r="DK61" s="19"/>
      <c r="DL61" s="19"/>
      <c r="DM61" s="19"/>
      <c r="DN61" s="19"/>
      <c r="DO61" s="19"/>
      <c r="DP61" s="19"/>
      <c r="DQ61" s="19"/>
      <c r="DR61" s="19"/>
      <c r="DS61" s="19"/>
      <c r="DT61" s="19"/>
      <c r="DU61" s="19"/>
      <c r="DV61" s="19"/>
      <c r="DW61" s="19"/>
      <c r="DX61" s="19"/>
      <c r="DY61" s="19"/>
      <c r="DZ61" s="19"/>
      <c r="EA61" s="19"/>
      <c r="EB61" s="19"/>
      <c r="EC61" s="19"/>
      <c r="ED61" s="19"/>
      <c r="EE61" s="19"/>
      <c r="EF61" s="19"/>
      <c r="EG61" s="19"/>
      <c r="EH61" s="19"/>
      <c r="EI61" s="19"/>
    </row>
    <row r="62" spans="1:139" x14ac:dyDescent="0.25">
      <c r="A62" s="33"/>
      <c r="B62" s="114" t="s">
        <v>107</v>
      </c>
      <c r="C62" s="81" t="s">
        <v>108</v>
      </c>
      <c r="D62" s="80" t="s">
        <v>522</v>
      </c>
      <c r="E62" s="645">
        <v>1.0469999999999999</v>
      </c>
      <c r="F62" s="646">
        <v>0.82099999999999995</v>
      </c>
      <c r="G62" s="11">
        <v>0.58699999999999997</v>
      </c>
      <c r="H62" s="11">
        <v>0.45200000000000001</v>
      </c>
      <c r="I62" s="647">
        <v>0.28000000000000003</v>
      </c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W62" s="19"/>
      <c r="X62" s="399"/>
      <c r="Y62" s="399"/>
      <c r="Z62" s="399"/>
      <c r="AA62" s="399"/>
      <c r="AB62" s="399"/>
      <c r="AC62" s="399"/>
      <c r="AD62" s="399"/>
      <c r="AE62" s="399"/>
      <c r="AF62" s="399"/>
      <c r="AG62" s="399"/>
      <c r="AH62" s="399"/>
      <c r="AI62" s="399"/>
      <c r="AJ62" s="399"/>
      <c r="AK62" s="39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9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  <c r="DO62" s="19"/>
      <c r="DP62" s="19"/>
      <c r="DQ62" s="19"/>
      <c r="DR62" s="19"/>
      <c r="DS62" s="19"/>
      <c r="DT62" s="19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</row>
    <row r="63" spans="1:139" x14ac:dyDescent="0.25">
      <c r="A63" s="33"/>
      <c r="B63" s="114" t="s">
        <v>109</v>
      </c>
      <c r="C63" s="81" t="s">
        <v>110</v>
      </c>
      <c r="D63" s="80" t="s">
        <v>60</v>
      </c>
      <c r="E63" s="645">
        <v>5.4969999999999999</v>
      </c>
      <c r="F63" s="646">
        <v>5.0209999999999999</v>
      </c>
      <c r="G63" s="11">
        <v>3.956</v>
      </c>
      <c r="H63" s="11">
        <v>3.2989999999999999</v>
      </c>
      <c r="I63" s="647">
        <v>2.706</v>
      </c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W63" s="19"/>
      <c r="X63" s="399"/>
      <c r="Y63" s="399">
        <v>1.7999999999999999E-2</v>
      </c>
      <c r="Z63" s="399"/>
      <c r="AA63" s="399"/>
      <c r="AB63" s="399"/>
      <c r="AC63" s="399"/>
      <c r="AD63" s="399"/>
      <c r="AE63" s="399"/>
      <c r="AF63" s="399"/>
      <c r="AG63" s="399"/>
      <c r="AH63" s="399"/>
      <c r="AI63" s="399"/>
      <c r="AJ63" s="399"/>
      <c r="AK63" s="39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19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19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</row>
    <row r="64" spans="1:139" x14ac:dyDescent="0.25">
      <c r="A64" s="33"/>
      <c r="B64" s="498" t="s">
        <v>519</v>
      </c>
      <c r="C64" s="67" t="s">
        <v>115</v>
      </c>
      <c r="D64" s="382" t="s">
        <v>28</v>
      </c>
      <c r="E64" s="648">
        <v>1.6479999999999999</v>
      </c>
      <c r="F64" s="649">
        <v>1.294</v>
      </c>
      <c r="G64" s="649">
        <v>1.4419999999999999</v>
      </c>
      <c r="H64" s="649">
        <v>0.622</v>
      </c>
      <c r="I64" s="650">
        <v>0.65900000000000003</v>
      </c>
      <c r="J64" s="658"/>
      <c r="K64" s="658"/>
      <c r="L64" s="658"/>
      <c r="M64" s="33"/>
      <c r="N64" s="33"/>
      <c r="O64" s="33"/>
      <c r="P64" s="33"/>
      <c r="Q64" s="33"/>
      <c r="R64" s="33"/>
      <c r="S64" s="33"/>
      <c r="T64" s="33"/>
      <c r="U64" s="33"/>
      <c r="W64" s="19"/>
      <c r="X64" s="399"/>
      <c r="Y64" s="399">
        <v>8.9999999999999993E-3</v>
      </c>
      <c r="Z64" s="399"/>
      <c r="AA64" s="399"/>
      <c r="AB64" s="399"/>
      <c r="AC64" s="399"/>
      <c r="AD64" s="399"/>
      <c r="AE64" s="399"/>
      <c r="AF64" s="399"/>
      <c r="AG64" s="399"/>
      <c r="AH64" s="399"/>
      <c r="AI64" s="399"/>
      <c r="AJ64" s="399"/>
      <c r="AK64" s="39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  <c r="DF64" s="19"/>
      <c r="DG64" s="19"/>
      <c r="DH64" s="19"/>
      <c r="DI64" s="19"/>
      <c r="DJ64" s="19"/>
      <c r="DK64" s="19"/>
      <c r="DL64" s="19"/>
      <c r="DM64" s="19"/>
      <c r="DN64" s="19"/>
      <c r="DO64" s="19"/>
      <c r="DP64" s="19"/>
      <c r="DQ64" s="19"/>
      <c r="DR64" s="19"/>
      <c r="DS64" s="19"/>
      <c r="DT64" s="19"/>
      <c r="DU64" s="19"/>
      <c r="DV64" s="19"/>
      <c r="DW64" s="19"/>
      <c r="DX64" s="19"/>
      <c r="DY64" s="19"/>
      <c r="DZ64" s="19"/>
      <c r="EA64" s="19"/>
      <c r="EB64" s="19"/>
      <c r="EC64" s="19"/>
      <c r="ED64" s="19"/>
      <c r="EE64" s="19"/>
      <c r="EF64" s="19"/>
      <c r="EG64" s="19"/>
      <c r="EH64" s="19"/>
      <c r="EI64" s="19"/>
    </row>
    <row r="65" spans="1:139" x14ac:dyDescent="0.25">
      <c r="A65" s="33"/>
      <c r="B65" s="498" t="s">
        <v>520</v>
      </c>
      <c r="C65" s="67" t="s">
        <v>116</v>
      </c>
      <c r="D65" s="382" t="s">
        <v>28</v>
      </c>
      <c r="E65" s="648">
        <v>1.0529999999999999</v>
      </c>
      <c r="F65" s="651">
        <v>0.96799999999999997</v>
      </c>
      <c r="G65" s="649">
        <v>0.86499999999999999</v>
      </c>
      <c r="H65" s="649">
        <v>0.76600000000000001</v>
      </c>
      <c r="I65" s="650">
        <v>0.43700000000000006</v>
      </c>
      <c r="J65" s="658" t="s">
        <v>713</v>
      </c>
      <c r="K65" s="658" t="s">
        <v>714</v>
      </c>
      <c r="L65" s="658" t="s">
        <v>715</v>
      </c>
      <c r="M65" s="33"/>
      <c r="N65" s="33"/>
      <c r="O65" s="33"/>
      <c r="P65" s="33"/>
      <c r="Q65" s="33"/>
      <c r="R65" s="33"/>
      <c r="S65" s="33"/>
      <c r="T65" s="33"/>
      <c r="U65" s="33"/>
      <c r="W65" s="19"/>
      <c r="X65" s="399"/>
      <c r="Y65" s="399">
        <f>+Y63+Y64</f>
        <v>2.6999999999999996E-2</v>
      </c>
      <c r="Z65" s="399"/>
      <c r="AA65" s="399"/>
      <c r="AB65" s="399"/>
      <c r="AC65" s="399"/>
      <c r="AD65" s="399"/>
      <c r="AE65" s="399"/>
      <c r="AF65" s="399"/>
      <c r="AG65" s="399"/>
      <c r="AH65" s="399"/>
      <c r="AI65" s="399"/>
      <c r="AJ65" s="399"/>
      <c r="AK65" s="39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19"/>
      <c r="CA65" s="19"/>
      <c r="CB65" s="19"/>
      <c r="CC65" s="19"/>
      <c r="CD65" s="19"/>
      <c r="CE65" s="19"/>
      <c r="CF65" s="19"/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19"/>
      <c r="CR65" s="19"/>
      <c r="CS65" s="19"/>
      <c r="CT65" s="19"/>
      <c r="CU65" s="19"/>
      <c r="CV65" s="19"/>
      <c r="CW65" s="19"/>
      <c r="CX65" s="19"/>
      <c r="CY65" s="19"/>
      <c r="CZ65" s="19"/>
      <c r="DA65" s="19"/>
      <c r="DB65" s="19"/>
      <c r="DC65" s="19"/>
      <c r="DD65" s="19"/>
      <c r="DE65" s="19"/>
      <c r="DF65" s="19"/>
      <c r="DG65" s="19"/>
      <c r="DH65" s="19"/>
      <c r="DI65" s="19"/>
      <c r="DJ65" s="19"/>
      <c r="DK65" s="19"/>
      <c r="DL65" s="19"/>
      <c r="DM65" s="19"/>
      <c r="DN65" s="19"/>
      <c r="DO65" s="19"/>
      <c r="DP65" s="19"/>
      <c r="DQ65" s="19"/>
      <c r="DR65" s="19"/>
      <c r="DS65" s="19"/>
      <c r="DT65" s="19"/>
      <c r="DU65" s="19"/>
      <c r="DV65" s="19"/>
      <c r="DW65" s="19"/>
      <c r="DX65" s="19"/>
      <c r="DY65" s="19"/>
      <c r="DZ65" s="19"/>
      <c r="EA65" s="19"/>
      <c r="EB65" s="19"/>
      <c r="EC65" s="19"/>
      <c r="ED65" s="19"/>
      <c r="EE65" s="19"/>
      <c r="EF65" s="19"/>
      <c r="EG65" s="19"/>
      <c r="EH65" s="19"/>
      <c r="EI65" s="19"/>
    </row>
    <row r="66" spans="1:139" ht="15.75" thickBot="1" x14ac:dyDescent="0.3">
      <c r="A66" s="33"/>
      <c r="B66" s="626" t="s">
        <v>523</v>
      </c>
      <c r="C66" s="69" t="s">
        <v>115</v>
      </c>
      <c r="D66" s="383" t="s">
        <v>28</v>
      </c>
      <c r="E66" s="652">
        <f>+E65+E64*2</f>
        <v>4.3490000000000002</v>
      </c>
      <c r="F66" s="653">
        <f t="shared" ref="F66:I66" si="27">+F65+F64*2</f>
        <v>3.556</v>
      </c>
      <c r="G66" s="653">
        <f t="shared" si="27"/>
        <v>3.7489999999999997</v>
      </c>
      <c r="H66" s="653">
        <f t="shared" si="27"/>
        <v>2.0099999999999998</v>
      </c>
      <c r="I66" s="654">
        <f t="shared" si="27"/>
        <v>1.7550000000000001</v>
      </c>
      <c r="J66" s="658">
        <v>2.5649999999999999</v>
      </c>
      <c r="K66" s="658">
        <v>7.2640000000000002</v>
      </c>
      <c r="L66" s="659">
        <f>+SUM(E66:I66)</f>
        <v>15.419</v>
      </c>
      <c r="M66" s="33"/>
      <c r="N66" s="33"/>
      <c r="O66" s="33"/>
      <c r="P66" s="33"/>
      <c r="Q66" s="33"/>
      <c r="R66" s="33"/>
      <c r="S66" s="33"/>
      <c r="T66" s="33"/>
      <c r="U66" s="33"/>
      <c r="W66" s="19"/>
      <c r="X66" s="399"/>
      <c r="Y66" s="399">
        <f>+Y65/2*9</f>
        <v>0.12149999999999998</v>
      </c>
      <c r="Z66" s="399"/>
      <c r="AA66" s="399"/>
      <c r="AB66" s="399"/>
      <c r="AC66" s="399"/>
      <c r="AD66" s="399"/>
      <c r="AE66" s="399"/>
      <c r="AF66" s="399"/>
      <c r="AG66" s="399"/>
      <c r="AH66" s="399"/>
      <c r="AI66" s="399"/>
      <c r="AJ66" s="399"/>
      <c r="AK66" s="39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C66" s="19"/>
      <c r="DD66" s="19"/>
      <c r="DE66" s="19"/>
      <c r="DF66" s="19"/>
      <c r="DG66" s="19"/>
      <c r="DH66" s="19"/>
      <c r="DI66" s="19"/>
      <c r="DJ66" s="19"/>
      <c r="DK66" s="19"/>
      <c r="DL66" s="19"/>
      <c r="DM66" s="19"/>
      <c r="DN66" s="19"/>
      <c r="DO66" s="19"/>
      <c r="DP66" s="19"/>
      <c r="DQ66" s="19"/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  <c r="EG66" s="19"/>
      <c r="EH66" s="19"/>
      <c r="EI66" s="19"/>
    </row>
    <row r="67" spans="1:139" ht="15.75" thickBot="1" x14ac:dyDescent="0.3">
      <c r="A67" s="864"/>
      <c r="B67" s="864"/>
      <c r="C67" s="864"/>
      <c r="D67" s="864"/>
      <c r="E67" s="864"/>
      <c r="F67" s="864"/>
      <c r="G67" s="864"/>
      <c r="H67" s="864"/>
      <c r="I67" s="864"/>
      <c r="J67" s="864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W67" s="19"/>
      <c r="X67" s="399"/>
      <c r="Y67" s="399">
        <f>+X81+Y66</f>
        <v>0.90249999999999986</v>
      </c>
      <c r="Z67" s="399"/>
      <c r="AA67" s="399"/>
      <c r="AB67" s="399"/>
      <c r="AC67" s="399"/>
      <c r="AD67" s="399"/>
      <c r="AE67" s="399"/>
      <c r="AF67" s="399"/>
      <c r="AG67" s="399"/>
      <c r="AH67" s="399"/>
      <c r="AI67" s="399"/>
      <c r="AJ67" s="399"/>
      <c r="AK67" s="39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19"/>
      <c r="CA67" s="19"/>
      <c r="CB67" s="19"/>
      <c r="CC67" s="19"/>
      <c r="CD67" s="19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  <c r="DF67" s="19"/>
      <c r="DG67" s="19"/>
      <c r="DH67" s="19"/>
      <c r="DI67" s="19"/>
      <c r="DJ67" s="19"/>
      <c r="DK67" s="19"/>
      <c r="DL67" s="19"/>
      <c r="DM67" s="19"/>
      <c r="DN67" s="19"/>
      <c r="DO67" s="19"/>
      <c r="DP67" s="19"/>
      <c r="DQ67" s="19"/>
      <c r="DR67" s="19"/>
      <c r="DS67" s="19"/>
      <c r="DT67" s="19"/>
      <c r="DU67" s="19"/>
      <c r="DV67" s="19"/>
      <c r="DW67" s="19"/>
      <c r="DX67" s="19"/>
      <c r="DY67" s="19"/>
      <c r="DZ67" s="19"/>
      <c r="EA67" s="19"/>
      <c r="EB67" s="19"/>
      <c r="EC67" s="19"/>
      <c r="ED67" s="19"/>
      <c r="EE67" s="19"/>
      <c r="EF67" s="19"/>
      <c r="EG67" s="19"/>
      <c r="EH67" s="19"/>
      <c r="EI67" s="19"/>
    </row>
    <row r="68" spans="1:139" x14ac:dyDescent="0.25">
      <c r="A68" s="33"/>
      <c r="B68" s="620" t="s">
        <v>345</v>
      </c>
      <c r="C68" s="109" t="s">
        <v>345</v>
      </c>
      <c r="D68" s="627" t="s">
        <v>28</v>
      </c>
      <c r="E68" s="655">
        <v>1.2629999999999999</v>
      </c>
      <c r="F68" s="636">
        <v>1.2629999999999999</v>
      </c>
      <c r="G68" s="636">
        <v>0.78500000000000003</v>
      </c>
      <c r="H68" s="636">
        <v>0.55100000000000005</v>
      </c>
      <c r="I68" s="637">
        <v>0.55100000000000005</v>
      </c>
      <c r="J68" s="34"/>
      <c r="K68" s="19"/>
      <c r="L68" s="19"/>
      <c r="M68" s="33"/>
      <c r="N68" s="33"/>
      <c r="O68" s="33"/>
      <c r="P68" s="33"/>
      <c r="Q68" s="33"/>
      <c r="R68" s="33"/>
      <c r="S68" s="33"/>
      <c r="T68" s="33"/>
      <c r="U68" s="33"/>
      <c r="W68" s="19"/>
      <c r="X68" s="399"/>
      <c r="Y68" s="399"/>
      <c r="Z68" s="399"/>
      <c r="AA68" s="399"/>
      <c r="AB68" s="399"/>
      <c r="AC68" s="399"/>
      <c r="AD68" s="399"/>
      <c r="AE68" s="399"/>
      <c r="AF68" s="399"/>
      <c r="AG68" s="399"/>
      <c r="AH68" s="399"/>
      <c r="AI68" s="399"/>
      <c r="AJ68" s="399"/>
      <c r="AK68" s="39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9"/>
      <c r="DD68" s="19"/>
      <c r="DE68" s="19"/>
      <c r="DF68" s="19"/>
      <c r="DG68" s="19"/>
      <c r="DH68" s="19"/>
      <c r="DI68" s="19"/>
      <c r="DJ68" s="19"/>
      <c r="DK68" s="19"/>
      <c r="DL68" s="19"/>
      <c r="DM68" s="19"/>
      <c r="DN68" s="19"/>
      <c r="DO68" s="19"/>
      <c r="DP68" s="19"/>
      <c r="DQ68" s="19"/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  <c r="EG68" s="19"/>
      <c r="EH68" s="19"/>
      <c r="EI68" s="19"/>
    </row>
    <row r="69" spans="1:139" ht="15.75" thickBot="1" x14ac:dyDescent="0.3">
      <c r="A69" s="33"/>
      <c r="B69" s="502" t="s">
        <v>344</v>
      </c>
      <c r="C69" s="381" t="s">
        <v>118</v>
      </c>
      <c r="D69" s="383" t="s">
        <v>28</v>
      </c>
      <c r="E69" s="656">
        <f>+E68</f>
        <v>1.2629999999999999</v>
      </c>
      <c r="F69" s="638">
        <f t="shared" ref="F69:I69" si="28">+F68</f>
        <v>1.2629999999999999</v>
      </c>
      <c r="G69" s="638">
        <f t="shared" si="28"/>
        <v>0.78500000000000003</v>
      </c>
      <c r="H69" s="638">
        <f t="shared" si="28"/>
        <v>0.55100000000000005</v>
      </c>
      <c r="I69" s="657">
        <f t="shared" si="28"/>
        <v>0.55100000000000005</v>
      </c>
      <c r="J69" s="34"/>
      <c r="K69" s="19"/>
      <c r="L69" s="19"/>
      <c r="M69" s="33"/>
      <c r="N69" s="33"/>
      <c r="O69" s="33"/>
      <c r="P69" s="33"/>
      <c r="Q69" s="33"/>
      <c r="R69" s="33"/>
      <c r="S69" s="33"/>
      <c r="T69" s="33"/>
      <c r="U69" s="33"/>
      <c r="W69" s="19"/>
      <c r="X69" s="399"/>
      <c r="Y69" s="399"/>
      <c r="Z69" s="399"/>
      <c r="AA69" s="399"/>
      <c r="AB69" s="399"/>
      <c r="AC69" s="399"/>
      <c r="AD69" s="399"/>
      <c r="AE69" s="399"/>
      <c r="AF69" s="399"/>
      <c r="AG69" s="399"/>
      <c r="AH69" s="399"/>
      <c r="AI69" s="399"/>
      <c r="AJ69" s="399"/>
      <c r="AK69" s="39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C69" s="19"/>
      <c r="DD69" s="19"/>
      <c r="DE69" s="19"/>
      <c r="DF69" s="19"/>
      <c r="DG69" s="19"/>
      <c r="DH69" s="19"/>
      <c r="DI69" s="19"/>
      <c r="DJ69" s="19"/>
      <c r="DK69" s="19"/>
      <c r="DL69" s="19"/>
      <c r="DM69" s="19"/>
      <c r="DN69" s="19"/>
      <c r="DO69" s="19"/>
      <c r="DP69" s="19"/>
      <c r="DQ69" s="19"/>
      <c r="DR69" s="19"/>
      <c r="DS69" s="19"/>
      <c r="DT69" s="19"/>
      <c r="DU69" s="19"/>
      <c r="DV69" s="19"/>
      <c r="DW69" s="19"/>
      <c r="DX69" s="19"/>
      <c r="DY69" s="19"/>
      <c r="DZ69" s="19"/>
      <c r="EA69" s="19"/>
      <c r="EB69" s="19"/>
      <c r="EC69" s="19"/>
      <c r="ED69" s="19"/>
      <c r="EE69" s="19"/>
      <c r="EF69" s="19"/>
      <c r="EG69" s="19"/>
      <c r="EH69" s="19"/>
      <c r="EI69" s="19"/>
    </row>
    <row r="70" spans="1:139" ht="15.75" thickBot="1" x14ac:dyDescent="0.3">
      <c r="A70" s="269"/>
      <c r="B70" s="269"/>
      <c r="C70" s="269"/>
      <c r="D70" s="269"/>
      <c r="E70" s="269"/>
      <c r="F70" s="269"/>
      <c r="G70" s="269"/>
      <c r="H70" s="269"/>
      <c r="I70" s="269"/>
      <c r="J70" s="269"/>
      <c r="K70" s="269"/>
      <c r="L70" s="269"/>
      <c r="M70" s="269"/>
      <c r="N70" s="269"/>
      <c r="O70" s="269"/>
      <c r="P70" s="269"/>
      <c r="Q70" s="269"/>
      <c r="R70" s="269"/>
      <c r="S70" s="269"/>
      <c r="T70" s="269"/>
      <c r="U70" s="269"/>
      <c r="W70" s="19"/>
      <c r="X70" s="399"/>
      <c r="Y70" s="399"/>
      <c r="Z70" s="399"/>
      <c r="AA70" s="399"/>
      <c r="AB70" s="399"/>
      <c r="AC70" s="399"/>
      <c r="AD70" s="399"/>
      <c r="AE70" s="399"/>
      <c r="AF70" s="399"/>
      <c r="AG70" s="399"/>
      <c r="AH70" s="399"/>
      <c r="AI70" s="399"/>
      <c r="AJ70" s="399"/>
      <c r="AK70" s="39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</row>
    <row r="71" spans="1:139" ht="15.75" thickBot="1" x14ac:dyDescent="0.3">
      <c r="A71" s="825" t="s">
        <v>318</v>
      </c>
      <c r="B71" s="826"/>
      <c r="C71" s="826"/>
      <c r="D71" s="826"/>
      <c r="E71" s="826"/>
      <c r="F71" s="826"/>
      <c r="G71" s="826"/>
      <c r="H71" s="826"/>
      <c r="I71" s="826"/>
      <c r="J71" s="826"/>
      <c r="K71" s="826"/>
      <c r="L71" s="826"/>
      <c r="M71" s="826"/>
      <c r="N71" s="826"/>
      <c r="O71" s="826"/>
      <c r="P71" s="826"/>
      <c r="Q71" s="826"/>
      <c r="R71" s="826"/>
      <c r="S71" s="826"/>
      <c r="T71" s="826"/>
      <c r="U71" s="827"/>
      <c r="W71" s="19"/>
      <c r="X71" s="399">
        <v>1.7999999999999999E-2</v>
      </c>
      <c r="Y71" s="399"/>
      <c r="Z71" s="399"/>
      <c r="AA71" s="399"/>
      <c r="AB71" s="399"/>
      <c r="AC71" s="399"/>
      <c r="AD71" s="399"/>
      <c r="AE71" s="399"/>
      <c r="AF71" s="399"/>
      <c r="AG71" s="399"/>
      <c r="AH71" s="399"/>
      <c r="AI71" s="399"/>
      <c r="AJ71" s="399"/>
      <c r="AK71" s="39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</row>
    <row r="72" spans="1:139" ht="15.75" thickBot="1" x14ac:dyDescent="0.3">
      <c r="A72" s="28"/>
      <c r="B72" s="19"/>
      <c r="C72" s="19"/>
      <c r="D72" s="27"/>
      <c r="E72" s="19"/>
      <c r="F72" s="34"/>
      <c r="G72" s="19"/>
      <c r="H72" s="19"/>
      <c r="I72" s="19"/>
      <c r="J72" s="610"/>
      <c r="K72" s="610"/>
      <c r="L72" s="610"/>
      <c r="M72" s="610"/>
      <c r="N72" s="610"/>
      <c r="O72" s="610"/>
      <c r="P72" s="610"/>
      <c r="Q72" s="610"/>
      <c r="R72" s="610"/>
      <c r="S72" s="610"/>
      <c r="T72" s="610"/>
      <c r="U72" s="622"/>
      <c r="W72" s="19"/>
      <c r="X72" s="399">
        <v>6.4000000000000001E-2</v>
      </c>
      <c r="Y72" s="399"/>
      <c r="Z72" s="399"/>
      <c r="AA72" s="399"/>
      <c r="AB72" s="399"/>
      <c r="AC72" s="399"/>
      <c r="AD72" s="399"/>
      <c r="AE72" s="399"/>
      <c r="AF72" s="399"/>
      <c r="AG72" s="399"/>
      <c r="AH72" s="399"/>
      <c r="AI72" s="399"/>
      <c r="AJ72" s="399"/>
      <c r="AK72" s="39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19"/>
      <c r="CA72" s="19"/>
      <c r="CB72" s="19"/>
      <c r="CC72" s="19"/>
      <c r="CD72" s="19"/>
      <c r="CE72" s="19"/>
      <c r="CF72" s="19"/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19"/>
      <c r="CR72" s="19"/>
      <c r="CS72" s="19"/>
      <c r="CT72" s="19"/>
      <c r="CU72" s="19"/>
      <c r="CV72" s="19"/>
      <c r="CW72" s="19"/>
      <c r="CX72" s="19"/>
      <c r="CY72" s="19"/>
      <c r="CZ72" s="19"/>
      <c r="DA72" s="19"/>
      <c r="DB72" s="19"/>
      <c r="DC72" s="19"/>
      <c r="DD72" s="19"/>
      <c r="DE72" s="19"/>
      <c r="DF72" s="19"/>
      <c r="DG72" s="19"/>
      <c r="DH72" s="19"/>
      <c r="DI72" s="19"/>
      <c r="DJ72" s="19"/>
      <c r="DK72" s="19"/>
      <c r="DL72" s="19"/>
      <c r="DM72" s="19"/>
      <c r="DN72" s="19"/>
      <c r="DO72" s="19"/>
      <c r="DP72" s="19"/>
      <c r="DQ72" s="19"/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  <c r="EG72" s="19"/>
      <c r="EH72" s="19"/>
      <c r="EI72" s="19"/>
    </row>
    <row r="73" spans="1:139" ht="15.75" thickBot="1" x14ac:dyDescent="0.3">
      <c r="A73" s="19"/>
      <c r="B73" s="196" t="s">
        <v>121</v>
      </c>
      <c r="C73" s="197" t="s">
        <v>122</v>
      </c>
      <c r="D73" s="465" t="s">
        <v>43</v>
      </c>
      <c r="E73" s="196">
        <f>+E46</f>
        <v>1</v>
      </c>
      <c r="F73" s="203">
        <f t="shared" ref="F73:H73" si="29">+F46</f>
        <v>2</v>
      </c>
      <c r="G73" s="203">
        <f t="shared" si="29"/>
        <v>3</v>
      </c>
      <c r="H73" s="203">
        <f t="shared" si="29"/>
        <v>4</v>
      </c>
      <c r="I73" s="436">
        <f t="shared" ref="I73" si="30">+I46</f>
        <v>5</v>
      </c>
      <c r="J73" s="529"/>
      <c r="K73" s="800" t="s">
        <v>716</v>
      </c>
      <c r="L73" s="801"/>
      <c r="M73" s="802"/>
      <c r="N73" s="529"/>
      <c r="O73" s="794" t="s">
        <v>722</v>
      </c>
      <c r="P73" s="795"/>
      <c r="Q73" s="795"/>
      <c r="R73" s="796"/>
      <c r="S73" s="529"/>
      <c r="T73" s="529"/>
      <c r="U73" s="623"/>
      <c r="V73" s="536"/>
      <c r="W73" s="529"/>
      <c r="X73" s="529">
        <v>7.0999999999999994E-2</v>
      </c>
      <c r="Y73" s="399"/>
      <c r="Z73" s="399"/>
      <c r="AH73" s="399"/>
      <c r="AI73" s="399"/>
      <c r="AJ73" s="399"/>
      <c r="AK73" s="39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19"/>
      <c r="CD73" s="19"/>
      <c r="CE73" s="19"/>
      <c r="CF73" s="19"/>
      <c r="CG73" s="19"/>
      <c r="CH73" s="19"/>
      <c r="CI73" s="19"/>
      <c r="CJ73" s="19"/>
      <c r="CK73" s="19"/>
      <c r="CL73" s="19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C73" s="19"/>
      <c r="DD73" s="19"/>
      <c r="DE73" s="19"/>
      <c r="DF73" s="19"/>
      <c r="DG73" s="19"/>
      <c r="DH73" s="19"/>
      <c r="DI73" s="19"/>
      <c r="DJ73" s="19"/>
      <c r="DK73" s="19"/>
      <c r="DL73" s="19"/>
      <c r="DM73" s="19"/>
      <c r="DN73" s="19"/>
      <c r="DO73" s="19"/>
      <c r="DP73" s="19"/>
      <c r="DQ73" s="19"/>
      <c r="DR73" s="19"/>
      <c r="DS73" s="19"/>
      <c r="DT73" s="19"/>
      <c r="DU73" s="19"/>
      <c r="DV73" s="19"/>
      <c r="DW73" s="19"/>
      <c r="DX73" s="19"/>
      <c r="DY73" s="19"/>
      <c r="DZ73" s="19"/>
      <c r="EA73" s="19"/>
      <c r="EB73" s="19"/>
      <c r="EC73" s="19"/>
      <c r="ED73" s="19"/>
      <c r="EE73" s="19"/>
      <c r="EF73" s="19"/>
      <c r="EG73" s="19"/>
      <c r="EH73" s="19"/>
      <c r="EI73" s="19"/>
    </row>
    <row r="74" spans="1:139" x14ac:dyDescent="0.25">
      <c r="A74" s="19"/>
      <c r="B74" s="198" t="s">
        <v>311</v>
      </c>
      <c r="C74" s="31" t="s">
        <v>312</v>
      </c>
      <c r="D74" s="464" t="s">
        <v>188</v>
      </c>
      <c r="E74" s="437">
        <f t="shared" ref="E74:H74" si="31">+E114</f>
        <v>94.779244218559427</v>
      </c>
      <c r="F74" s="121">
        <f>+F114</f>
        <v>54.567125926793025</v>
      </c>
      <c r="G74" s="35">
        <f t="shared" si="31"/>
        <v>23.736163049808454</v>
      </c>
      <c r="H74" s="35">
        <f t="shared" si="31"/>
        <v>13.356307524061549</v>
      </c>
      <c r="I74" s="438">
        <f t="shared" ref="I74" si="32">+I114</f>
        <v>8.9216295658184173</v>
      </c>
      <c r="J74" s="529"/>
      <c r="K74" s="692" t="s">
        <v>286</v>
      </c>
      <c r="L74" s="699">
        <f>+K99</f>
        <v>0.36211029447437032</v>
      </c>
      <c r="M74" s="693" t="s">
        <v>287</v>
      </c>
      <c r="N74" s="529"/>
      <c r="O74" s="797" t="s">
        <v>723</v>
      </c>
      <c r="P74" s="798"/>
      <c r="Q74" s="798" t="s">
        <v>724</v>
      </c>
      <c r="R74" s="799"/>
      <c r="S74" s="529"/>
      <c r="T74" s="529"/>
      <c r="U74" s="623"/>
      <c r="V74" s="536"/>
      <c r="W74" s="529"/>
      <c r="X74" s="529">
        <v>7.9000000000000001E-2</v>
      </c>
      <c r="Y74" s="399"/>
      <c r="Z74" s="399"/>
      <c r="AA74" s="399"/>
      <c r="AB74" s="399"/>
      <c r="AC74" s="399"/>
      <c r="AD74" s="399"/>
      <c r="AE74" s="399"/>
      <c r="AF74" s="399"/>
      <c r="AG74" s="399"/>
      <c r="AH74" s="399"/>
      <c r="AI74" s="399"/>
      <c r="AJ74" s="399"/>
      <c r="AK74" s="39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  <c r="BZ74" s="19"/>
      <c r="CA74" s="19"/>
      <c r="CB74" s="19"/>
      <c r="CC74" s="19"/>
      <c r="CD74" s="19"/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19"/>
      <c r="CR74" s="19"/>
      <c r="CS74" s="19"/>
      <c r="CT74" s="19"/>
      <c r="CU74" s="19"/>
      <c r="CV74" s="19"/>
      <c r="CW74" s="19"/>
      <c r="CX74" s="19"/>
      <c r="CY74" s="19"/>
      <c r="CZ74" s="19"/>
      <c r="DA74" s="19"/>
      <c r="DB74" s="19"/>
      <c r="DC74" s="19"/>
      <c r="DD74" s="19"/>
      <c r="DE74" s="19"/>
      <c r="DF74" s="19"/>
      <c r="DG74" s="19"/>
      <c r="DH74" s="19"/>
      <c r="DI74" s="19"/>
      <c r="DJ74" s="19"/>
      <c r="DK74" s="19"/>
      <c r="DL74" s="19"/>
      <c r="DM74" s="19"/>
      <c r="DN74" s="19"/>
      <c r="DO74" s="19"/>
      <c r="DP74" s="19"/>
      <c r="DQ74" s="19"/>
      <c r="DR74" s="19"/>
      <c r="DS74" s="19"/>
      <c r="DT74" s="19"/>
      <c r="DU74" s="19"/>
      <c r="DV74" s="19"/>
      <c r="DW74" s="19"/>
      <c r="DX74" s="19"/>
      <c r="DY74" s="19"/>
      <c r="DZ74" s="19"/>
      <c r="EA74" s="19"/>
      <c r="EB74" s="19"/>
      <c r="EC74" s="19"/>
      <c r="ED74" s="19"/>
      <c r="EE74" s="19"/>
      <c r="EF74" s="19"/>
      <c r="EG74" s="19"/>
      <c r="EH74" s="19"/>
      <c r="EI74" s="19"/>
    </row>
    <row r="75" spans="1:139" x14ac:dyDescent="0.25">
      <c r="A75" s="19"/>
      <c r="B75" s="198" t="s">
        <v>123</v>
      </c>
      <c r="C75" s="31" t="s">
        <v>138</v>
      </c>
      <c r="D75" s="464" t="s">
        <v>124</v>
      </c>
      <c r="E75" s="437">
        <f>+D9</f>
        <v>17</v>
      </c>
      <c r="F75" s="121">
        <f>+E76</f>
        <v>26.521661695993675</v>
      </c>
      <c r="G75" s="35">
        <f>+F76</f>
        <v>46.573275987073607</v>
      </c>
      <c r="H75" s="35">
        <f>+G76</f>
        <v>68.820914215846656</v>
      </c>
      <c r="I75" s="438">
        <f>+H76</f>
        <v>83.236790521210978</v>
      </c>
      <c r="J75" s="529"/>
      <c r="K75" s="694" t="s">
        <v>351</v>
      </c>
      <c r="L75" s="384">
        <f>+K100</f>
        <v>5.4617664463653997</v>
      </c>
      <c r="M75" s="695" t="s">
        <v>208</v>
      </c>
      <c r="N75" s="529"/>
      <c r="O75" s="696" t="s">
        <v>566</v>
      </c>
      <c r="P75" s="697" t="s">
        <v>19</v>
      </c>
      <c r="Q75" s="697" t="s">
        <v>566</v>
      </c>
      <c r="R75" s="698" t="s">
        <v>19</v>
      </c>
      <c r="S75" s="529"/>
      <c r="T75" s="529"/>
      <c r="U75" s="623"/>
      <c r="V75" s="536"/>
      <c r="W75" s="529"/>
      <c r="X75" s="529">
        <v>8.6999999999999994E-2</v>
      </c>
      <c r="Y75" s="399"/>
      <c r="Z75" s="399"/>
      <c r="AA75" s="399"/>
      <c r="AB75" s="399"/>
      <c r="AC75" s="399"/>
      <c r="AD75" s="399"/>
      <c r="AE75" s="399"/>
      <c r="AF75" s="399"/>
      <c r="AG75" s="399"/>
      <c r="AH75" s="399"/>
      <c r="AI75" s="399"/>
      <c r="AJ75" s="399"/>
      <c r="AK75" s="39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  <c r="BZ75" s="19"/>
      <c r="CA75" s="19"/>
      <c r="CB75" s="19"/>
      <c r="CC75" s="19"/>
      <c r="CD75" s="19"/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C75" s="19"/>
      <c r="DD75" s="19"/>
      <c r="DE75" s="19"/>
      <c r="DF75" s="19"/>
      <c r="DG75" s="19"/>
      <c r="DH75" s="19"/>
      <c r="DI75" s="19"/>
      <c r="DJ75" s="19"/>
      <c r="DK75" s="19"/>
      <c r="DL75" s="19"/>
      <c r="DM75" s="19"/>
      <c r="DN75" s="19"/>
      <c r="DO75" s="19"/>
      <c r="DP75" s="19"/>
      <c r="DQ75" s="19"/>
      <c r="DR75" s="19"/>
      <c r="DS75" s="19"/>
      <c r="DT75" s="19"/>
      <c r="DU75" s="19"/>
      <c r="DV75" s="19"/>
      <c r="DW75" s="19"/>
      <c r="DX75" s="19"/>
      <c r="DY75" s="19"/>
      <c r="DZ75" s="19"/>
      <c r="EA75" s="19"/>
      <c r="EB75" s="19"/>
      <c r="EC75" s="19"/>
      <c r="ED75" s="19"/>
      <c r="EE75" s="19"/>
      <c r="EF75" s="19"/>
      <c r="EG75" s="19"/>
      <c r="EH75" s="19"/>
      <c r="EI75" s="19"/>
    </row>
    <row r="76" spans="1:139" x14ac:dyDescent="0.25">
      <c r="A76" s="19"/>
      <c r="B76" s="198" t="s">
        <v>125</v>
      </c>
      <c r="C76" s="32" t="s">
        <v>139</v>
      </c>
      <c r="D76" s="464" t="s">
        <v>124</v>
      </c>
      <c r="E76" s="439">
        <f>ABS(+XbrixCl(E78,E75,D8,E74,$D$9,$D$21/760,D19))</f>
        <v>26.521661695993675</v>
      </c>
      <c r="F76" s="192">
        <f>ABS(XbrixCl(F78,F75,0,F74,$D$9,$D$21/760,E79))</f>
        <v>46.573275987073607</v>
      </c>
      <c r="G76" s="192">
        <f>ABS(+XbrixCl(G78,G75,0,G74,$D$9,$D$21/760,F79))</f>
        <v>68.820914215846656</v>
      </c>
      <c r="H76" s="192">
        <f>ABS(+XbrixCl(H78,H75,0,H74,$D$9,$D$21/760,G79))</f>
        <v>83.236790521210978</v>
      </c>
      <c r="I76" s="440">
        <f>+ABS(XbrixCl(I78,I75,0,I74,$D$9,$D$21/760,H79))</f>
        <v>93.40006430070558</v>
      </c>
      <c r="J76" s="529"/>
      <c r="K76" s="687" t="s">
        <v>717</v>
      </c>
      <c r="L76" s="700">
        <f>+E88</f>
        <v>102.27645766787815</v>
      </c>
      <c r="M76" s="385" t="s">
        <v>131</v>
      </c>
      <c r="N76" s="529"/>
      <c r="O76" s="687" t="s">
        <v>725</v>
      </c>
      <c r="P76" s="700">
        <f>+E74</f>
        <v>94.779244218559427</v>
      </c>
      <c r="Q76" s="686" t="s">
        <v>725</v>
      </c>
      <c r="R76" s="688"/>
      <c r="S76" s="529"/>
      <c r="T76" s="529"/>
      <c r="U76" s="623"/>
      <c r="V76" s="536"/>
      <c r="W76" s="529"/>
      <c r="X76" s="529">
        <v>9.4E-2</v>
      </c>
      <c r="Y76" s="399"/>
      <c r="Z76" s="399"/>
      <c r="AA76" s="399"/>
      <c r="AB76" s="399"/>
      <c r="AC76" s="399"/>
      <c r="AD76" s="399"/>
      <c r="AE76" s="399"/>
      <c r="AF76" s="399"/>
      <c r="AG76" s="399"/>
      <c r="AH76" s="399"/>
      <c r="AI76" s="399"/>
      <c r="AJ76" s="399"/>
      <c r="AK76" s="39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  <c r="BZ76" s="19"/>
      <c r="CA76" s="19"/>
      <c r="CB76" s="19"/>
      <c r="CC76" s="19"/>
      <c r="CD76" s="19"/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19"/>
      <c r="CP76" s="19"/>
      <c r="CQ76" s="19"/>
      <c r="CR76" s="19"/>
      <c r="CS76" s="19"/>
      <c r="CT76" s="19"/>
      <c r="CU76" s="19"/>
      <c r="CV76" s="19"/>
      <c r="CW76" s="19"/>
      <c r="CX76" s="19"/>
      <c r="CY76" s="19"/>
      <c r="CZ76" s="19"/>
      <c r="DA76" s="19"/>
      <c r="DB76" s="19"/>
      <c r="DC76" s="19"/>
      <c r="DD76" s="19"/>
      <c r="DE76" s="19"/>
      <c r="DF76" s="19"/>
      <c r="DG76" s="19"/>
      <c r="DH76" s="19"/>
      <c r="DI76" s="19"/>
      <c r="DJ76" s="19"/>
      <c r="DK76" s="19"/>
      <c r="DL76" s="19"/>
      <c r="DM76" s="19"/>
      <c r="DN76" s="19"/>
      <c r="DO76" s="19"/>
      <c r="DP76" s="19"/>
      <c r="DQ76" s="19"/>
      <c r="DR76" s="19"/>
      <c r="DS76" s="19"/>
      <c r="DT76" s="19"/>
      <c r="DU76" s="19"/>
      <c r="DV76" s="19"/>
      <c r="DW76" s="19"/>
      <c r="DX76" s="19"/>
      <c r="DY76" s="19"/>
      <c r="DZ76" s="19"/>
      <c r="EA76" s="19"/>
      <c r="EB76" s="19"/>
      <c r="EC76" s="19"/>
      <c r="ED76" s="19"/>
      <c r="EE76" s="19"/>
      <c r="EF76" s="19"/>
      <c r="EG76" s="19"/>
      <c r="EH76" s="19"/>
      <c r="EI76" s="19"/>
    </row>
    <row r="77" spans="1:139" x14ac:dyDescent="0.25">
      <c r="A77" s="19"/>
      <c r="B77" s="198" t="s">
        <v>126</v>
      </c>
      <c r="C77" s="32" t="s">
        <v>140</v>
      </c>
      <c r="D77" s="464" t="s">
        <v>124</v>
      </c>
      <c r="E77" s="441">
        <f t="shared" ref="E77:G77" si="33">+AVERAGE(E75:E76)</f>
        <v>21.760830847996836</v>
      </c>
      <c r="F77" s="194">
        <f t="shared" si="33"/>
        <v>36.547468841533643</v>
      </c>
      <c r="G77" s="193">
        <f t="shared" si="33"/>
        <v>57.697095101460135</v>
      </c>
      <c r="H77" s="193">
        <f>+AVERAGE(H75:H76)</f>
        <v>76.028852368528817</v>
      </c>
      <c r="I77" s="442">
        <f>+AVERAGE(I75:I76)</f>
        <v>88.318427410958279</v>
      </c>
      <c r="J77" s="529"/>
      <c r="K77" s="687" t="s">
        <v>718</v>
      </c>
      <c r="L77" s="700">
        <f>+F88</f>
        <v>108.67800813645503</v>
      </c>
      <c r="M77" s="385" t="s">
        <v>131</v>
      </c>
      <c r="N77" s="529"/>
      <c r="O77" s="687" t="s">
        <v>726</v>
      </c>
      <c r="P77" s="700">
        <f>+F74</f>
        <v>54.567125926793025</v>
      </c>
      <c r="Q77" s="686" t="s">
        <v>726</v>
      </c>
      <c r="R77" s="688"/>
      <c r="S77" s="529"/>
      <c r="T77" s="529"/>
      <c r="U77" s="623"/>
      <c r="V77" s="536"/>
      <c r="W77" s="529"/>
      <c r="X77" s="529">
        <v>0.10199999999999999</v>
      </c>
      <c r="Y77" s="399"/>
      <c r="Z77" s="399"/>
      <c r="AA77" s="399"/>
      <c r="AB77" s="399"/>
      <c r="AC77" s="399"/>
      <c r="AD77" s="399"/>
      <c r="AE77" s="399"/>
      <c r="AF77" s="399"/>
      <c r="AG77" s="399"/>
      <c r="AH77" s="399"/>
      <c r="AI77" s="399"/>
      <c r="AJ77" s="399"/>
      <c r="AK77" s="39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19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19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</row>
    <row r="78" spans="1:139" x14ac:dyDescent="0.25">
      <c r="A78" s="19"/>
      <c r="B78" s="198" t="s">
        <v>313</v>
      </c>
      <c r="C78" s="31" t="s">
        <v>315</v>
      </c>
      <c r="D78" s="466" t="s">
        <v>38</v>
      </c>
      <c r="E78" s="441">
        <f>+K6</f>
        <v>326.31729055258472</v>
      </c>
      <c r="F78" s="194">
        <f>+E78*E75/E76-4%*(E78*E75/E76)</f>
        <v>200.79805869112056</v>
      </c>
      <c r="G78" s="193">
        <f>+F78*F75/F76</f>
        <v>114.34665200052218</v>
      </c>
      <c r="H78" s="193">
        <f>+G78</f>
        <v>114.34665200052218</v>
      </c>
      <c r="I78" s="442">
        <f>+H78</f>
        <v>114.34665200052218</v>
      </c>
      <c r="J78" s="529"/>
      <c r="K78" s="687" t="s">
        <v>719</v>
      </c>
      <c r="L78" s="700">
        <f>+G88</f>
        <v>136.65284842562352</v>
      </c>
      <c r="M78" s="385" t="s">
        <v>131</v>
      </c>
      <c r="N78" s="529"/>
      <c r="O78" s="687" t="s">
        <v>727</v>
      </c>
      <c r="P78" s="700">
        <f>+G74</f>
        <v>23.736163049808454</v>
      </c>
      <c r="Q78" s="686" t="s">
        <v>727</v>
      </c>
      <c r="R78" s="688"/>
      <c r="S78" s="529"/>
      <c r="T78" s="529"/>
      <c r="U78" s="623"/>
      <c r="V78" s="536"/>
      <c r="W78" s="529"/>
      <c r="X78" s="529">
        <v>0.11</v>
      </c>
      <c r="Y78" s="399"/>
      <c r="Z78" s="399"/>
      <c r="AA78" s="399"/>
      <c r="AB78" s="399"/>
      <c r="AC78" s="399"/>
      <c r="AD78" s="399"/>
      <c r="AE78" s="399"/>
      <c r="AF78" s="399"/>
      <c r="AG78" s="399"/>
      <c r="AH78" s="399"/>
      <c r="AI78" s="399"/>
      <c r="AJ78" s="399"/>
      <c r="AK78" s="39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  <c r="BZ78" s="19"/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C78" s="19"/>
      <c r="DD78" s="19"/>
      <c r="DE78" s="19"/>
      <c r="DF78" s="19"/>
      <c r="DG78" s="19"/>
      <c r="DH78" s="19"/>
      <c r="DI78" s="19"/>
      <c r="DJ78" s="19"/>
      <c r="DK78" s="19"/>
      <c r="DL78" s="19"/>
      <c r="DM78" s="19"/>
      <c r="DN78" s="19"/>
      <c r="DO78" s="19"/>
      <c r="DP78" s="19"/>
      <c r="DQ78" s="19"/>
      <c r="DR78" s="19"/>
      <c r="DS78" s="19"/>
      <c r="DT78" s="19"/>
      <c r="DU78" s="19"/>
      <c r="DV78" s="19"/>
      <c r="DW78" s="19"/>
      <c r="DX78" s="19"/>
      <c r="DY78" s="19"/>
      <c r="DZ78" s="19"/>
      <c r="EA78" s="19"/>
      <c r="EB78" s="19"/>
      <c r="EC78" s="19"/>
      <c r="ED78" s="19"/>
      <c r="EE78" s="19"/>
      <c r="EF78" s="19"/>
      <c r="EG78" s="19"/>
      <c r="EH78" s="19"/>
      <c r="EI78" s="19"/>
    </row>
    <row r="79" spans="1:139" x14ac:dyDescent="0.25">
      <c r="A79" s="19"/>
      <c r="B79" s="198" t="s">
        <v>316</v>
      </c>
      <c r="C79" s="31" t="s">
        <v>317</v>
      </c>
      <c r="D79" s="466" t="s">
        <v>131</v>
      </c>
      <c r="E79" s="441">
        <f>+Tjugo($D$21/760,E77)</f>
        <v>97.041833543936747</v>
      </c>
      <c r="F79" s="194">
        <f>+Tjugo($D$21/760,F77)</f>
        <v>97.991063678044981</v>
      </c>
      <c r="G79" s="194">
        <f t="shared" ref="G79:H79" si="34">+Tjugo($D$21/760,G77)</f>
        <v>101.7936528947712</v>
      </c>
      <c r="H79" s="194">
        <f t="shared" si="34"/>
        <v>111.55228956122929</v>
      </c>
      <c r="I79" s="612">
        <f t="shared" ref="I79" si="35">+Tjugo($D$21/760,I77)</f>
        <v>126.54330863783881</v>
      </c>
      <c r="J79" s="529"/>
      <c r="K79" s="687" t="s">
        <v>720</v>
      </c>
      <c r="L79" s="700">
        <f>+H88</f>
        <v>206.62691511881633</v>
      </c>
      <c r="M79" s="385" t="s">
        <v>131</v>
      </c>
      <c r="N79" s="529"/>
      <c r="O79" s="687" t="s">
        <v>728</v>
      </c>
      <c r="P79" s="700">
        <f>+H74</f>
        <v>13.356307524061549</v>
      </c>
      <c r="Q79" s="686" t="s">
        <v>728</v>
      </c>
      <c r="R79" s="688"/>
      <c r="S79" s="529"/>
      <c r="T79" s="529"/>
      <c r="U79" s="623"/>
      <c r="V79" s="536"/>
      <c r="W79" s="529"/>
      <c r="X79" s="529">
        <v>0.11700000000000001</v>
      </c>
      <c r="Y79" s="399"/>
      <c r="Z79" s="399"/>
      <c r="AA79" s="399"/>
      <c r="AB79" s="399"/>
      <c r="AC79" s="399"/>
      <c r="AD79" s="399"/>
      <c r="AE79" s="399"/>
      <c r="AF79" s="399"/>
      <c r="AG79" s="399"/>
      <c r="AH79" s="399"/>
      <c r="AI79" s="399"/>
      <c r="AJ79" s="399"/>
      <c r="AK79" s="39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C79" s="19"/>
      <c r="DD79" s="19"/>
      <c r="DE79" s="19"/>
      <c r="DF79" s="19"/>
      <c r="DG79" s="19"/>
      <c r="DH79" s="19"/>
      <c r="DI79" s="19"/>
      <c r="DJ79" s="19"/>
      <c r="DK79" s="19"/>
      <c r="DL79" s="19"/>
      <c r="DM79" s="19"/>
      <c r="DN79" s="19"/>
      <c r="DO79" s="19"/>
      <c r="DP79" s="19"/>
      <c r="DQ79" s="19"/>
      <c r="DR79" s="19"/>
      <c r="DS79" s="19"/>
      <c r="DT79" s="19"/>
      <c r="DU79" s="19"/>
      <c r="DV79" s="19"/>
      <c r="DW79" s="19"/>
      <c r="DX79" s="19"/>
      <c r="DY79" s="19"/>
      <c r="DZ79" s="19"/>
      <c r="EA79" s="19"/>
      <c r="EB79" s="19"/>
      <c r="EC79" s="19"/>
      <c r="ED79" s="19"/>
      <c r="EE79" s="19"/>
      <c r="EF79" s="19"/>
      <c r="EG79" s="19"/>
      <c r="EH79" s="19"/>
      <c r="EI79" s="19"/>
    </row>
    <row r="80" spans="1:139" ht="15.75" thickBot="1" x14ac:dyDescent="0.3">
      <c r="A80" s="19"/>
      <c r="B80" s="198" t="s">
        <v>269</v>
      </c>
      <c r="C80" s="31" t="s">
        <v>272</v>
      </c>
      <c r="D80" s="464" t="s">
        <v>270</v>
      </c>
      <c r="E80" s="443">
        <f>+(EXP(-11.229+(3257.5/(E79+273.15))+(0.07572*E77)))/1000</f>
        <v>4.5759164463917958E-4</v>
      </c>
      <c r="F80" s="206">
        <f t="shared" ref="F80:H80" si="36">+(EXP(-11.229+(3257.5/(F79+273.15))+(0.07572*F77)))/1000</f>
        <v>1.3707534558381365E-3</v>
      </c>
      <c r="G80" s="206">
        <f t="shared" si="36"/>
        <v>6.2201632556317648E-3</v>
      </c>
      <c r="H80" s="206">
        <f t="shared" si="36"/>
        <v>1.9995183627231395E-2</v>
      </c>
      <c r="I80" s="444">
        <f t="shared" ref="I80" si="37">+(EXP(-11.229+(3257.5/(I79+273.15))+(0.07572*I77)))/1000</f>
        <v>3.6909543873730369E-2</v>
      </c>
      <c r="J80" s="529"/>
      <c r="K80" s="689" t="s">
        <v>721</v>
      </c>
      <c r="L80" s="701">
        <f>+I88</f>
        <v>368.86401405537993</v>
      </c>
      <c r="M80" s="386" t="s">
        <v>131</v>
      </c>
      <c r="N80" s="529"/>
      <c r="O80" s="689" t="s">
        <v>729</v>
      </c>
      <c r="P80" s="701">
        <f>+I74</f>
        <v>8.9216295658184173</v>
      </c>
      <c r="Q80" s="690" t="s">
        <v>729</v>
      </c>
      <c r="R80" s="691"/>
      <c r="S80" s="529"/>
      <c r="T80" s="529"/>
      <c r="U80" s="623"/>
      <c r="V80" s="536"/>
      <c r="W80" s="529"/>
      <c r="X80" s="529">
        <v>3.9E-2</v>
      </c>
      <c r="Y80" s="399"/>
      <c r="Z80" s="399"/>
      <c r="AA80" s="399"/>
      <c r="AB80" s="399"/>
      <c r="AC80" s="399"/>
      <c r="AD80" s="399"/>
      <c r="AE80" s="399"/>
      <c r="AF80" s="399"/>
      <c r="AG80" s="399"/>
      <c r="AH80" s="399"/>
      <c r="AI80" s="399"/>
      <c r="AJ80" s="399"/>
      <c r="AK80" s="39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19"/>
      <c r="CD80" s="19"/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19"/>
      <c r="CR80" s="19"/>
      <c r="CS80" s="19"/>
      <c r="CT80" s="19"/>
      <c r="CU80" s="19"/>
      <c r="CV80" s="19"/>
      <c r="CW80" s="19"/>
      <c r="CX80" s="19"/>
      <c r="CY80" s="19"/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</row>
    <row r="81" spans="1:139" x14ac:dyDescent="0.25">
      <c r="A81" s="19"/>
      <c r="B81" s="199" t="s">
        <v>271</v>
      </c>
      <c r="C81" s="31" t="s">
        <v>273</v>
      </c>
      <c r="D81" s="464" t="s">
        <v>274</v>
      </c>
      <c r="E81" s="437">
        <v>5.5460000000000002E-2</v>
      </c>
      <c r="F81" s="121">
        <v>5.5460000000000002E-2</v>
      </c>
      <c r="G81" s="35">
        <v>5.5460000000000002E-2</v>
      </c>
      <c r="H81" s="35">
        <v>5.5460000000000002E-2</v>
      </c>
      <c r="I81" s="438">
        <v>1.0554600000000001</v>
      </c>
      <c r="J81" s="529"/>
      <c r="K81" s="529"/>
      <c r="L81" s="529"/>
      <c r="M81" s="529"/>
      <c r="N81" s="529"/>
      <c r="O81" s="529"/>
      <c r="P81" s="529"/>
      <c r="Q81" s="529"/>
      <c r="R81" s="529"/>
      <c r="S81" s="529"/>
      <c r="T81" s="529"/>
      <c r="U81" s="623"/>
      <c r="V81" s="536"/>
      <c r="W81" s="529"/>
      <c r="X81" s="529">
        <f>+SUM(X71:X80)</f>
        <v>0.78099999999999992</v>
      </c>
      <c r="Y81" s="399"/>
      <c r="Z81" s="399"/>
      <c r="AA81" s="399"/>
      <c r="AB81" s="399"/>
      <c r="AC81" s="399"/>
      <c r="AD81" s="399"/>
      <c r="AE81" s="399"/>
      <c r="AF81" s="399"/>
      <c r="AG81" s="399"/>
      <c r="AH81" s="399"/>
      <c r="AI81" s="399"/>
      <c r="AJ81" s="399"/>
      <c r="AK81" s="39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</row>
    <row r="82" spans="1:139" x14ac:dyDescent="0.25">
      <c r="A82" s="19"/>
      <c r="B82" s="199" t="s">
        <v>198</v>
      </c>
      <c r="C82" s="31" t="s">
        <v>276</v>
      </c>
      <c r="D82" s="464" t="s">
        <v>275</v>
      </c>
      <c r="E82" s="437">
        <f>1043+4.854*E77-1.07*E79</f>
        <v>1044.7923110441643</v>
      </c>
      <c r="F82" s="121">
        <f t="shared" ref="F82:H82" si="38">1043+4.854*F77-1.07*F79</f>
        <v>1115.5509756212962</v>
      </c>
      <c r="G82" s="35">
        <f t="shared" si="38"/>
        <v>1214.1424910250823</v>
      </c>
      <c r="H82" s="35">
        <f t="shared" si="38"/>
        <v>1292.6830995663236</v>
      </c>
      <c r="I82" s="438">
        <f t="shared" ref="I82" si="39">1043+4.854*I77-1.07*I79</f>
        <v>1336.2963064103039</v>
      </c>
      <c r="J82" s="529"/>
      <c r="K82" s="529"/>
      <c r="L82" s="529"/>
      <c r="M82" s="529"/>
      <c r="N82" s="529"/>
      <c r="O82" s="529"/>
      <c r="P82" s="529"/>
      <c r="Q82" s="529"/>
      <c r="R82" s="529"/>
      <c r="S82" s="529"/>
      <c r="T82" s="529"/>
      <c r="U82" s="623"/>
      <c r="V82" s="536"/>
      <c r="W82" s="529"/>
      <c r="X82" s="529"/>
      <c r="Y82" s="399"/>
      <c r="Z82" s="399"/>
      <c r="AA82" s="399"/>
      <c r="AB82" s="399"/>
      <c r="AC82" s="399"/>
      <c r="AD82" s="399"/>
      <c r="AE82" s="399"/>
      <c r="AF82" s="399"/>
      <c r="AG82" s="399"/>
      <c r="AH82" s="399"/>
      <c r="AI82" s="399"/>
      <c r="AJ82" s="399"/>
      <c r="AK82" s="39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</row>
    <row r="83" spans="1:139" x14ac:dyDescent="0.25">
      <c r="A83" s="19"/>
      <c r="B83" s="198" t="s">
        <v>526</v>
      </c>
      <c r="C83" s="31" t="s">
        <v>129</v>
      </c>
      <c r="D83" s="464" t="s">
        <v>47</v>
      </c>
      <c r="E83" s="441">
        <f>4.18*(1-0.006*E77)</f>
        <v>3.6342383623322392</v>
      </c>
      <c r="F83" s="193">
        <f t="shared" ref="F83:H83" si="40">4.18*(1-0.006*F77)</f>
        <v>3.263389481454336</v>
      </c>
      <c r="G83" s="193">
        <f t="shared" si="40"/>
        <v>2.7329568548553791</v>
      </c>
      <c r="H83" s="193">
        <f t="shared" si="40"/>
        <v>2.2731963825972969</v>
      </c>
      <c r="I83" s="442">
        <f t="shared" ref="I83" si="41">4.18*(1-0.006*I77)</f>
        <v>1.9649738405331663</v>
      </c>
      <c r="J83" s="529"/>
      <c r="K83" s="529"/>
      <c r="L83" s="529"/>
      <c r="M83" s="529"/>
      <c r="N83" s="529"/>
      <c r="O83" s="529"/>
      <c r="P83" s="529"/>
      <c r="Q83" s="529"/>
      <c r="R83" s="529"/>
      <c r="S83" s="529"/>
      <c r="T83" s="529"/>
      <c r="U83" s="623"/>
      <c r="V83" s="536"/>
      <c r="W83" s="529"/>
      <c r="X83" s="529"/>
      <c r="Y83" s="399"/>
      <c r="Z83" s="399"/>
      <c r="AA83" s="399"/>
      <c r="AB83" s="399"/>
      <c r="AC83" s="399"/>
      <c r="AD83" s="399"/>
      <c r="AE83" s="399"/>
      <c r="AF83" s="399"/>
      <c r="AG83" s="399"/>
      <c r="AH83" s="399"/>
      <c r="AI83" s="399"/>
      <c r="AJ83" s="399"/>
      <c r="AK83" s="39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</row>
    <row r="84" spans="1:139" x14ac:dyDescent="0.25">
      <c r="A84" s="19"/>
      <c r="B84" s="198" t="s">
        <v>132</v>
      </c>
      <c r="C84" s="195" t="s">
        <v>133</v>
      </c>
      <c r="D84" s="464" t="s">
        <v>33</v>
      </c>
      <c r="E84" s="441">
        <f>2492.9-2.0523*E79-0.0030752*E79^2</f>
        <v>2264.781525412262</v>
      </c>
      <c r="F84" s="193">
        <f t="shared" ref="F84:H84" si="42">2492.9-2.0523*F79-0.0030752*F79^2</f>
        <v>2262.2641052395156</v>
      </c>
      <c r="G84" s="193">
        <f t="shared" si="42"/>
        <v>2252.1238243827993</v>
      </c>
      <c r="H84" s="193">
        <f t="shared" si="42"/>
        <v>2225.6937139337947</v>
      </c>
      <c r="I84" s="442">
        <f t="shared" ref="I84" si="43">2492.9-2.0523*I79-0.0030752*I79^2</f>
        <v>2183.9513474856612</v>
      </c>
      <c r="J84" s="529"/>
      <c r="K84" s="529"/>
      <c r="L84" s="529"/>
      <c r="M84" s="529"/>
      <c r="N84" s="529"/>
      <c r="O84" s="529"/>
      <c r="P84" s="529"/>
      <c r="Q84" s="529"/>
      <c r="R84" s="529"/>
      <c r="S84" s="529"/>
      <c r="T84" s="529"/>
      <c r="U84" s="623"/>
      <c r="V84" s="536"/>
      <c r="W84" s="529"/>
      <c r="X84" s="529"/>
      <c r="Y84" s="399"/>
      <c r="Z84" s="399"/>
      <c r="AA84" s="399"/>
      <c r="AB84" s="399"/>
      <c r="AC84" s="399"/>
      <c r="AD84" s="399"/>
      <c r="AE84" s="399"/>
      <c r="AF84" s="399"/>
      <c r="AG84" s="399"/>
      <c r="AH84" s="399"/>
      <c r="AI84" s="399"/>
      <c r="AJ84" s="399"/>
      <c r="AK84" s="39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19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</row>
    <row r="85" spans="1:139" x14ac:dyDescent="0.25">
      <c r="A85" s="19"/>
      <c r="B85" s="199" t="s">
        <v>341</v>
      </c>
      <c r="C85" s="31" t="s">
        <v>314</v>
      </c>
      <c r="D85" s="464" t="s">
        <v>277</v>
      </c>
      <c r="E85" s="437">
        <f t="shared" ref="E85:H85" si="44">0.3815-0.0051*E77+0.001866*E79</f>
        <v>0.45159982406820209</v>
      </c>
      <c r="F85" s="121">
        <f t="shared" si="44"/>
        <v>0.37795923373141038</v>
      </c>
      <c r="G85" s="35">
        <f t="shared" si="44"/>
        <v>0.27719177128419636</v>
      </c>
      <c r="H85" s="35">
        <f t="shared" si="44"/>
        <v>0.20190942524175687</v>
      </c>
      <c r="I85" s="438">
        <f t="shared" ref="I85" si="45">0.3815-0.0051*I77+0.001866*I79</f>
        <v>0.16720583412231996</v>
      </c>
      <c r="J85" s="529"/>
      <c r="K85" s="529"/>
      <c r="L85" s="529"/>
      <c r="M85" s="529"/>
      <c r="N85" s="529"/>
      <c r="O85" s="529"/>
      <c r="P85" s="529"/>
      <c r="Q85" s="529"/>
      <c r="R85" s="529"/>
      <c r="S85" s="529"/>
      <c r="T85" s="529"/>
      <c r="U85" s="623"/>
      <c r="V85" s="536"/>
      <c r="W85" s="529"/>
      <c r="X85" s="529"/>
      <c r="Y85" s="399"/>
      <c r="Z85" s="399"/>
      <c r="AA85" s="399"/>
      <c r="AB85" s="399"/>
      <c r="AC85" s="399"/>
      <c r="AD85" s="399"/>
      <c r="AE85" s="399"/>
      <c r="AF85" s="399"/>
      <c r="AG85" s="399"/>
      <c r="AH85" s="399"/>
      <c r="AI85" s="399"/>
      <c r="AJ85" s="399"/>
      <c r="AK85" s="39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</row>
    <row r="86" spans="1:139" x14ac:dyDescent="0.25">
      <c r="A86" s="19"/>
      <c r="B86" s="198" t="s">
        <v>281</v>
      </c>
      <c r="C86" s="31" t="s">
        <v>283</v>
      </c>
      <c r="D86" s="464" t="s">
        <v>28</v>
      </c>
      <c r="E86" s="437">
        <f>+E68</f>
        <v>1.2629999999999999</v>
      </c>
      <c r="F86" s="35">
        <f t="shared" ref="F86:H86" si="46">+F68</f>
        <v>1.2629999999999999</v>
      </c>
      <c r="G86" s="35">
        <f t="shared" si="46"/>
        <v>0.78500000000000003</v>
      </c>
      <c r="H86" s="35">
        <f t="shared" si="46"/>
        <v>0.55100000000000005</v>
      </c>
      <c r="I86" s="438">
        <f t="shared" ref="I86" si="47">+I68</f>
        <v>0.55100000000000005</v>
      </c>
      <c r="J86" s="529"/>
      <c r="K86" s="529"/>
      <c r="L86" s="529"/>
      <c r="M86" s="529"/>
      <c r="N86" s="529"/>
      <c r="O86" s="529"/>
      <c r="P86" s="529"/>
      <c r="Q86" s="529"/>
      <c r="R86" s="529"/>
      <c r="S86" s="529"/>
      <c r="T86" s="529"/>
      <c r="U86" s="623"/>
      <c r="V86" s="536"/>
      <c r="W86" s="529"/>
      <c r="X86" s="529"/>
      <c r="Y86" s="399"/>
      <c r="Z86" s="399"/>
      <c r="AB86" s="399"/>
      <c r="AC86" s="399"/>
      <c r="AD86" s="399"/>
      <c r="AE86" s="399"/>
      <c r="AF86" s="399"/>
      <c r="AG86" s="399"/>
      <c r="AH86" s="399"/>
      <c r="AI86" s="399"/>
      <c r="AJ86" s="399"/>
      <c r="AK86" s="39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</row>
    <row r="87" spans="1:139" x14ac:dyDescent="0.25">
      <c r="A87" s="19"/>
      <c r="B87" s="198" t="s">
        <v>280</v>
      </c>
      <c r="C87" s="31" t="s">
        <v>282</v>
      </c>
      <c r="D87" s="464" t="s">
        <v>284</v>
      </c>
      <c r="E87" s="624">
        <f t="shared" ref="E87:H87" si="48">+E74/E86*1000</f>
        <v>75042.948708281416</v>
      </c>
      <c r="F87" s="121">
        <f t="shared" si="48"/>
        <v>43204.375238949353</v>
      </c>
      <c r="G87" s="121">
        <f t="shared" si="48"/>
        <v>30237.150381921594</v>
      </c>
      <c r="H87" s="121">
        <f t="shared" si="48"/>
        <v>24240.122548206076</v>
      </c>
      <c r="I87" s="625">
        <f t="shared" ref="I87" si="49">+I74/I86*1000</f>
        <v>16191.705201122353</v>
      </c>
      <c r="J87" s="529"/>
      <c r="K87" s="529"/>
      <c r="L87" s="529"/>
      <c r="M87" s="529"/>
      <c r="N87" s="529"/>
      <c r="O87" s="529"/>
      <c r="P87" s="529"/>
      <c r="Q87" s="529"/>
      <c r="R87" s="529"/>
      <c r="S87" s="529"/>
      <c r="T87" s="529"/>
      <c r="U87" s="623"/>
      <c r="V87" s="536"/>
      <c r="W87" s="529"/>
      <c r="X87" s="529"/>
      <c r="Y87" s="399"/>
      <c r="Z87" s="399"/>
      <c r="AA87" s="399"/>
      <c r="AB87" s="399"/>
      <c r="AC87" s="399"/>
      <c r="AD87" s="399"/>
      <c r="AE87" s="399"/>
      <c r="AF87" s="399"/>
      <c r="AG87" s="399"/>
      <c r="AH87" s="399"/>
      <c r="AI87" s="399"/>
      <c r="AJ87" s="399"/>
      <c r="AK87" s="39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</row>
    <row r="88" spans="1:139" x14ac:dyDescent="0.25">
      <c r="A88" s="19"/>
      <c r="B88" s="198" t="s">
        <v>278</v>
      </c>
      <c r="C88" s="31" t="s">
        <v>279</v>
      </c>
      <c r="D88" s="464" t="s">
        <v>131</v>
      </c>
      <c r="E88" s="437">
        <f>+tw(E87,E80,E84,E81,E82,E83,E85,E79)</f>
        <v>102.27645766787815</v>
      </c>
      <c r="F88" s="35">
        <f>+tw(F87,F80,F84,F81,F82,F83,F85,F79)</f>
        <v>108.67800813645503</v>
      </c>
      <c r="G88" s="35">
        <f>+tw(G87,G80,G84,G81,G82,G83,G85,G79)</f>
        <v>136.65284842562352</v>
      </c>
      <c r="H88" s="35">
        <f>+tw(H87,H80,H84,H81,H82,H83,H85,H79)</f>
        <v>206.62691511881633</v>
      </c>
      <c r="I88" s="438">
        <f>+tw(I87,I80,I84,I81,I82,I83,I85,I79)</f>
        <v>368.86401405537993</v>
      </c>
      <c r="J88" s="529"/>
      <c r="K88" s="529"/>
      <c r="L88" s="529"/>
      <c r="M88" s="529"/>
      <c r="N88" s="529"/>
      <c r="O88" s="529"/>
      <c r="P88" s="529"/>
      <c r="Q88" s="529"/>
      <c r="R88" s="529"/>
      <c r="S88" s="529"/>
      <c r="T88" s="529"/>
      <c r="U88" s="623"/>
      <c r="V88" s="536"/>
      <c r="W88" s="529"/>
      <c r="X88" s="399" t="s">
        <v>615</v>
      </c>
      <c r="Y88" s="399"/>
      <c r="Z88" s="399"/>
      <c r="AA88" s="399"/>
      <c r="AB88" s="399"/>
      <c r="AC88" s="399"/>
      <c r="AD88" s="399"/>
      <c r="AE88" s="399"/>
      <c r="AF88" s="399"/>
      <c r="AG88" s="399"/>
      <c r="AH88" s="399"/>
      <c r="AI88" s="399"/>
      <c r="AJ88" s="399"/>
      <c r="AK88" s="39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</row>
    <row r="89" spans="1:139" ht="15.75" thickBot="1" x14ac:dyDescent="0.3">
      <c r="A89" s="19"/>
      <c r="B89" s="200" t="s">
        <v>291</v>
      </c>
      <c r="C89" s="201" t="s">
        <v>292</v>
      </c>
      <c r="D89" s="467" t="s">
        <v>131</v>
      </c>
      <c r="E89" s="445">
        <f>+twg(E58,E87,E88)</f>
        <v>168.76800059312285</v>
      </c>
      <c r="F89" s="202">
        <f>+twg(F58,F87,F88)</f>
        <v>140.57891310940019</v>
      </c>
      <c r="G89" s="202">
        <f>+twg(G58,G87,G88)</f>
        <v>154.51386283727024</v>
      </c>
      <c r="H89" s="202">
        <f>+twg(H58,H87,H88)</f>
        <v>220.94549913566362</v>
      </c>
      <c r="I89" s="446">
        <f>+twg(I58,I87,I88)</f>
        <v>378.42841666255453</v>
      </c>
      <c r="J89" s="529"/>
      <c r="K89" s="529"/>
      <c r="L89" s="529"/>
      <c r="M89" s="529"/>
      <c r="N89" s="529"/>
      <c r="O89" s="529"/>
      <c r="P89" s="529"/>
      <c r="Q89" s="529"/>
      <c r="R89" s="529"/>
      <c r="S89" s="529"/>
      <c r="T89" s="529"/>
      <c r="U89" s="623"/>
      <c r="V89" s="536"/>
      <c r="W89" s="529"/>
      <c r="X89" s="399"/>
      <c r="Y89" s="399"/>
      <c r="Z89" s="399"/>
      <c r="AA89" s="399"/>
      <c r="AB89" s="399"/>
      <c r="AC89" s="399"/>
      <c r="AD89" s="399"/>
      <c r="AE89" s="399"/>
      <c r="AF89" s="399"/>
      <c r="AG89" s="399"/>
      <c r="AH89" s="399"/>
      <c r="AI89" s="399"/>
      <c r="AJ89" s="399"/>
      <c r="AK89" s="39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</row>
    <row r="90" spans="1:139" ht="15.75" thickBot="1" x14ac:dyDescent="0.3">
      <c r="A90" s="19"/>
      <c r="B90" s="19"/>
      <c r="C90" s="19"/>
      <c r="D90" s="542"/>
      <c r="E90" s="120">
        <f>+E78-(E78*E75/E76)</f>
        <v>117.15264608266747</v>
      </c>
      <c r="F90" s="120">
        <f t="shared" ref="F90:I90" si="50">+F78-(F78*F75/F76)</f>
        <v>86.451406690598375</v>
      </c>
      <c r="G90" s="120">
        <f t="shared" si="50"/>
        <v>36.964678184894836</v>
      </c>
      <c r="H90" s="120">
        <f t="shared" si="50"/>
        <v>19.80382930252469</v>
      </c>
      <c r="I90" s="120">
        <f t="shared" si="50"/>
        <v>12.442564560858884</v>
      </c>
      <c r="J90" s="611"/>
      <c r="K90" s="611"/>
      <c r="L90" s="611"/>
      <c r="M90" s="611"/>
      <c r="N90" s="529"/>
      <c r="O90" s="529"/>
      <c r="P90" s="529"/>
      <c r="Q90" s="529"/>
      <c r="R90" s="529"/>
      <c r="S90" s="529"/>
      <c r="T90" s="529"/>
      <c r="U90" s="529"/>
      <c r="V90" s="536"/>
      <c r="W90" s="529"/>
      <c r="X90" s="399"/>
      <c r="Y90" s="399"/>
      <c r="Z90" s="399"/>
      <c r="AA90" s="399"/>
      <c r="AB90" s="399"/>
      <c r="AC90" s="399"/>
      <c r="AD90" s="399"/>
      <c r="AE90" s="399"/>
      <c r="AF90" s="399"/>
      <c r="AG90" s="399"/>
      <c r="AH90" s="399"/>
      <c r="AI90" s="399"/>
      <c r="AJ90" s="399"/>
      <c r="AK90" s="39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</row>
    <row r="91" spans="1:139" ht="15.75" thickBot="1" x14ac:dyDescent="0.3">
      <c r="A91" s="825" t="s">
        <v>141</v>
      </c>
      <c r="B91" s="826"/>
      <c r="C91" s="826"/>
      <c r="D91" s="826"/>
      <c r="E91" s="826"/>
      <c r="F91" s="826"/>
      <c r="G91" s="826"/>
      <c r="H91" s="826"/>
      <c r="I91" s="826"/>
      <c r="J91" s="826"/>
      <c r="K91" s="826"/>
      <c r="L91" s="826"/>
      <c r="M91" s="826"/>
      <c r="N91" s="826"/>
      <c r="O91" s="826"/>
      <c r="P91" s="826"/>
      <c r="Q91" s="826"/>
      <c r="R91" s="826"/>
      <c r="S91" s="826"/>
      <c r="T91" s="826"/>
      <c r="U91" s="827"/>
      <c r="W91" s="19"/>
      <c r="X91" s="399"/>
      <c r="Y91" s="399"/>
      <c r="Z91" s="399"/>
      <c r="AA91" s="399"/>
      <c r="AB91" s="399"/>
      <c r="AC91" s="399"/>
      <c r="AD91" s="399"/>
      <c r="AE91" s="399"/>
      <c r="AF91" s="399"/>
      <c r="AG91" s="399"/>
      <c r="AH91" s="399"/>
      <c r="AI91" s="399"/>
      <c r="AJ91" s="399"/>
      <c r="AK91" s="39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</row>
    <row r="92" spans="1:139" ht="15.75" thickBot="1" x14ac:dyDescent="0.3">
      <c r="A92" s="137"/>
      <c r="B92" s="168"/>
      <c r="C92" s="168"/>
      <c r="D92" s="181"/>
      <c r="E92" s="137"/>
      <c r="F92" s="167"/>
      <c r="G92" s="168"/>
      <c r="H92" s="168"/>
      <c r="I92" s="137"/>
      <c r="J92" s="167"/>
      <c r="K92" s="168"/>
      <c r="L92" s="137"/>
      <c r="M92" s="137"/>
      <c r="N92" s="137"/>
      <c r="O92" s="137"/>
      <c r="P92" s="137"/>
      <c r="R92" s="19"/>
      <c r="S92" s="19"/>
      <c r="T92" s="19"/>
      <c r="U92" s="19"/>
      <c r="W92" s="19"/>
      <c r="X92" s="399"/>
      <c r="Y92" s="399"/>
      <c r="Z92" s="399"/>
      <c r="AA92" s="399"/>
      <c r="AB92" s="399"/>
      <c r="AC92" s="399"/>
      <c r="AD92" s="399"/>
      <c r="AE92" s="399"/>
      <c r="AF92" s="399"/>
      <c r="AG92" s="399"/>
      <c r="AH92" s="399"/>
      <c r="AI92" s="399"/>
      <c r="AJ92" s="399"/>
      <c r="AK92" s="39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</row>
    <row r="93" spans="1:139" ht="15.75" thickBot="1" x14ac:dyDescent="0.3">
      <c r="A93" s="137"/>
      <c r="B93" s="138" t="s">
        <v>142</v>
      </c>
      <c r="C93" s="139">
        <f>+D3*D4</f>
        <v>141.76248252285492</v>
      </c>
      <c r="D93" s="140" t="s">
        <v>31</v>
      </c>
      <c r="E93" s="137"/>
      <c r="F93" s="822" t="s">
        <v>166</v>
      </c>
      <c r="G93" s="823"/>
      <c r="H93" s="824"/>
      <c r="I93" s="137"/>
      <c r="J93" s="141" t="s">
        <v>177</v>
      </c>
      <c r="K93" s="139">
        <f>(C107*G103)/1000</f>
        <v>185.5456919349746</v>
      </c>
      <c r="L93" s="142" t="s">
        <v>31</v>
      </c>
      <c r="M93" s="19"/>
      <c r="N93" s="828" t="s">
        <v>392</v>
      </c>
      <c r="O93" s="829"/>
      <c r="P93" s="845"/>
      <c r="Q93" s="828" t="s">
        <v>393</v>
      </c>
      <c r="R93" s="829"/>
      <c r="S93" s="828" t="s">
        <v>394</v>
      </c>
      <c r="T93" s="845"/>
      <c r="U93" s="19"/>
      <c r="X93" s="399"/>
      <c r="Y93" s="399"/>
      <c r="Z93" s="399"/>
      <c r="AA93" s="399"/>
      <c r="AB93" s="399"/>
      <c r="AC93" s="399"/>
      <c r="AD93" s="399"/>
      <c r="AE93" s="399"/>
      <c r="AF93" s="399"/>
      <c r="AG93" s="399"/>
      <c r="AH93" s="399"/>
      <c r="AI93" s="399"/>
      <c r="AJ93" s="399"/>
      <c r="AK93" s="39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</row>
    <row r="94" spans="1:139" x14ac:dyDescent="0.25">
      <c r="A94" s="137"/>
      <c r="B94" s="143" t="s">
        <v>143</v>
      </c>
      <c r="C94" s="144">
        <v>0.95</v>
      </c>
      <c r="D94" s="145" t="s">
        <v>6</v>
      </c>
      <c r="E94" s="137"/>
      <c r="F94" s="271" t="s">
        <v>167</v>
      </c>
      <c r="G94" s="164">
        <f>C104*D100/C105</f>
        <v>4.4379339612673245</v>
      </c>
      <c r="H94" s="165" t="s">
        <v>168</v>
      </c>
      <c r="I94" s="137"/>
      <c r="J94" s="149" t="s">
        <v>179</v>
      </c>
      <c r="K94" s="147">
        <f>(C108*G104)/1000</f>
        <v>6.2153487024247109</v>
      </c>
      <c r="L94" s="150" t="s">
        <v>31</v>
      </c>
      <c r="M94" s="19"/>
      <c r="N94" s="766" t="s">
        <v>437</v>
      </c>
      <c r="O94" s="767"/>
      <c r="P94" s="355" t="s">
        <v>366</v>
      </c>
      <c r="Q94" s="354">
        <f>+AI4</f>
        <v>0.54263528032359476</v>
      </c>
      <c r="R94" s="469" t="s">
        <v>28</v>
      </c>
      <c r="S94" s="468">
        <f>Q94</f>
        <v>0.54263528032359476</v>
      </c>
      <c r="T94" s="239" t="s">
        <v>28</v>
      </c>
      <c r="U94" s="19"/>
      <c r="X94" s="399"/>
      <c r="Y94" s="399"/>
      <c r="Z94" s="399"/>
      <c r="AA94" s="399"/>
      <c r="AB94" s="399"/>
      <c r="AC94" s="399"/>
      <c r="AD94" s="399"/>
      <c r="AE94" s="399"/>
      <c r="AF94" s="399"/>
      <c r="AG94" s="399"/>
      <c r="AH94" s="399"/>
      <c r="AI94" s="399"/>
      <c r="AJ94" s="399"/>
      <c r="AK94" s="39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</row>
    <row r="95" spans="1:139" x14ac:dyDescent="0.25">
      <c r="A95" s="137"/>
      <c r="B95" s="151" t="s">
        <v>144</v>
      </c>
      <c r="C95" s="152">
        <f>+D14</f>
        <v>0.2</v>
      </c>
      <c r="D95" s="148" t="s">
        <v>6</v>
      </c>
      <c r="E95" s="137"/>
      <c r="F95" s="146" t="s">
        <v>169</v>
      </c>
      <c r="G95" s="147">
        <f>D101*C104/C106</f>
        <v>3.6567896358852989</v>
      </c>
      <c r="H95" s="148" t="s">
        <v>168</v>
      </c>
      <c r="I95" s="137"/>
      <c r="J95" s="149" t="s">
        <v>181</v>
      </c>
      <c r="K95" s="147">
        <f>(C109*G106)/1000</f>
        <v>95.394092017057119</v>
      </c>
      <c r="L95" s="150" t="s">
        <v>31</v>
      </c>
      <c r="M95" s="19"/>
      <c r="N95" s="766" t="s">
        <v>368</v>
      </c>
      <c r="O95" s="767"/>
      <c r="P95" s="355" t="s">
        <v>369</v>
      </c>
      <c r="Q95" s="354">
        <f>AG4</f>
        <v>0.155</v>
      </c>
      <c r="R95" s="469" t="s">
        <v>60</v>
      </c>
      <c r="S95" s="468">
        <f>Q95</f>
        <v>0.155</v>
      </c>
      <c r="T95" s="239" t="s">
        <v>60</v>
      </c>
      <c r="U95" s="19"/>
      <c r="X95" s="399"/>
      <c r="Y95" s="399"/>
      <c r="Z95" s="399"/>
      <c r="AA95" s="399"/>
      <c r="AB95" s="399"/>
      <c r="AC95" s="399"/>
      <c r="AD95" s="399"/>
      <c r="AE95" s="399"/>
      <c r="AF95" s="399"/>
      <c r="AG95" s="399"/>
      <c r="AH95" s="399"/>
      <c r="AI95" s="399"/>
      <c r="AJ95" s="399"/>
      <c r="AK95" s="39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</row>
    <row r="96" spans="1:139" x14ac:dyDescent="0.25">
      <c r="A96" s="137"/>
      <c r="B96" s="151" t="s">
        <v>145</v>
      </c>
      <c r="C96" s="147">
        <f>+D15</f>
        <v>1.8</v>
      </c>
      <c r="D96" s="148" t="s">
        <v>120</v>
      </c>
      <c r="E96" s="137"/>
      <c r="F96" s="146" t="s">
        <v>170</v>
      </c>
      <c r="G96" s="147">
        <f>D102*C104/C110</f>
        <v>1.5594457869684155</v>
      </c>
      <c r="H96" s="148" t="s">
        <v>168</v>
      </c>
      <c r="I96" s="137"/>
      <c r="J96" s="149" t="s">
        <v>182</v>
      </c>
      <c r="K96" s="147">
        <f>(C110*G107)/1000</f>
        <v>124.04190002470639</v>
      </c>
      <c r="L96" s="150" t="s">
        <v>31</v>
      </c>
      <c r="M96" s="19"/>
      <c r="N96" s="766" t="s">
        <v>367</v>
      </c>
      <c r="O96" s="767"/>
      <c r="P96" s="355" t="s">
        <v>371</v>
      </c>
      <c r="Q96" s="354">
        <f>AK5</f>
        <v>0.75</v>
      </c>
      <c r="R96" s="355" t="s">
        <v>60</v>
      </c>
      <c r="S96" s="471">
        <v>0.75</v>
      </c>
      <c r="T96" s="6" t="s">
        <v>60</v>
      </c>
      <c r="U96" s="19"/>
      <c r="X96" s="399"/>
      <c r="Y96" s="399"/>
      <c r="Z96" s="399"/>
      <c r="AA96" s="399"/>
      <c r="AB96" s="399"/>
      <c r="AC96" s="399"/>
      <c r="AD96" s="399"/>
      <c r="AE96" s="399"/>
      <c r="AF96" s="399"/>
      <c r="AG96" s="399"/>
      <c r="AH96" s="399"/>
      <c r="AI96" s="399"/>
      <c r="AJ96" s="399"/>
      <c r="AK96" s="39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</row>
    <row r="97" spans="1:139" x14ac:dyDescent="0.25">
      <c r="A97" s="137"/>
      <c r="B97" s="151" t="s">
        <v>146</v>
      </c>
      <c r="C97" s="147">
        <v>1E-3</v>
      </c>
      <c r="D97" s="150" t="s">
        <v>347</v>
      </c>
      <c r="E97" s="137"/>
      <c r="F97" s="146" t="s">
        <v>171</v>
      </c>
      <c r="G97" s="147">
        <f>C95*C93/C109</f>
        <v>1.573802711063663</v>
      </c>
      <c r="H97" s="148" t="s">
        <v>168</v>
      </c>
      <c r="I97" s="137"/>
      <c r="J97" s="149" t="s">
        <v>183</v>
      </c>
      <c r="K97" s="147">
        <f>(C111*G108)/1000</f>
        <v>892.4000274285703</v>
      </c>
      <c r="L97" s="150" t="s">
        <v>31</v>
      </c>
      <c r="M97" s="19"/>
      <c r="N97" s="766" t="s">
        <v>373</v>
      </c>
      <c r="O97" s="767"/>
      <c r="P97" s="355" t="s">
        <v>374</v>
      </c>
      <c r="Q97" s="354">
        <f>AK6</f>
        <v>5</v>
      </c>
      <c r="R97" s="355" t="s">
        <v>375</v>
      </c>
      <c r="S97" s="471">
        <v>4</v>
      </c>
      <c r="T97" s="6" t="s">
        <v>43</v>
      </c>
      <c r="U97" s="19"/>
      <c r="X97" s="399"/>
      <c r="Y97" s="399"/>
      <c r="Z97" s="399"/>
      <c r="AA97" s="399"/>
      <c r="AB97" s="399"/>
      <c r="AC97" s="399"/>
      <c r="AD97" s="399"/>
      <c r="AE97" s="399"/>
      <c r="AF97" s="399"/>
      <c r="AG97" s="399"/>
      <c r="AH97" s="399"/>
      <c r="AI97" s="399"/>
      <c r="AJ97" s="399"/>
      <c r="AK97" s="39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</row>
    <row r="98" spans="1:139" ht="15.75" thickBot="1" x14ac:dyDescent="0.3">
      <c r="A98" s="137"/>
      <c r="B98" s="153" t="s">
        <v>147</v>
      </c>
      <c r="C98" s="96">
        <f>D13+273.15</f>
        <v>366.54999999999995</v>
      </c>
      <c r="D98" s="97" t="s">
        <v>148</v>
      </c>
      <c r="E98" s="137"/>
      <c r="F98" s="146" t="s">
        <v>172</v>
      </c>
      <c r="G98" s="147">
        <f>(G94+G95/2)-G96</f>
        <v>4.7068829922415585</v>
      </c>
      <c r="H98" s="148" t="s">
        <v>168</v>
      </c>
      <c r="I98" s="137"/>
      <c r="J98" s="149" t="s">
        <v>285</v>
      </c>
      <c r="K98" s="147">
        <f>SUM(K93:K97)</f>
        <v>1303.5970601077331</v>
      </c>
      <c r="L98" s="150" t="str">
        <f>L97</f>
        <v>kg</v>
      </c>
      <c r="M98" s="19"/>
      <c r="N98" s="766" t="s">
        <v>377</v>
      </c>
      <c r="O98" s="767"/>
      <c r="P98" s="355" t="s">
        <v>378</v>
      </c>
      <c r="Q98" s="354">
        <f>AK8</f>
        <v>1</v>
      </c>
      <c r="R98" s="355" t="s">
        <v>375</v>
      </c>
      <c r="S98" s="471">
        <v>1</v>
      </c>
      <c r="T98" s="6" t="s">
        <v>43</v>
      </c>
      <c r="U98" s="19"/>
      <c r="X98" s="399"/>
      <c r="Y98" s="399"/>
      <c r="Z98" s="399"/>
      <c r="AA98" s="399"/>
      <c r="AB98" s="399"/>
      <c r="AC98" s="399"/>
      <c r="AD98" s="399"/>
      <c r="AE98" s="399"/>
      <c r="AF98" s="399"/>
      <c r="AG98" s="399"/>
      <c r="AH98" s="399"/>
      <c r="AI98" s="399"/>
      <c r="AJ98" s="399"/>
      <c r="AK98" s="39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</row>
    <row r="99" spans="1:139" ht="15.75" thickBot="1" x14ac:dyDescent="0.3">
      <c r="A99" s="137"/>
      <c r="B99" s="842" t="s">
        <v>149</v>
      </c>
      <c r="C99" s="843"/>
      <c r="D99" s="844"/>
      <c r="E99" s="137"/>
      <c r="F99" s="146" t="s">
        <v>173</v>
      </c>
      <c r="G99" s="147">
        <f>G98*C96</f>
        <v>8.4723893860348056</v>
      </c>
      <c r="H99" s="148" t="s">
        <v>168</v>
      </c>
      <c r="I99" s="137"/>
      <c r="J99" s="149" t="s">
        <v>286</v>
      </c>
      <c r="K99" s="162">
        <f>K98/3600</f>
        <v>0.36211029447437032</v>
      </c>
      <c r="L99" s="150" t="s">
        <v>287</v>
      </c>
      <c r="M99" s="19"/>
      <c r="N99" s="766" t="s">
        <v>380</v>
      </c>
      <c r="O99" s="767"/>
      <c r="P99" s="355" t="s">
        <v>381</v>
      </c>
      <c r="Q99" s="354">
        <f>AK10</f>
        <v>0.77500000000000002</v>
      </c>
      <c r="R99" s="469" t="s">
        <v>60</v>
      </c>
      <c r="S99" s="470">
        <f>S97*S95/S98</f>
        <v>0.62</v>
      </c>
      <c r="T99" s="475" t="s">
        <v>60</v>
      </c>
      <c r="U99" s="19"/>
      <c r="X99" s="399"/>
      <c r="Y99" s="399"/>
      <c r="Z99" s="399"/>
      <c r="AA99" s="399"/>
      <c r="AB99" s="399"/>
      <c r="AC99" s="399"/>
      <c r="AD99" s="399"/>
      <c r="AE99" s="399"/>
      <c r="AF99" s="399"/>
      <c r="AG99" s="399"/>
      <c r="AH99" s="399"/>
      <c r="AI99" s="399"/>
      <c r="AJ99" s="399"/>
      <c r="AK99" s="39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  <c r="BP99" s="19"/>
      <c r="BQ99" s="19"/>
      <c r="BR99" s="19"/>
      <c r="BS99" s="19"/>
      <c r="BT99" s="19"/>
      <c r="BU99" s="19"/>
      <c r="BV99" s="19"/>
      <c r="BW99" s="19"/>
      <c r="BX99" s="19"/>
      <c r="BY99" s="19"/>
      <c r="BZ99" s="19"/>
      <c r="CA99" s="19"/>
      <c r="CB99" s="19"/>
      <c r="CC99" s="19"/>
      <c r="CD99" s="19"/>
      <c r="CE99" s="19"/>
      <c r="CF99" s="19"/>
      <c r="CG99" s="19"/>
      <c r="CH99" s="19"/>
      <c r="CI99" s="19"/>
      <c r="CJ99" s="19"/>
      <c r="CK99" s="19"/>
      <c r="CL99" s="19"/>
      <c r="CM99" s="19"/>
      <c r="CN99" s="19"/>
      <c r="CO99" s="19"/>
      <c r="CP99" s="19"/>
      <c r="CQ99" s="19"/>
      <c r="CR99" s="19"/>
      <c r="CS99" s="19"/>
      <c r="CT99" s="19"/>
      <c r="CU99" s="19"/>
      <c r="CV99" s="19"/>
      <c r="CW99" s="19"/>
      <c r="CX99" s="19"/>
      <c r="CY99" s="19"/>
      <c r="CZ99" s="19"/>
      <c r="DA99" s="19"/>
      <c r="DB99" s="19"/>
      <c r="DC99" s="19"/>
      <c r="DD99" s="19"/>
      <c r="DE99" s="19"/>
      <c r="DF99" s="19"/>
      <c r="DG99" s="19"/>
      <c r="DH99" s="19"/>
      <c r="DI99" s="19"/>
      <c r="DJ99" s="19"/>
      <c r="DK99" s="19"/>
      <c r="DL99" s="19"/>
      <c r="DM99" s="19"/>
      <c r="DN99" s="19"/>
      <c r="DO99" s="19"/>
      <c r="DP99" s="19"/>
      <c r="DQ99" s="19"/>
      <c r="DR99" s="19"/>
      <c r="DS99" s="19"/>
      <c r="DT99" s="19"/>
      <c r="DU99" s="19"/>
      <c r="DV99" s="19"/>
      <c r="DW99" s="19"/>
      <c r="DX99" s="19"/>
      <c r="DY99" s="19"/>
      <c r="DZ99" s="19"/>
      <c r="EA99" s="19"/>
      <c r="EB99" s="19"/>
      <c r="EC99" s="19"/>
      <c r="ED99" s="19"/>
      <c r="EE99" s="19"/>
      <c r="EF99" s="19"/>
      <c r="EG99" s="19"/>
      <c r="EH99" s="19"/>
      <c r="EI99" s="19"/>
    </row>
    <row r="100" spans="1:139" ht="15.75" thickBot="1" x14ac:dyDescent="0.3">
      <c r="A100" s="137"/>
      <c r="B100" s="151" t="s">
        <v>150</v>
      </c>
      <c r="C100" s="147" t="s">
        <v>151</v>
      </c>
      <c r="D100" s="148">
        <v>0.47</v>
      </c>
      <c r="E100" s="137"/>
      <c r="F100" s="146" t="s">
        <v>174</v>
      </c>
      <c r="G100" s="147">
        <f>G99*3.76</f>
        <v>31.856184091490867</v>
      </c>
      <c r="H100" s="148" t="s">
        <v>168</v>
      </c>
      <c r="I100" s="137"/>
      <c r="J100" s="210" t="s">
        <v>351</v>
      </c>
      <c r="K100" s="24">
        <f>+(K99/Densidad_kgm3($K$102,$K$101,$K$105,$K$104,$K$103,E128*101.325,K109))/0.32</f>
        <v>5.4617664463653997</v>
      </c>
      <c r="L100" s="211" t="s">
        <v>208</v>
      </c>
      <c r="M100" s="19"/>
      <c r="N100" s="769" t="s">
        <v>364</v>
      </c>
      <c r="O100" s="770"/>
      <c r="P100" s="357" t="s">
        <v>382</v>
      </c>
      <c r="Q100" s="240">
        <f>AK11</f>
        <v>0.58125000000000004</v>
      </c>
      <c r="R100" s="362" t="s">
        <v>28</v>
      </c>
      <c r="S100" s="240">
        <f>+S96*S98*S99</f>
        <v>0.46499999999999997</v>
      </c>
      <c r="T100" s="362" t="s">
        <v>28</v>
      </c>
      <c r="U100" s="19"/>
      <c r="X100" s="399"/>
      <c r="Y100" s="399"/>
      <c r="Z100" s="399"/>
      <c r="AA100" s="399"/>
      <c r="AB100" s="399"/>
      <c r="AC100" s="399"/>
      <c r="AD100" s="399"/>
      <c r="AE100" s="399"/>
      <c r="AF100" s="399"/>
      <c r="AG100" s="399"/>
      <c r="AH100" s="399"/>
      <c r="AI100" s="399"/>
      <c r="AJ100" s="399"/>
      <c r="AK100" s="39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</row>
    <row r="101" spans="1:139" ht="15.75" thickBot="1" x14ac:dyDescent="0.3">
      <c r="A101" s="137"/>
      <c r="B101" s="151" t="s">
        <v>152</v>
      </c>
      <c r="C101" s="147" t="s">
        <v>153</v>
      </c>
      <c r="D101" s="148">
        <v>6.5000000000000002E-2</v>
      </c>
      <c r="E101" s="137"/>
      <c r="F101" s="159" t="s">
        <v>175</v>
      </c>
      <c r="G101" s="160">
        <f>(G100*C111+G99*C110)*C97/C109</f>
        <v>6.4584415058462644E-2</v>
      </c>
      <c r="H101" s="161" t="s">
        <v>168</v>
      </c>
      <c r="I101" s="137"/>
      <c r="J101" s="208" t="s">
        <v>177</v>
      </c>
      <c r="K101" s="209">
        <f>+G103/$G$109</f>
        <v>9.2729962757208892E-2</v>
      </c>
      <c r="L101" s="212" t="s">
        <v>288</v>
      </c>
      <c r="M101" s="19"/>
      <c r="N101" s="828" t="s">
        <v>395</v>
      </c>
      <c r="O101" s="829"/>
      <c r="P101" s="845"/>
      <c r="Q101" s="828" t="s">
        <v>393</v>
      </c>
      <c r="R101" s="845"/>
      <c r="S101" s="734" t="s">
        <v>394</v>
      </c>
      <c r="T101" s="736"/>
      <c r="U101" s="19"/>
      <c r="X101" s="399"/>
      <c r="Y101" s="399"/>
      <c r="Z101" s="399"/>
      <c r="AA101" s="399"/>
      <c r="AB101" s="399"/>
      <c r="AC101" s="399"/>
      <c r="AD101" s="399"/>
      <c r="AE101" s="399"/>
      <c r="AF101" s="399"/>
      <c r="AG101" s="399"/>
      <c r="AH101" s="399"/>
      <c r="AI101" s="399"/>
      <c r="AJ101" s="399"/>
      <c r="AK101" s="39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</row>
    <row r="102" spans="1:139" ht="15.75" thickBot="1" x14ac:dyDescent="0.3">
      <c r="A102" s="137"/>
      <c r="B102" s="151" t="s">
        <v>154</v>
      </c>
      <c r="C102" s="147" t="s">
        <v>155</v>
      </c>
      <c r="D102" s="148">
        <v>0.44</v>
      </c>
      <c r="E102" s="137"/>
      <c r="F102" s="822" t="s">
        <v>176</v>
      </c>
      <c r="G102" s="823"/>
      <c r="H102" s="824"/>
      <c r="I102" s="137"/>
      <c r="J102" s="149" t="s">
        <v>179</v>
      </c>
      <c r="K102" s="162">
        <f>+G104/$G$109</f>
        <v>4.8805243556425855E-3</v>
      </c>
      <c r="L102" s="150" t="s">
        <v>288</v>
      </c>
      <c r="M102" s="19"/>
      <c r="N102" s="763" t="s">
        <v>383</v>
      </c>
      <c r="O102" s="764"/>
      <c r="P102" s="353" t="s">
        <v>384</v>
      </c>
      <c r="Q102" s="352">
        <f>Q21/300</f>
        <v>1.8087842677453159</v>
      </c>
      <c r="R102" s="241" t="s">
        <v>385</v>
      </c>
      <c r="S102" s="355">
        <f>Q102</f>
        <v>1.8087842677453159</v>
      </c>
      <c r="T102" s="239" t="s">
        <v>385</v>
      </c>
      <c r="U102" s="19"/>
      <c r="X102" s="399"/>
      <c r="Y102" s="399"/>
      <c r="Z102" s="399"/>
      <c r="AA102" s="399"/>
      <c r="AB102" s="399"/>
      <c r="AC102" s="399"/>
      <c r="AD102" s="399"/>
      <c r="AE102" s="399"/>
      <c r="AF102" s="399"/>
      <c r="AG102" s="399"/>
      <c r="AH102" s="399"/>
      <c r="AI102" s="399"/>
      <c r="AJ102" s="399"/>
      <c r="AK102" s="39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  <c r="BZ102" s="19"/>
      <c r="CA102" s="19"/>
      <c r="CB102" s="19"/>
      <c r="CC102" s="19"/>
      <c r="CD102" s="19"/>
      <c r="CE102" s="19"/>
      <c r="CF102" s="19"/>
      <c r="CG102" s="19"/>
      <c r="CH102" s="19"/>
      <c r="CI102" s="19"/>
      <c r="CJ102" s="19"/>
      <c r="CK102" s="19"/>
      <c r="CL102" s="19"/>
      <c r="CM102" s="19"/>
      <c r="CN102" s="19"/>
      <c r="CO102" s="19"/>
      <c r="CP102" s="19"/>
      <c r="CQ102" s="19"/>
      <c r="CR102" s="19"/>
      <c r="CS102" s="19"/>
      <c r="CT102" s="19"/>
      <c r="CU102" s="19"/>
      <c r="CV102" s="19"/>
      <c r="CW102" s="19"/>
      <c r="CX102" s="19"/>
      <c r="CY102" s="19"/>
      <c r="CZ102" s="19"/>
      <c r="DA102" s="19"/>
      <c r="DB102" s="19"/>
      <c r="DC102" s="19"/>
      <c r="DD102" s="19"/>
      <c r="DE102" s="19"/>
      <c r="DF102" s="19"/>
      <c r="DG102" s="19"/>
      <c r="DH102" s="19"/>
      <c r="DI102" s="19"/>
      <c r="DJ102" s="19"/>
      <c r="DK102" s="19"/>
      <c r="DL102" s="19"/>
      <c r="DM102" s="19"/>
      <c r="DN102" s="19"/>
      <c r="DO102" s="19"/>
      <c r="DP102" s="19"/>
      <c r="DQ102" s="19"/>
      <c r="DR102" s="19"/>
      <c r="DS102" s="19"/>
      <c r="DT102" s="19"/>
      <c r="DU102" s="19"/>
      <c r="DV102" s="19"/>
      <c r="DW102" s="19"/>
      <c r="DX102" s="19"/>
      <c r="DY102" s="19"/>
      <c r="DZ102" s="19"/>
      <c r="EA102" s="19"/>
      <c r="EB102" s="19"/>
      <c r="EC102" s="19"/>
      <c r="ED102" s="19"/>
      <c r="EE102" s="19"/>
      <c r="EF102" s="19"/>
      <c r="EG102" s="19"/>
      <c r="EH102" s="19"/>
      <c r="EI102" s="19"/>
    </row>
    <row r="103" spans="1:139" ht="15.75" thickBot="1" x14ac:dyDescent="0.3">
      <c r="A103" s="137"/>
      <c r="B103" s="151" t="s">
        <v>156</v>
      </c>
      <c r="C103" s="147" t="s">
        <v>157</v>
      </c>
      <c r="D103" s="148">
        <v>2.5000000000000001E-2</v>
      </c>
      <c r="E103" s="137"/>
      <c r="F103" s="271" t="s">
        <v>177</v>
      </c>
      <c r="G103" s="628">
        <f>G94*C94*1000</f>
        <v>4216.037263203958</v>
      </c>
      <c r="H103" s="165" t="s">
        <v>178</v>
      </c>
      <c r="I103" s="137"/>
      <c r="J103" s="149" t="s">
        <v>181</v>
      </c>
      <c r="K103" s="162">
        <f>+G106/$G$109</f>
        <v>0.11646518123054654</v>
      </c>
      <c r="L103" s="150" t="s">
        <v>288</v>
      </c>
      <c r="M103" s="19"/>
      <c r="N103" s="766" t="s">
        <v>386</v>
      </c>
      <c r="O103" s="767"/>
      <c r="P103" s="355" t="s">
        <v>387</v>
      </c>
      <c r="Q103" s="354">
        <f>Q99+0.2</f>
        <v>0.97500000000000009</v>
      </c>
      <c r="R103" s="239" t="s">
        <v>60</v>
      </c>
      <c r="S103" s="242">
        <f>+S99+0.24</f>
        <v>0.86</v>
      </c>
      <c r="T103" s="239" t="s">
        <v>60</v>
      </c>
      <c r="U103" s="19"/>
      <c r="X103" s="399"/>
      <c r="Y103" s="399"/>
      <c r="Z103" s="399"/>
      <c r="AA103" s="399"/>
      <c r="AB103" s="399"/>
      <c r="AC103" s="399"/>
      <c r="AD103" s="399"/>
      <c r="AE103" s="399"/>
      <c r="AF103" s="399"/>
      <c r="AG103" s="399"/>
      <c r="AH103" s="399"/>
      <c r="AI103" s="399"/>
      <c r="AJ103" s="399"/>
      <c r="AK103" s="39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  <c r="BO103" s="19"/>
      <c r="BP103" s="19"/>
      <c r="BQ103" s="19"/>
      <c r="BR103" s="19"/>
      <c r="BS103" s="19"/>
      <c r="BT103" s="19"/>
      <c r="BU103" s="19"/>
      <c r="BV103" s="19"/>
      <c r="BW103" s="19"/>
      <c r="BX103" s="19"/>
      <c r="BY103" s="19"/>
      <c r="BZ103" s="19"/>
      <c r="CA103" s="19"/>
      <c r="CB103" s="19"/>
      <c r="CC103" s="19"/>
      <c r="CD103" s="19"/>
      <c r="CE103" s="19"/>
      <c r="CF103" s="19"/>
      <c r="CG103" s="19"/>
      <c r="CH103" s="19"/>
      <c r="CI103" s="19"/>
      <c r="CJ103" s="19"/>
      <c r="CK103" s="19"/>
      <c r="CL103" s="19"/>
      <c r="CM103" s="19"/>
      <c r="CN103" s="19"/>
      <c r="CO103" s="19"/>
      <c r="CP103" s="19"/>
      <c r="CQ103" s="19"/>
      <c r="CR103" s="19"/>
      <c r="CS103" s="19"/>
      <c r="CT103" s="19"/>
      <c r="CU103" s="19"/>
      <c r="CV103" s="19"/>
      <c r="CW103" s="19"/>
      <c r="CX103" s="19"/>
      <c r="CY103" s="19"/>
      <c r="CZ103" s="19"/>
      <c r="DA103" s="19"/>
      <c r="DB103" s="19"/>
      <c r="DC103" s="19"/>
      <c r="DD103" s="19"/>
      <c r="DE103" s="19"/>
      <c r="DF103" s="19"/>
      <c r="DG103" s="19"/>
      <c r="DH103" s="19"/>
      <c r="DI103" s="19"/>
      <c r="DJ103" s="19"/>
      <c r="DK103" s="19"/>
      <c r="DL103" s="19"/>
      <c r="DM103" s="19"/>
      <c r="DN103" s="19"/>
      <c r="DO103" s="19"/>
      <c r="DP103" s="19"/>
      <c r="DQ103" s="19"/>
      <c r="DR103" s="19"/>
      <c r="DS103" s="19"/>
      <c r="DT103" s="19"/>
      <c r="DU103" s="19"/>
      <c r="DV103" s="19"/>
      <c r="DW103" s="19"/>
      <c r="DX103" s="19"/>
      <c r="DY103" s="19"/>
      <c r="DZ103" s="19"/>
      <c r="EA103" s="19"/>
      <c r="EB103" s="19"/>
      <c r="EC103" s="19"/>
      <c r="ED103" s="19"/>
      <c r="EE103" s="19"/>
      <c r="EF103" s="19"/>
      <c r="EG103" s="19"/>
      <c r="EH103" s="19"/>
      <c r="EI103" s="19"/>
    </row>
    <row r="104" spans="1:139" ht="15.75" thickBot="1" x14ac:dyDescent="0.3">
      <c r="A104" s="137"/>
      <c r="B104" s="153" t="s">
        <v>158</v>
      </c>
      <c r="C104" s="96">
        <f>C93*(1-C95)</f>
        <v>113.40998601828394</v>
      </c>
      <c r="D104" s="97" t="s">
        <v>31</v>
      </c>
      <c r="E104" s="137"/>
      <c r="F104" s="146" t="s">
        <v>179</v>
      </c>
      <c r="G104" s="314">
        <f>(G94*1000-G103)</f>
        <v>221.89669806336678</v>
      </c>
      <c r="H104" s="148" t="s">
        <v>178</v>
      </c>
      <c r="I104" s="137"/>
      <c r="J104" s="149" t="s">
        <v>182</v>
      </c>
      <c r="K104" s="162">
        <f>+G107/$G$109</f>
        <v>8.526098833836894E-2</v>
      </c>
      <c r="L104" s="150" t="s">
        <v>288</v>
      </c>
      <c r="M104" s="19"/>
      <c r="N104" s="766" t="s">
        <v>388</v>
      </c>
      <c r="O104" s="767"/>
      <c r="P104" s="355" t="s">
        <v>389</v>
      </c>
      <c r="Q104" s="354">
        <f>Q96*Q98+0.1</f>
        <v>0.85</v>
      </c>
      <c r="R104" s="239" t="s">
        <v>60</v>
      </c>
      <c r="S104" s="242">
        <f>2*S96+0.12</f>
        <v>1.62</v>
      </c>
      <c r="T104" s="239" t="s">
        <v>60</v>
      </c>
      <c r="U104" s="19"/>
      <c r="X104" s="399"/>
      <c r="Y104" s="399"/>
      <c r="Z104" s="399"/>
      <c r="AA104" s="399"/>
      <c r="AB104" s="399"/>
      <c r="AC104" s="399"/>
      <c r="AD104" s="399"/>
      <c r="AE104" s="399"/>
      <c r="AF104" s="399"/>
      <c r="AG104" s="399"/>
      <c r="AH104" s="399"/>
      <c r="AI104" s="399"/>
      <c r="AJ104" s="399"/>
      <c r="AK104" s="39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</row>
    <row r="105" spans="1:139" ht="15.75" thickBot="1" x14ac:dyDescent="0.3">
      <c r="A105" s="137"/>
      <c r="B105" s="163" t="s">
        <v>151</v>
      </c>
      <c r="C105" s="164">
        <v>12.0107</v>
      </c>
      <c r="D105" s="165" t="s">
        <v>159</v>
      </c>
      <c r="E105" s="137"/>
      <c r="F105" s="146" t="s">
        <v>180</v>
      </c>
      <c r="G105" s="314">
        <f>G95*1000</f>
        <v>3656.789635885299</v>
      </c>
      <c r="H105" s="148" t="s">
        <v>178</v>
      </c>
      <c r="I105" s="137"/>
      <c r="J105" s="149" t="s">
        <v>183</v>
      </c>
      <c r="K105" s="162">
        <f>+G108/$G$109</f>
        <v>0.70066334331823299</v>
      </c>
      <c r="L105" s="150" t="s">
        <v>288</v>
      </c>
      <c r="M105" s="19"/>
      <c r="N105" s="828" t="s">
        <v>390</v>
      </c>
      <c r="O105" s="829"/>
      <c r="P105" s="362" t="s">
        <v>391</v>
      </c>
      <c r="Q105" s="356">
        <f>Q102/(Q103*Q104)</f>
        <v>2.1825451194513614</v>
      </c>
      <c r="R105" s="362" t="s">
        <v>60</v>
      </c>
      <c r="S105" s="356">
        <f>S102/(S103*S104)</f>
        <v>1.2982947658235113</v>
      </c>
      <c r="T105" s="362" t="s">
        <v>60</v>
      </c>
      <c r="U105" s="19"/>
      <c r="X105" s="399"/>
      <c r="Y105" s="399"/>
      <c r="Z105" s="399"/>
      <c r="AA105" s="399"/>
      <c r="AB105" s="399"/>
      <c r="AC105" s="399"/>
      <c r="AD105" s="399"/>
      <c r="AE105" s="399"/>
      <c r="AF105" s="399"/>
      <c r="AG105" s="399"/>
      <c r="AH105" s="399"/>
      <c r="AI105" s="399"/>
      <c r="AJ105" s="399"/>
      <c r="AK105" s="39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</row>
    <row r="106" spans="1:139" ht="15.75" thickBot="1" x14ac:dyDescent="0.3">
      <c r="A106" s="137"/>
      <c r="B106" s="151" t="s">
        <v>160</v>
      </c>
      <c r="C106" s="147">
        <f>1.00794*2</f>
        <v>2.0158800000000001</v>
      </c>
      <c r="D106" s="148" t="s">
        <v>159</v>
      </c>
      <c r="E106" s="137"/>
      <c r="F106" s="146" t="s">
        <v>181</v>
      </c>
      <c r="G106" s="314">
        <f>G105+(G101+G97)*1000</f>
        <v>5295.1767620074243</v>
      </c>
      <c r="H106" s="148" t="s">
        <v>178</v>
      </c>
      <c r="I106" s="137"/>
      <c r="J106" s="154" t="s">
        <v>285</v>
      </c>
      <c r="K106" s="155">
        <f>+SUM(K101:K105)</f>
        <v>1</v>
      </c>
      <c r="L106" s="156" t="s">
        <v>288</v>
      </c>
      <c r="M106" s="19"/>
      <c r="N106" s="19"/>
      <c r="O106" s="19"/>
      <c r="P106" s="157"/>
      <c r="Q106" s="137"/>
      <c r="R106" s="137"/>
      <c r="S106" s="137"/>
      <c r="T106" s="137"/>
      <c r="U106" s="19"/>
      <c r="X106" s="399"/>
      <c r="Y106" s="399"/>
      <c r="Z106" s="399"/>
      <c r="AA106" s="399"/>
      <c r="AB106" s="399"/>
      <c r="AC106" s="399"/>
      <c r="AD106" s="399"/>
      <c r="AE106" s="399"/>
      <c r="AF106" s="399"/>
      <c r="AG106" s="399"/>
      <c r="AH106" s="399"/>
      <c r="AI106" s="399"/>
      <c r="AJ106" s="399"/>
      <c r="AK106" s="39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</row>
    <row r="107" spans="1:139" x14ac:dyDescent="0.25">
      <c r="A107" s="137"/>
      <c r="B107" s="151" t="s">
        <v>161</v>
      </c>
      <c r="C107" s="147">
        <v>44.009500000000003</v>
      </c>
      <c r="D107" s="148" t="s">
        <v>159</v>
      </c>
      <c r="E107" s="137"/>
      <c r="F107" s="146" t="s">
        <v>182</v>
      </c>
      <c r="G107" s="314">
        <f>(G99-G98)*1000+G104/2</f>
        <v>3876.4547428249307</v>
      </c>
      <c r="H107" s="148" t="s">
        <v>178</v>
      </c>
      <c r="I107" s="137">
        <f>0.465*0.688</f>
        <v>0.31991999999999998</v>
      </c>
      <c r="J107" s="167"/>
      <c r="K107" s="168"/>
      <c r="L107" s="167"/>
      <c r="M107" s="19"/>
      <c r="N107" s="830" t="s">
        <v>438</v>
      </c>
      <c r="O107" s="831"/>
      <c r="P107" s="358">
        <f>2*(Q103*Q104+Q103*Q105+Q104*Q105)</f>
        <v>9.6237896859974708</v>
      </c>
      <c r="Q107" s="358" t="s">
        <v>28</v>
      </c>
      <c r="R107" s="275" t="s">
        <v>439</v>
      </c>
      <c r="S107" s="19"/>
      <c r="T107" s="19"/>
      <c r="U107" s="19"/>
      <c r="X107" s="399"/>
      <c r="Y107" s="399"/>
      <c r="Z107" s="399"/>
      <c r="AA107" s="399"/>
      <c r="AB107" s="399"/>
      <c r="AC107" s="399"/>
      <c r="AD107" s="399"/>
      <c r="AE107" s="399"/>
      <c r="AF107" s="399"/>
      <c r="AG107" s="399"/>
      <c r="AH107" s="399"/>
      <c r="AI107" s="399"/>
      <c r="AJ107" s="399"/>
      <c r="AK107" s="39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</row>
    <row r="108" spans="1:139" ht="15.75" thickBot="1" x14ac:dyDescent="0.3">
      <c r="A108" s="137"/>
      <c r="B108" s="151" t="s">
        <v>162</v>
      </c>
      <c r="C108" s="147">
        <v>28.010100000000001</v>
      </c>
      <c r="D108" s="148" t="s">
        <v>159</v>
      </c>
      <c r="E108" s="137"/>
      <c r="F108" s="146" t="s">
        <v>183</v>
      </c>
      <c r="G108" s="314">
        <f>G100*1000</f>
        <v>31856.184091490868</v>
      </c>
      <c r="H108" s="148" t="s">
        <v>178</v>
      </c>
      <c r="I108" s="137"/>
      <c r="J108" s="34"/>
      <c r="K108" s="19"/>
      <c r="L108" s="34"/>
      <c r="M108" s="19"/>
      <c r="N108" s="832" t="s">
        <v>440</v>
      </c>
      <c r="O108" s="833"/>
      <c r="P108" s="359" t="s">
        <v>439</v>
      </c>
      <c r="Q108" s="270" t="s">
        <v>442</v>
      </c>
      <c r="R108" s="276" t="s">
        <v>443</v>
      </c>
      <c r="S108" s="19"/>
      <c r="T108" s="19"/>
      <c r="U108" s="19"/>
      <c r="X108" s="399"/>
      <c r="Y108" s="399"/>
      <c r="Z108" s="399"/>
      <c r="AA108" s="399"/>
      <c r="AB108" s="399"/>
      <c r="AC108" s="399"/>
      <c r="AD108" s="399"/>
      <c r="AE108" s="399"/>
      <c r="AF108" s="399"/>
      <c r="AG108" s="399"/>
      <c r="AH108" s="399"/>
      <c r="AI108" s="399"/>
      <c r="AJ108" s="399"/>
      <c r="AK108" s="39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</row>
    <row r="109" spans="1:139" x14ac:dyDescent="0.25">
      <c r="A109" s="137"/>
      <c r="B109" s="151" t="s">
        <v>163</v>
      </c>
      <c r="C109" s="147">
        <v>18.015280000000001</v>
      </c>
      <c r="D109" s="148" t="s">
        <v>159</v>
      </c>
      <c r="E109" s="137"/>
      <c r="F109" s="146" t="s">
        <v>185</v>
      </c>
      <c r="G109" s="314">
        <f>SUM(G103:G104,G106:G108)</f>
        <v>45465.749557590549</v>
      </c>
      <c r="H109" s="148" t="s">
        <v>178</v>
      </c>
      <c r="I109" s="137"/>
      <c r="J109" s="141" t="s">
        <v>293</v>
      </c>
      <c r="K109" s="169">
        <f>Tadiabatica(C96,C94,D14,C97)</f>
        <v>1218.1703098719872</v>
      </c>
      <c r="L109" s="170" t="s">
        <v>131</v>
      </c>
      <c r="M109" s="19"/>
      <c r="N109" s="834" t="s">
        <v>204</v>
      </c>
      <c r="O109" s="835"/>
      <c r="P109" s="79">
        <f>IF(P108="Refractario",0.29,IF(P108="Semirefractario",0.45,0.9))</f>
        <v>0.28999999999999998</v>
      </c>
      <c r="Q109" s="79" t="s">
        <v>444</v>
      </c>
      <c r="R109" s="276" t="s">
        <v>441</v>
      </c>
      <c r="S109" s="19"/>
      <c r="T109" s="19"/>
      <c r="U109" s="19"/>
      <c r="X109" s="399"/>
      <c r="Y109" s="399"/>
      <c r="Z109" s="399"/>
      <c r="AA109" s="399"/>
      <c r="AB109" s="399"/>
      <c r="AC109" s="399"/>
      <c r="AD109" s="399"/>
      <c r="AE109" s="399"/>
      <c r="AF109" s="399"/>
      <c r="AG109" s="399"/>
      <c r="AH109" s="399"/>
      <c r="AI109" s="399"/>
      <c r="AJ109" s="399"/>
      <c r="AK109" s="39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</row>
    <row r="110" spans="1:139" ht="15.75" thickBot="1" x14ac:dyDescent="0.3">
      <c r="A110" s="137"/>
      <c r="B110" s="151" t="s">
        <v>164</v>
      </c>
      <c r="C110" s="147">
        <v>31.998799999999999</v>
      </c>
      <c r="D110" s="148" t="s">
        <v>159</v>
      </c>
      <c r="E110" s="137"/>
      <c r="F110" s="146" t="s">
        <v>184</v>
      </c>
      <c r="G110" s="314">
        <f>1180+273.15</f>
        <v>1453.15</v>
      </c>
      <c r="H110" s="148" t="s">
        <v>13</v>
      </c>
      <c r="I110" s="273"/>
      <c r="J110" s="171" t="s">
        <v>294</v>
      </c>
      <c r="K110" s="172">
        <f>+DH_KJKmol(25,K109,G104/1000,G103/1000,G108/1000,G107/1000,G106/1000)/3600</f>
        <v>524.48987154130123</v>
      </c>
      <c r="L110" s="166" t="s">
        <v>188</v>
      </c>
      <c r="M110" s="19"/>
      <c r="N110" s="832" t="s">
        <v>445</v>
      </c>
      <c r="O110" s="833"/>
      <c r="P110" s="359">
        <v>0.12</v>
      </c>
      <c r="Q110" s="359" t="s">
        <v>60</v>
      </c>
      <c r="R110" s="277">
        <f>+K109</f>
        <v>1218.1703098719872</v>
      </c>
      <c r="S110" s="19"/>
      <c r="T110" s="19"/>
      <c r="U110" s="19"/>
      <c r="X110" s="399"/>
      <c r="Y110" s="399"/>
      <c r="Z110" s="399"/>
      <c r="AA110" s="399"/>
      <c r="AB110" s="399"/>
      <c r="AC110" s="399"/>
      <c r="AD110" s="399"/>
      <c r="AE110" s="399"/>
      <c r="AF110" s="399"/>
      <c r="AG110" s="399"/>
      <c r="AH110" s="399"/>
      <c r="AI110" s="399"/>
      <c r="AJ110" s="399"/>
      <c r="AK110" s="39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</row>
    <row r="111" spans="1:139" ht="15.75" thickBot="1" x14ac:dyDescent="0.3">
      <c r="A111" s="137"/>
      <c r="B111" s="153" t="s">
        <v>165</v>
      </c>
      <c r="C111" s="96">
        <v>28.013400000000001</v>
      </c>
      <c r="D111" s="97" t="s">
        <v>159</v>
      </c>
      <c r="E111" s="137"/>
      <c r="F111" s="146" t="s">
        <v>186</v>
      </c>
      <c r="G111" s="629">
        <f>(G103*C107)+(G104*C108)+(C109*G106)+(G107*C110)+(C111*G108)</f>
        <v>1303597.0601077331</v>
      </c>
      <c r="H111" s="148" t="s">
        <v>187</v>
      </c>
      <c r="I111" s="273"/>
      <c r="J111" s="34"/>
      <c r="K111" s="19"/>
      <c r="L111" s="19"/>
      <c r="M111" s="19"/>
      <c r="N111" s="836" t="s">
        <v>446</v>
      </c>
      <c r="O111" s="837"/>
      <c r="P111" s="361">
        <f>P109*P107*(R111-D19)/P110</f>
        <v>22449.885089248466</v>
      </c>
      <c r="Q111" s="361" t="s">
        <v>447</v>
      </c>
      <c r="R111" s="278">
        <f>-264.44+1.03*R110</f>
        <v>990.27541916814675</v>
      </c>
      <c r="S111" s="19"/>
      <c r="T111" s="19"/>
      <c r="U111" s="19"/>
      <c r="X111" s="399"/>
      <c r="Y111" s="399"/>
      <c r="Z111" s="399"/>
      <c r="AA111" s="399"/>
      <c r="AB111" s="399"/>
      <c r="AC111" s="399"/>
      <c r="AD111" s="399"/>
      <c r="AE111" s="399"/>
      <c r="AF111" s="399"/>
      <c r="AG111" s="399"/>
      <c r="AH111" s="399"/>
      <c r="AI111" s="399"/>
      <c r="AJ111" s="399"/>
      <c r="AK111" s="39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</row>
    <row r="112" spans="1:139" ht="15.75" thickBot="1" x14ac:dyDescent="0.3">
      <c r="A112" s="137"/>
      <c r="B112" s="173"/>
      <c r="C112" s="174"/>
      <c r="D112" s="174"/>
      <c r="E112" s="137"/>
      <c r="F112" s="159" t="s">
        <v>189</v>
      </c>
      <c r="G112" s="630">
        <f>+Q21</f>
        <v>542.63528032359477</v>
      </c>
      <c r="H112" s="161" t="s">
        <v>188</v>
      </c>
      <c r="I112" s="273"/>
      <c r="J112" s="34"/>
      <c r="K112" s="19"/>
      <c r="L112" s="19"/>
      <c r="M112" s="19"/>
      <c r="N112" s="137"/>
      <c r="O112" s="137"/>
      <c r="P112" s="137"/>
      <c r="Q112" s="33"/>
      <c r="R112" s="19"/>
      <c r="S112" s="19"/>
      <c r="T112" s="19"/>
      <c r="U112" s="19"/>
      <c r="X112" s="399"/>
      <c r="Y112" s="399"/>
      <c r="Z112" s="399"/>
      <c r="AA112" s="399"/>
      <c r="AB112" s="399"/>
      <c r="AC112" s="399"/>
      <c r="AD112" s="399"/>
      <c r="AE112" s="399"/>
      <c r="AF112" s="399"/>
      <c r="AG112" s="399"/>
      <c r="AH112" s="399"/>
      <c r="AI112" s="399"/>
      <c r="AJ112" s="399"/>
      <c r="AK112" s="39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</row>
    <row r="113" spans="1:139" ht="15.75" thickBot="1" x14ac:dyDescent="0.3">
      <c r="A113" s="137"/>
      <c r="B113" s="175" t="s">
        <v>268</v>
      </c>
      <c r="C113" s="176" t="s">
        <v>310</v>
      </c>
      <c r="D113" s="177">
        <v>14</v>
      </c>
      <c r="E113" s="838" t="s">
        <v>524</v>
      </c>
      <c r="F113" s="839"/>
      <c r="G113" s="168">
        <f>+K66</f>
        <v>7.2640000000000002</v>
      </c>
      <c r="H113" s="838" t="s">
        <v>525</v>
      </c>
      <c r="I113" s="839"/>
      <c r="J113" s="462">
        <f>+L66</f>
        <v>15.419</v>
      </c>
      <c r="K113" s="137"/>
      <c r="L113" s="137"/>
      <c r="M113" s="137"/>
      <c r="N113" s="137"/>
      <c r="O113" s="137"/>
      <c r="P113" s="137"/>
      <c r="Q113" s="33"/>
      <c r="R113" s="19"/>
      <c r="S113" s="19"/>
      <c r="T113" s="19"/>
      <c r="U113" s="19"/>
      <c r="X113" s="399"/>
      <c r="Y113" s="399"/>
      <c r="Z113" s="399"/>
      <c r="AA113" s="399"/>
      <c r="AB113" s="399"/>
      <c r="AC113" s="399"/>
      <c r="AD113" s="399"/>
      <c r="AE113" s="399"/>
      <c r="AF113" s="399"/>
      <c r="AG113" s="399"/>
      <c r="AH113" s="399"/>
      <c r="AI113" s="399"/>
      <c r="AJ113" s="399"/>
      <c r="AK113" s="39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</row>
    <row r="114" spans="1:139" ht="15.75" thickBot="1" x14ac:dyDescent="0.3">
      <c r="A114" s="137"/>
      <c r="B114" s="178" t="s">
        <v>302</v>
      </c>
      <c r="C114" s="179" t="s">
        <v>303</v>
      </c>
      <c r="D114" s="180" t="s">
        <v>188</v>
      </c>
      <c r="E114" s="30">
        <v>94.779244218559427</v>
      </c>
      <c r="F114" s="30">
        <v>54.567125926793025</v>
      </c>
      <c r="G114" s="30">
        <v>23.736163049808454</v>
      </c>
      <c r="H114" s="30">
        <v>13.356307524061549</v>
      </c>
      <c r="I114" s="30">
        <v>8.9216295658184173</v>
      </c>
      <c r="J114" s="30"/>
      <c r="K114" s="463"/>
      <c r="L114" s="19"/>
      <c r="M114" s="19"/>
      <c r="N114" s="19"/>
      <c r="O114" s="840" t="s">
        <v>361</v>
      </c>
      <c r="P114" s="841"/>
      <c r="Q114" s="222">
        <f>+(P118-P117)*1000000</f>
        <v>-115393312.85592802</v>
      </c>
      <c r="R114" s="19"/>
      <c r="S114" s="19"/>
      <c r="T114" s="19"/>
      <c r="U114" s="19"/>
      <c r="X114" s="399"/>
      <c r="Y114" s="399"/>
      <c r="Z114" s="399"/>
      <c r="AA114" s="399"/>
      <c r="AB114" s="399"/>
      <c r="AC114" s="399"/>
      <c r="AD114" s="399"/>
      <c r="AE114" s="399"/>
      <c r="AF114" s="399"/>
      <c r="AG114" s="399"/>
      <c r="AH114" s="399"/>
      <c r="AI114" s="399"/>
      <c r="AJ114" s="399"/>
      <c r="AK114" s="39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</row>
    <row r="115" spans="1:139" ht="15.75" thickBot="1" x14ac:dyDescent="0.3">
      <c r="A115" s="137"/>
      <c r="B115" s="409"/>
      <c r="C115" s="409"/>
      <c r="D115" s="409"/>
      <c r="E115" s="409"/>
      <c r="F115" s="409"/>
      <c r="G115" s="409"/>
      <c r="H115" s="409"/>
      <c r="I115" s="409"/>
      <c r="J115" s="409"/>
      <c r="K115" s="409"/>
      <c r="L115" s="409"/>
      <c r="M115" s="19"/>
      <c r="N115" s="19"/>
      <c r="O115" s="223" t="s">
        <v>353</v>
      </c>
      <c r="P115" s="224">
        <f>+H119</f>
        <v>749.10806504346033</v>
      </c>
      <c r="Q115" s="338" t="s">
        <v>131</v>
      </c>
      <c r="R115" s="19"/>
      <c r="S115" s="19"/>
      <c r="T115" s="19"/>
      <c r="U115" s="19"/>
      <c r="X115" s="399"/>
      <c r="Y115" s="399"/>
      <c r="Z115" s="399"/>
      <c r="AA115" s="399"/>
      <c r="AB115" s="399"/>
      <c r="AC115" s="399"/>
      <c r="AD115" s="399"/>
      <c r="AE115" s="399"/>
      <c r="AF115" s="399"/>
      <c r="AG115" s="399"/>
      <c r="AH115" s="399"/>
      <c r="AI115" s="399"/>
      <c r="AJ115" s="399"/>
      <c r="AK115" s="39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</row>
    <row r="116" spans="1:139" x14ac:dyDescent="0.25">
      <c r="A116" s="137"/>
      <c r="B116" s="138" t="s">
        <v>300</v>
      </c>
      <c r="C116" s="169" t="s">
        <v>304</v>
      </c>
      <c r="D116" s="410" t="s">
        <v>188</v>
      </c>
      <c r="E116" s="413">
        <f>+K110-(P111/1000)</f>
        <v>502.03998645205274</v>
      </c>
      <c r="F116" s="123">
        <f>E117</f>
        <v>403.3119777221761</v>
      </c>
      <c r="G116" s="73">
        <f t="shared" ref="G116:I116" si="51">F117</f>
        <v>345.51610803768153</v>
      </c>
      <c r="H116" s="73">
        <f t="shared" si="51"/>
        <v>318.37596288786659</v>
      </c>
      <c r="I116" s="73">
        <f t="shared" si="51"/>
        <v>303.19463428591411</v>
      </c>
      <c r="J116" s="73"/>
      <c r="K116" s="74"/>
      <c r="L116" s="19"/>
      <c r="M116" s="19"/>
      <c r="N116" s="19"/>
      <c r="O116" s="223" t="s">
        <v>354</v>
      </c>
      <c r="P116" s="224">
        <v>200</v>
      </c>
      <c r="Q116" s="338" t="s">
        <v>131</v>
      </c>
      <c r="R116" s="19"/>
      <c r="S116" s="19"/>
      <c r="T116" s="19"/>
      <c r="U116" s="19"/>
      <c r="X116" s="399"/>
      <c r="Y116" s="399"/>
      <c r="Z116" s="399"/>
      <c r="AA116" s="399"/>
      <c r="AB116" s="399"/>
      <c r="AC116" s="399"/>
      <c r="AD116" s="399"/>
      <c r="AE116" s="399"/>
      <c r="AF116" s="399"/>
      <c r="AG116" s="399"/>
      <c r="AH116" s="399"/>
      <c r="AI116" s="399"/>
      <c r="AJ116" s="399"/>
      <c r="AK116" s="39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</row>
    <row r="117" spans="1:139" x14ac:dyDescent="0.25">
      <c r="A117" s="137"/>
      <c r="B117" s="151" t="s">
        <v>301</v>
      </c>
      <c r="C117" s="184" t="s">
        <v>305</v>
      </c>
      <c r="D117" s="411" t="s">
        <v>188</v>
      </c>
      <c r="E117" s="188">
        <f>E116-E122-E114</f>
        <v>403.3119777221761</v>
      </c>
      <c r="F117" s="185">
        <f t="shared" ref="F117:G117" si="52">F116-F122-F114</f>
        <v>345.51610803768153</v>
      </c>
      <c r="G117" s="185">
        <f t="shared" si="52"/>
        <v>318.37596288786659</v>
      </c>
      <c r="H117" s="185">
        <f>H116-H122-H114</f>
        <v>303.19463428591411</v>
      </c>
      <c r="I117" s="185">
        <f>I116-I122-I114</f>
        <v>292.67951616701185</v>
      </c>
      <c r="J117" s="185"/>
      <c r="K117" s="187"/>
      <c r="L117" s="19"/>
      <c r="M117" s="19"/>
      <c r="N117" s="19"/>
      <c r="O117" s="349" t="s">
        <v>356</v>
      </c>
      <c r="P117" s="224">
        <f>+DH_KJKmol(P116,P115,G104/1000,G103/1000,G108/1000,G107/1000,G106/1000)/3600</f>
        <v>234.768185494216</v>
      </c>
      <c r="Q117" s="225" t="s">
        <v>355</v>
      </c>
      <c r="R117" s="19"/>
      <c r="S117" s="19"/>
      <c r="T117" s="19"/>
      <c r="U117" s="19"/>
      <c r="X117" s="399"/>
      <c r="Y117" s="399"/>
      <c r="Z117" s="399"/>
      <c r="AA117" s="399"/>
      <c r="AB117" s="399"/>
      <c r="AC117" s="399"/>
      <c r="AD117" s="399"/>
      <c r="AE117" s="399"/>
      <c r="AF117" s="399"/>
      <c r="AG117" s="399"/>
      <c r="AH117" s="399"/>
      <c r="AI117" s="399"/>
      <c r="AJ117" s="399"/>
      <c r="AK117" s="39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</row>
    <row r="118" spans="1:139" x14ac:dyDescent="0.25">
      <c r="A118" s="137"/>
      <c r="B118" s="188" t="s">
        <v>297</v>
      </c>
      <c r="C118" s="184" t="s">
        <v>306</v>
      </c>
      <c r="D118" s="411" t="s">
        <v>131</v>
      </c>
      <c r="E118" s="188">
        <f>ABS(Tcalculada(E116,$K$98,$K$102,$K$101,$K$105,$K$104,$K$103))</f>
        <v>1171.8935580725961</v>
      </c>
      <c r="F118" s="185">
        <f t="shared" ref="F118:H118" si="53">ABS(Tcalculada(F116,$K$98,$K$102,$K$101,$K$105,$K$104,$K$103))</f>
        <v>965.21325755586111</v>
      </c>
      <c r="G118" s="185">
        <f t="shared" si="53"/>
        <v>841.38075791856318</v>
      </c>
      <c r="H118" s="185">
        <f t="shared" si="53"/>
        <v>782.37567021235486</v>
      </c>
      <c r="I118" s="185">
        <f t="shared" ref="I118" si="54">ABS(Tcalculada(I116,$K$98,$K$102,$K$101,$K$105,$K$104,$K$103))</f>
        <v>749.10806504346033</v>
      </c>
      <c r="J118" s="185"/>
      <c r="K118" s="187"/>
      <c r="L118" s="19"/>
      <c r="M118" s="19"/>
      <c r="N118" s="19"/>
      <c r="O118" s="226" t="s">
        <v>357</v>
      </c>
      <c r="P118" s="224">
        <f>25/1000*22.09*(P115-P116)/LN((P115-153)/(P116-153))</f>
        <v>119.37487263828798</v>
      </c>
      <c r="Q118" s="225" t="s">
        <v>19</v>
      </c>
      <c r="R118" s="19"/>
      <c r="S118" s="19"/>
      <c r="T118" s="19"/>
      <c r="U118" s="19"/>
      <c r="X118" s="399"/>
      <c r="Y118" s="399"/>
      <c r="Z118" s="399"/>
      <c r="AA118" s="399"/>
      <c r="AB118" s="399"/>
      <c r="AC118" s="399"/>
      <c r="AD118" s="399"/>
      <c r="AE118" s="399"/>
      <c r="AF118" s="39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</row>
    <row r="119" spans="1:139" x14ac:dyDescent="0.25">
      <c r="A119" s="137"/>
      <c r="B119" s="151" t="s">
        <v>298</v>
      </c>
      <c r="C119" s="184" t="s">
        <v>307</v>
      </c>
      <c r="D119" s="411" t="s">
        <v>131</v>
      </c>
      <c r="E119" s="188">
        <f>ABS(Tcalculada(E117,$K$98,$K$102,$K$101,$K$105,$K$104,$K$103))</f>
        <v>965.21325755586111</v>
      </c>
      <c r="F119" s="185">
        <f t="shared" ref="F119:H119" si="55">ABS(Tcalculada(F117,$K$98,$K$102,$K$101,$K$105,$K$104,$K$103))</f>
        <v>841.38075791856318</v>
      </c>
      <c r="G119" s="185">
        <f t="shared" si="55"/>
        <v>782.37567021235486</v>
      </c>
      <c r="H119" s="185">
        <f t="shared" si="55"/>
        <v>749.10806504346033</v>
      </c>
      <c r="I119" s="185">
        <f t="shared" ref="I119" si="56">ABS(Tcalculada(I117,$K$98,$K$102,$K$101,$K$105,$K$104,$K$103))</f>
        <v>725.95020439084692</v>
      </c>
      <c r="J119" s="185"/>
      <c r="K119" s="187"/>
      <c r="L119" s="19"/>
      <c r="M119" s="19"/>
      <c r="N119" s="19"/>
      <c r="O119" s="227" t="s">
        <v>358</v>
      </c>
      <c r="P119" s="224">
        <f>+P121/P120</f>
        <v>24.462423101721715</v>
      </c>
      <c r="Q119" s="338" t="s">
        <v>38</v>
      </c>
      <c r="R119" s="19"/>
      <c r="S119" s="19"/>
      <c r="T119" s="19"/>
      <c r="U119" s="19"/>
      <c r="X119" s="399"/>
      <c r="Y119" s="399"/>
      <c r="Z119" s="399"/>
      <c r="AA119" s="399"/>
      <c r="AB119" s="399"/>
      <c r="AC119" s="399"/>
      <c r="AD119" s="399"/>
      <c r="AE119" s="399"/>
      <c r="AF119" s="39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</row>
    <row r="120" spans="1:139" x14ac:dyDescent="0.25">
      <c r="A120" s="137"/>
      <c r="B120" s="151" t="s">
        <v>299</v>
      </c>
      <c r="C120" s="184" t="s">
        <v>192</v>
      </c>
      <c r="D120" s="411" t="s">
        <v>131</v>
      </c>
      <c r="E120" s="188">
        <f>+AVERAGE(E118:E119)</f>
        <v>1068.5534078142286</v>
      </c>
      <c r="F120" s="186">
        <f>+AVERAGE(F118:F119)</f>
        <v>903.2970077372122</v>
      </c>
      <c r="G120" s="185">
        <f t="shared" ref="G120:H120" si="57">+AVERAGE(G118:G119)</f>
        <v>811.87821406545902</v>
      </c>
      <c r="H120" s="185">
        <f t="shared" si="57"/>
        <v>765.7418676279076</v>
      </c>
      <c r="I120" s="185">
        <f t="shared" ref="I120" si="58">+AVERAGE(I118:I119)</f>
        <v>737.52913471715362</v>
      </c>
      <c r="J120" s="185"/>
      <c r="K120" s="187"/>
      <c r="L120" s="19"/>
      <c r="M120" s="19"/>
      <c r="N120" s="19"/>
      <c r="O120" s="227" t="s">
        <v>360</v>
      </c>
      <c r="P120" s="224">
        <v>3.6599462819533444</v>
      </c>
      <c r="Q120" s="338" t="s">
        <v>43</v>
      </c>
      <c r="R120" s="19"/>
      <c r="S120" s="19"/>
      <c r="T120" s="19"/>
      <c r="U120" s="19"/>
      <c r="X120" s="399"/>
      <c r="Y120" s="399"/>
      <c r="Z120" s="399"/>
      <c r="AA120" s="399"/>
      <c r="AB120" s="399"/>
      <c r="AC120" s="399"/>
      <c r="AD120" s="399"/>
      <c r="AE120" s="399"/>
      <c r="AF120" s="39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</row>
    <row r="121" spans="1:139" x14ac:dyDescent="0.25">
      <c r="A121" s="137"/>
      <c r="B121" s="188" t="s">
        <v>295</v>
      </c>
      <c r="C121" s="184" t="s">
        <v>308</v>
      </c>
      <c r="D121" s="411" t="s">
        <v>188</v>
      </c>
      <c r="E121" s="188">
        <f>3.33*(E66+E67)*(E120-$D$19)/1000</f>
        <v>15.112917856044989</v>
      </c>
      <c r="F121" s="185">
        <f t="shared" ref="F121:H121" si="59">3.33*(F66+F67)*(F120-$D$19)/1000</f>
        <v>10.400336451180044</v>
      </c>
      <c r="G121" s="185">
        <f>3.33*(G66+G67)*(G120-$D$19)/1000</f>
        <v>9.82352139368958</v>
      </c>
      <c r="H121" s="185">
        <f t="shared" si="59"/>
        <v>4.9580075425938741</v>
      </c>
      <c r="I121" s="185">
        <f t="shared" ref="I121" si="60">3.33*(I66+I67)*(I120-$D$19)/1000</f>
        <v>4.1641271426572537</v>
      </c>
      <c r="J121" s="185"/>
      <c r="K121" s="187"/>
      <c r="L121" s="19"/>
      <c r="M121" s="19"/>
      <c r="N121" s="19"/>
      <c r="O121" s="226" t="s">
        <v>359</v>
      </c>
      <c r="P121" s="224">
        <f>+P118*0.75</f>
        <v>89.53115447871599</v>
      </c>
      <c r="Q121" s="338" t="s">
        <v>188</v>
      </c>
      <c r="R121" s="19"/>
      <c r="S121" s="19"/>
      <c r="T121" s="19"/>
      <c r="U121" s="19"/>
      <c r="X121" s="399"/>
      <c r="Y121" s="399"/>
      <c r="Z121" s="399"/>
      <c r="AA121" s="399"/>
      <c r="AB121" s="399"/>
      <c r="AC121" s="399"/>
      <c r="AD121" s="399"/>
      <c r="AE121" s="399"/>
      <c r="AF121" s="39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</row>
    <row r="122" spans="1:139" ht="15.75" thickBot="1" x14ac:dyDescent="0.3">
      <c r="A122" s="137"/>
      <c r="B122" s="189" t="s">
        <v>296</v>
      </c>
      <c r="C122" s="190" t="s">
        <v>309</v>
      </c>
      <c r="D122" s="412" t="s">
        <v>188</v>
      </c>
      <c r="E122" s="189">
        <f>(E66/$L$66)*$D$113</f>
        <v>3.9487645113172061</v>
      </c>
      <c r="F122" s="189">
        <f t="shared" ref="F122:I122" si="61">(F66/$L$66)*$D$113</f>
        <v>3.2287437577015368</v>
      </c>
      <c r="G122" s="189">
        <f t="shared" si="61"/>
        <v>3.4039821000064849</v>
      </c>
      <c r="H122" s="189">
        <f t="shared" si="61"/>
        <v>1.8250210778909137</v>
      </c>
      <c r="I122" s="189">
        <f t="shared" si="61"/>
        <v>1.5934885530838576</v>
      </c>
      <c r="J122" s="190"/>
      <c r="K122" s="191"/>
      <c r="L122" s="19"/>
      <c r="M122" s="19"/>
      <c r="N122" s="19"/>
      <c r="O122" s="228" t="s">
        <v>362</v>
      </c>
      <c r="P122" s="229">
        <f>+(P121+M180)/Q21</f>
        <v>0.52501493071818217</v>
      </c>
      <c r="Q122" s="230" t="s">
        <v>6</v>
      </c>
      <c r="R122" s="19"/>
      <c r="S122" s="19"/>
      <c r="T122" s="19"/>
      <c r="U122" s="19"/>
      <c r="W122" s="19"/>
      <c r="X122" s="399"/>
      <c r="Y122" s="399"/>
      <c r="Z122" s="399"/>
      <c r="AA122" s="399"/>
      <c r="AB122" s="399"/>
      <c r="AC122" s="399"/>
      <c r="AD122" s="399"/>
      <c r="AE122" s="399"/>
      <c r="AF122" s="39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</row>
    <row r="123" spans="1:139" ht="15.75" thickBot="1" x14ac:dyDescent="0.3">
      <c r="A123" s="137"/>
      <c r="B123" s="182"/>
      <c r="C123" s="182"/>
      <c r="D123" s="220"/>
      <c r="E123" s="221"/>
      <c r="F123" s="221"/>
      <c r="G123" s="221"/>
      <c r="H123" s="221"/>
      <c r="I123" s="221"/>
      <c r="J123" s="158"/>
      <c r="K123" s="137"/>
      <c r="L123" s="137"/>
      <c r="M123" s="137"/>
      <c r="N123" s="137"/>
      <c r="O123" s="137"/>
      <c r="P123" s="137"/>
      <c r="R123" s="19"/>
      <c r="S123" s="19"/>
      <c r="T123" s="19"/>
      <c r="U123" s="19"/>
      <c r="W123" s="19"/>
      <c r="X123" s="399"/>
      <c r="Y123" s="399"/>
      <c r="Z123" s="399"/>
      <c r="AA123" s="399"/>
      <c r="AB123" s="399"/>
      <c r="AC123" s="399"/>
      <c r="AD123" s="399"/>
      <c r="AE123" s="399"/>
      <c r="AF123" s="39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</row>
    <row r="124" spans="1:139" ht="15.75" thickBot="1" x14ac:dyDescent="0.3">
      <c r="A124" s="825" t="s">
        <v>513</v>
      </c>
      <c r="B124" s="826"/>
      <c r="C124" s="826"/>
      <c r="D124" s="826"/>
      <c r="E124" s="826"/>
      <c r="F124" s="826"/>
      <c r="G124" s="826"/>
      <c r="H124" s="826"/>
      <c r="I124" s="826"/>
      <c r="J124" s="826"/>
      <c r="K124" s="826"/>
      <c r="L124" s="826"/>
      <c r="M124" s="826"/>
      <c r="N124" s="826"/>
      <c r="O124" s="826"/>
      <c r="P124" s="826"/>
      <c r="Q124" s="826"/>
      <c r="R124" s="826"/>
      <c r="S124" s="826"/>
      <c r="T124" s="826"/>
      <c r="U124" s="827"/>
      <c r="X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</row>
    <row r="125" spans="1:139" ht="15.75" thickBot="1" x14ac:dyDescent="0.3">
      <c r="A125" s="19"/>
      <c r="B125" s="19"/>
      <c r="C125" s="19"/>
      <c r="D125" s="27"/>
      <c r="E125" s="19"/>
      <c r="F125" s="34"/>
      <c r="G125" s="19"/>
      <c r="H125" s="19"/>
      <c r="I125" s="19"/>
      <c r="J125" s="613"/>
      <c r="K125" s="613"/>
      <c r="L125" s="613"/>
      <c r="M125" s="19"/>
      <c r="N125" s="19"/>
      <c r="O125" s="19"/>
      <c r="P125" s="19"/>
      <c r="Q125" s="33"/>
      <c r="R125" s="19"/>
      <c r="S125" s="19"/>
      <c r="T125" s="19"/>
      <c r="U125" s="19"/>
      <c r="X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19"/>
      <c r="CA125" s="19"/>
      <c r="CB125" s="19"/>
      <c r="CC125" s="19"/>
      <c r="CD125" s="19"/>
      <c r="CE125" s="19"/>
      <c r="CF125" s="19"/>
      <c r="CG125" s="19"/>
      <c r="CH125" s="19"/>
      <c r="CI125" s="19"/>
      <c r="CJ125" s="19"/>
      <c r="CK125" s="19"/>
      <c r="CL125" s="19"/>
      <c r="CM125" s="19"/>
      <c r="CN125" s="19"/>
      <c r="CO125" s="19"/>
      <c r="CP125" s="19"/>
      <c r="CQ125" s="19"/>
      <c r="CR125" s="19"/>
      <c r="CS125" s="19"/>
      <c r="CT125" s="19"/>
      <c r="CU125" s="19"/>
      <c r="CV125" s="19"/>
      <c r="CW125" s="19"/>
      <c r="CX125" s="19"/>
      <c r="CY125" s="19"/>
      <c r="CZ125" s="19"/>
      <c r="DA125" s="19"/>
      <c r="DB125" s="19"/>
      <c r="DC125" s="19"/>
      <c r="DD125" s="19"/>
      <c r="DE125" s="19"/>
      <c r="DF125" s="19"/>
      <c r="DG125" s="19"/>
      <c r="DH125" s="19"/>
      <c r="DI125" s="19"/>
      <c r="DJ125" s="19"/>
      <c r="DK125" s="19"/>
      <c r="DL125" s="19"/>
      <c r="DM125" s="19"/>
      <c r="DN125" s="19"/>
      <c r="DO125" s="19"/>
      <c r="DP125" s="19"/>
      <c r="DQ125" s="19"/>
      <c r="DR125" s="19"/>
      <c r="DS125" s="19"/>
      <c r="DT125" s="19"/>
      <c r="DU125" s="19"/>
      <c r="DV125" s="19"/>
      <c r="DW125" s="19"/>
      <c r="DX125" s="19"/>
      <c r="DY125" s="19"/>
      <c r="DZ125" s="19"/>
      <c r="EA125" s="19"/>
      <c r="EB125" s="19"/>
      <c r="EC125" s="19"/>
      <c r="ED125" s="19"/>
      <c r="EE125" s="19"/>
      <c r="EF125" s="19"/>
      <c r="EG125" s="19"/>
      <c r="EH125" s="19"/>
      <c r="EI125" s="19"/>
    </row>
    <row r="126" spans="1:139" ht="15.75" thickBot="1" x14ac:dyDescent="0.3">
      <c r="A126" s="19"/>
      <c r="B126" s="809" t="s">
        <v>190</v>
      </c>
      <c r="C126" s="810"/>
      <c r="D126" s="811"/>
      <c r="E126" s="450">
        <f>+E26</f>
        <v>1</v>
      </c>
      <c r="F126" s="451">
        <f t="shared" ref="F126:H126" si="62">+F26</f>
        <v>2</v>
      </c>
      <c r="G126" s="451">
        <f t="shared" si="62"/>
        <v>3</v>
      </c>
      <c r="H126" s="451">
        <f t="shared" si="62"/>
        <v>4</v>
      </c>
      <c r="I126" s="452">
        <f t="shared" ref="I126" si="63">+I26</f>
        <v>5</v>
      </c>
      <c r="J126" s="136"/>
      <c r="K126" s="136"/>
      <c r="L126" s="136"/>
      <c r="M126" s="19"/>
      <c r="N126" s="19"/>
      <c r="O126" s="19"/>
      <c r="P126" s="19"/>
      <c r="Q126" s="33"/>
      <c r="R126" s="19"/>
      <c r="S126" s="19"/>
      <c r="T126" s="19"/>
      <c r="U126" s="19"/>
      <c r="X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19"/>
      <c r="BI126" s="19"/>
      <c r="BJ126" s="19"/>
      <c r="BK126" s="19"/>
      <c r="BL126" s="19"/>
      <c r="BM126" s="19"/>
      <c r="BN126" s="19"/>
      <c r="BO126" s="19"/>
      <c r="BP126" s="19"/>
      <c r="BQ126" s="19"/>
      <c r="BR126" s="19"/>
      <c r="BS126" s="19"/>
      <c r="BT126" s="19"/>
      <c r="BU126" s="19"/>
      <c r="BV126" s="19"/>
      <c r="BW126" s="19"/>
      <c r="BX126" s="19"/>
      <c r="BY126" s="19"/>
      <c r="BZ126" s="19"/>
      <c r="CA126" s="19"/>
      <c r="CB126" s="19"/>
      <c r="CC126" s="19"/>
      <c r="CD126" s="19"/>
      <c r="CE126" s="19"/>
      <c r="CF126" s="19"/>
      <c r="CG126" s="19"/>
      <c r="CH126" s="19"/>
      <c r="CI126" s="19"/>
      <c r="CJ126" s="19"/>
      <c r="CK126" s="19"/>
      <c r="CL126" s="19"/>
      <c r="CM126" s="19"/>
      <c r="CN126" s="19"/>
      <c r="CO126" s="19"/>
      <c r="CP126" s="19"/>
      <c r="CQ126" s="19"/>
      <c r="CR126" s="19"/>
      <c r="CS126" s="19"/>
      <c r="CT126" s="19"/>
      <c r="CU126" s="19"/>
      <c r="CV126" s="19"/>
      <c r="CW126" s="19"/>
      <c r="CX126" s="19"/>
      <c r="CY126" s="19"/>
      <c r="CZ126" s="19"/>
      <c r="DA126" s="19"/>
      <c r="DB126" s="19"/>
      <c r="DC126" s="19"/>
      <c r="DD126" s="19"/>
      <c r="DE126" s="19"/>
      <c r="DF126" s="19"/>
      <c r="DG126" s="19"/>
      <c r="DH126" s="19"/>
      <c r="DI126" s="19"/>
      <c r="DJ126" s="19"/>
      <c r="DK126" s="19"/>
      <c r="DL126" s="19"/>
      <c r="DM126" s="19"/>
      <c r="DN126" s="19"/>
      <c r="DO126" s="19"/>
      <c r="DP126" s="19"/>
      <c r="DQ126" s="19"/>
      <c r="DR126" s="19"/>
      <c r="DS126" s="19"/>
      <c r="DT126" s="19"/>
      <c r="DU126" s="19"/>
      <c r="DV126" s="19"/>
      <c r="DW126" s="19"/>
      <c r="DX126" s="19"/>
      <c r="DY126" s="19"/>
      <c r="DZ126" s="19"/>
      <c r="EA126" s="19"/>
      <c r="EB126" s="19"/>
      <c r="EC126" s="19"/>
      <c r="ED126" s="19"/>
      <c r="EE126" s="19"/>
      <c r="EF126" s="19"/>
      <c r="EG126" s="19"/>
      <c r="EH126" s="19"/>
      <c r="EI126" s="19"/>
    </row>
    <row r="127" spans="1:139" x14ac:dyDescent="0.25">
      <c r="A127" s="19"/>
      <c r="B127" s="75" t="s">
        <v>191</v>
      </c>
      <c r="C127" s="76" t="s">
        <v>192</v>
      </c>
      <c r="D127" s="77" t="s">
        <v>13</v>
      </c>
      <c r="E127" s="420">
        <f>+E120</f>
        <v>1068.5534078142286</v>
      </c>
      <c r="F127" s="415">
        <f>+F120</f>
        <v>903.2970077372122</v>
      </c>
      <c r="G127" s="414">
        <f>+G120</f>
        <v>811.87821406545902</v>
      </c>
      <c r="H127" s="414">
        <f>+H120</f>
        <v>765.7418676279076</v>
      </c>
      <c r="I127" s="421">
        <f>+I120</f>
        <v>737.52913471715362</v>
      </c>
      <c r="J127" s="136"/>
      <c r="K127" s="136"/>
      <c r="L127" s="136"/>
      <c r="M127" s="19"/>
      <c r="N127" s="19"/>
      <c r="O127" s="19"/>
      <c r="P127" s="19"/>
      <c r="Q127" s="33"/>
      <c r="R127" s="19"/>
      <c r="S127" s="19"/>
      <c r="T127" s="19"/>
      <c r="U127" s="19"/>
      <c r="X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19"/>
      <c r="BI127" s="19"/>
      <c r="BJ127" s="19"/>
      <c r="BK127" s="19"/>
      <c r="BL127" s="19"/>
      <c r="BM127" s="19"/>
      <c r="BN127" s="19"/>
      <c r="BO127" s="19"/>
      <c r="BP127" s="19"/>
      <c r="BQ127" s="19"/>
      <c r="BR127" s="19"/>
      <c r="BS127" s="19"/>
      <c r="BT127" s="19"/>
      <c r="BU127" s="19"/>
      <c r="BV127" s="19"/>
      <c r="BW127" s="19"/>
      <c r="BX127" s="19"/>
      <c r="BY127" s="19"/>
      <c r="BZ127" s="19"/>
      <c r="CA127" s="19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  <c r="CV127" s="19"/>
      <c r="CW127" s="19"/>
      <c r="CX127" s="19"/>
      <c r="CY127" s="19"/>
      <c r="CZ127" s="19"/>
      <c r="DA127" s="19"/>
      <c r="DB127" s="19"/>
      <c r="DC127" s="19"/>
      <c r="DD127" s="19"/>
      <c r="DE127" s="19"/>
      <c r="DF127" s="19"/>
      <c r="DG127" s="19"/>
      <c r="DH127" s="19"/>
      <c r="DI127" s="19"/>
      <c r="DJ127" s="19"/>
      <c r="DK127" s="19"/>
      <c r="DL127" s="19"/>
      <c r="DM127" s="19"/>
      <c r="DN127" s="19"/>
      <c r="DO127" s="19"/>
      <c r="DP127" s="19"/>
      <c r="DQ127" s="19"/>
      <c r="DR127" s="19"/>
      <c r="DS127" s="19"/>
      <c r="DT127" s="19"/>
      <c r="DU127" s="19"/>
      <c r="DV127" s="19"/>
      <c r="DW127" s="19"/>
      <c r="DX127" s="19"/>
      <c r="DY127" s="19"/>
      <c r="DZ127" s="19"/>
      <c r="EA127" s="19"/>
      <c r="EB127" s="19"/>
      <c r="EC127" s="19"/>
      <c r="ED127" s="19"/>
      <c r="EE127" s="19"/>
      <c r="EF127" s="19"/>
      <c r="EG127" s="19"/>
      <c r="EH127" s="19"/>
      <c r="EI127" s="19"/>
    </row>
    <row r="128" spans="1:139" x14ac:dyDescent="0.25">
      <c r="A128" s="23"/>
      <c r="B128" s="78" t="s">
        <v>193</v>
      </c>
      <c r="C128" s="79" t="s">
        <v>110</v>
      </c>
      <c r="D128" s="80" t="s">
        <v>194</v>
      </c>
      <c r="E128" s="26">
        <f>+D21/760</f>
        <v>0.88428170172353593</v>
      </c>
      <c r="F128" s="125">
        <f>E128</f>
        <v>0.88428170172353593</v>
      </c>
      <c r="G128" s="24">
        <f t="shared" ref="G128:I128" si="64">F128</f>
        <v>0.88428170172353593</v>
      </c>
      <c r="H128" s="24">
        <f t="shared" si="64"/>
        <v>0.88428170172353593</v>
      </c>
      <c r="I128" s="25">
        <f t="shared" si="64"/>
        <v>0.88428170172353593</v>
      </c>
      <c r="J128" s="136"/>
      <c r="K128" s="136"/>
      <c r="L128" s="136"/>
      <c r="M128" s="19"/>
      <c r="N128" s="19"/>
      <c r="O128" s="19"/>
      <c r="P128" s="19"/>
      <c r="Q128" s="33"/>
      <c r="R128" s="19"/>
      <c r="S128" s="19"/>
      <c r="T128" s="19"/>
      <c r="U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19"/>
      <c r="BI128" s="19"/>
      <c r="BJ128" s="19"/>
      <c r="BK128" s="19"/>
      <c r="BL128" s="19"/>
      <c r="BM128" s="19"/>
      <c r="BN128" s="19"/>
      <c r="BO128" s="19"/>
      <c r="BP128" s="19"/>
      <c r="BQ128" s="19"/>
      <c r="BR128" s="19"/>
      <c r="BS128" s="19"/>
      <c r="BT128" s="19"/>
      <c r="BU128" s="19"/>
      <c r="BV128" s="19"/>
      <c r="BW128" s="19"/>
      <c r="BX128" s="19"/>
      <c r="BY128" s="19"/>
      <c r="BZ128" s="19"/>
      <c r="CA128" s="19"/>
      <c r="CB128" s="19"/>
      <c r="CC128" s="19"/>
      <c r="CD128" s="19"/>
      <c r="CE128" s="19"/>
      <c r="CF128" s="19"/>
      <c r="CG128" s="19"/>
      <c r="CH128" s="19"/>
      <c r="CI128" s="19"/>
      <c r="CJ128" s="19"/>
      <c r="CK128" s="19"/>
      <c r="CL128" s="19"/>
      <c r="CM128" s="19"/>
      <c r="CN128" s="19"/>
      <c r="CO128" s="19"/>
      <c r="CP128" s="19"/>
      <c r="CQ128" s="19"/>
      <c r="CR128" s="19"/>
      <c r="CS128" s="19"/>
      <c r="CT128" s="19"/>
      <c r="CU128" s="19"/>
      <c r="CV128" s="19"/>
      <c r="CW128" s="19"/>
      <c r="CX128" s="19"/>
      <c r="CY128" s="19"/>
      <c r="CZ128" s="19"/>
      <c r="DA128" s="19"/>
      <c r="DB128" s="19"/>
      <c r="DC128" s="19"/>
      <c r="DD128" s="19"/>
      <c r="DE128" s="19"/>
      <c r="DF128" s="19"/>
      <c r="DG128" s="19"/>
      <c r="DH128" s="19"/>
      <c r="DI128" s="19"/>
      <c r="DJ128" s="19"/>
      <c r="DK128" s="19"/>
      <c r="DL128" s="19"/>
      <c r="DM128" s="19"/>
      <c r="DN128" s="19"/>
      <c r="DO128" s="19"/>
      <c r="DP128" s="19"/>
      <c r="DQ128" s="19"/>
      <c r="DR128" s="19"/>
      <c r="DS128" s="19"/>
      <c r="DT128" s="19"/>
      <c r="DU128" s="19"/>
      <c r="DV128" s="19"/>
      <c r="DW128" s="19"/>
      <c r="DX128" s="19"/>
      <c r="DY128" s="19"/>
      <c r="DZ128" s="19"/>
      <c r="EA128" s="19"/>
      <c r="EB128" s="19"/>
      <c r="EC128" s="19"/>
      <c r="ED128" s="19"/>
      <c r="EE128" s="19"/>
      <c r="EF128" s="19"/>
      <c r="EG128" s="19"/>
      <c r="EH128" s="19"/>
      <c r="EI128" s="19"/>
    </row>
    <row r="129" spans="1:139" x14ac:dyDescent="0.25">
      <c r="A129" s="23"/>
      <c r="B129" s="78" t="s">
        <v>195</v>
      </c>
      <c r="C129" s="79" t="s">
        <v>196</v>
      </c>
      <c r="D129" s="80" t="s">
        <v>197</v>
      </c>
      <c r="E129" s="26">
        <f t="shared" ref="E129:H129" si="65">+cp(E127,$K$102,$K$101,$K$105,$K$104,$K$103)</f>
        <v>1.3194357716594263</v>
      </c>
      <c r="F129" s="125">
        <f t="shared" si="65"/>
        <v>1.2890128221088599</v>
      </c>
      <c r="G129" s="24">
        <f t="shared" si="65"/>
        <v>1.2702540926676136</v>
      </c>
      <c r="H129" s="24">
        <f t="shared" si="65"/>
        <v>1.2602312965050519</v>
      </c>
      <c r="I129" s="25">
        <f t="shared" ref="I129" si="66">+cp(I127,$K$102,$K$101,$K$105,$K$104,$K$103)</f>
        <v>1.2539122357514516</v>
      </c>
      <c r="J129" s="136"/>
      <c r="K129" s="136"/>
      <c r="L129" s="136"/>
      <c r="M129" s="19"/>
      <c r="N129" s="19"/>
      <c r="O129" s="19"/>
      <c r="P129" s="19"/>
      <c r="Q129" s="33"/>
      <c r="R129" s="19"/>
      <c r="S129" s="19"/>
      <c r="T129" s="19"/>
      <c r="U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19"/>
      <c r="BO129" s="19"/>
      <c r="BP129" s="19"/>
      <c r="BQ129" s="19"/>
      <c r="BR129" s="19"/>
      <c r="BS129" s="19"/>
      <c r="BT129" s="19"/>
      <c r="BU129" s="19"/>
      <c r="BV129" s="19"/>
      <c r="BW129" s="19"/>
      <c r="BX129" s="19"/>
      <c r="BY129" s="19"/>
      <c r="BZ129" s="19"/>
      <c r="CA129" s="19"/>
      <c r="CB129" s="19"/>
      <c r="CC129" s="19"/>
      <c r="CD129" s="19"/>
      <c r="CE129" s="19"/>
      <c r="CF129" s="19"/>
      <c r="CG129" s="19"/>
      <c r="CH129" s="19"/>
      <c r="CI129" s="19"/>
      <c r="CJ129" s="19"/>
      <c r="CK129" s="19"/>
      <c r="CL129" s="19"/>
      <c r="CM129" s="19"/>
      <c r="CN129" s="19"/>
      <c r="CO129" s="19"/>
      <c r="CP129" s="19"/>
      <c r="CQ129" s="19"/>
      <c r="CR129" s="19"/>
      <c r="CS129" s="19"/>
      <c r="CT129" s="19"/>
      <c r="CU129" s="19"/>
      <c r="CV129" s="19"/>
      <c r="CW129" s="19"/>
      <c r="CX129" s="19"/>
      <c r="CY129" s="19"/>
      <c r="CZ129" s="19"/>
      <c r="DA129" s="19"/>
      <c r="DB129" s="19"/>
      <c r="DC129" s="19"/>
      <c r="DD129" s="19"/>
      <c r="DE129" s="19"/>
      <c r="DF129" s="19"/>
      <c r="DG129" s="19"/>
      <c r="DH129" s="19"/>
      <c r="DI129" s="19"/>
      <c r="DJ129" s="19"/>
      <c r="DK129" s="19"/>
      <c r="DL129" s="19"/>
      <c r="DM129" s="19"/>
      <c r="DN129" s="19"/>
      <c r="DO129" s="19"/>
      <c r="DP129" s="19"/>
      <c r="DQ129" s="19"/>
      <c r="DR129" s="19"/>
      <c r="DS129" s="19"/>
      <c r="DT129" s="19"/>
      <c r="DU129" s="19"/>
      <c r="DV129" s="19"/>
      <c r="DW129" s="19"/>
      <c r="DX129" s="19"/>
      <c r="DY129" s="19"/>
      <c r="DZ129" s="19"/>
      <c r="EA129" s="19"/>
      <c r="EB129" s="19"/>
      <c r="EC129" s="19"/>
      <c r="ED129" s="19"/>
      <c r="EE129" s="19"/>
      <c r="EF129" s="19"/>
      <c r="EG129" s="19"/>
      <c r="EH129" s="19"/>
      <c r="EI129" s="19"/>
    </row>
    <row r="130" spans="1:139" x14ac:dyDescent="0.25">
      <c r="A130" s="23"/>
      <c r="B130" s="78" t="s">
        <v>198</v>
      </c>
      <c r="C130" s="81" t="s">
        <v>199</v>
      </c>
      <c r="D130" s="80" t="s">
        <v>200</v>
      </c>
      <c r="E130" s="26">
        <f t="shared" ref="E130:H130" si="67">+Densidad_kgm3($K$102,$K$101,$K$105,$K$104,$K$103,E128*101.325,E127)</f>
        <v>0.23028846117789611</v>
      </c>
      <c r="F130" s="125">
        <f t="shared" si="67"/>
        <v>0.26263725532097726</v>
      </c>
      <c r="G130" s="24">
        <f t="shared" si="67"/>
        <v>0.2847656946956012</v>
      </c>
      <c r="H130" s="24">
        <f t="shared" si="67"/>
        <v>0.2974119085638493</v>
      </c>
      <c r="I130" s="25">
        <f t="shared" ref="I130" si="68">+Densidad_kgm3($K$102,$K$101,$K$105,$K$104,$K$103,I128*101.325,I127)</f>
        <v>0.30571405160070714</v>
      </c>
      <c r="J130" s="136"/>
      <c r="K130" s="136"/>
      <c r="L130" s="136"/>
      <c r="M130" s="19"/>
      <c r="N130" s="19"/>
      <c r="O130" s="19"/>
      <c r="P130" s="19"/>
      <c r="Q130" s="33"/>
      <c r="R130" s="19"/>
      <c r="S130" s="19"/>
      <c r="T130" s="19"/>
      <c r="U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19"/>
      <c r="BI130" s="19"/>
      <c r="BJ130" s="19"/>
      <c r="BK130" s="19"/>
      <c r="BL130" s="19"/>
      <c r="BM130" s="19"/>
      <c r="BN130" s="19"/>
      <c r="BO130" s="19"/>
      <c r="BP130" s="19"/>
      <c r="BQ130" s="19"/>
      <c r="BR130" s="19"/>
      <c r="BS130" s="19"/>
      <c r="BT130" s="19"/>
      <c r="BU130" s="19"/>
      <c r="BV130" s="19"/>
      <c r="BW130" s="19"/>
      <c r="BX130" s="19"/>
      <c r="BY130" s="19"/>
      <c r="BZ130" s="19"/>
      <c r="CA130" s="19"/>
      <c r="CB130" s="19"/>
      <c r="CC130" s="19"/>
      <c r="CD130" s="19"/>
      <c r="CE130" s="19"/>
      <c r="CF130" s="19"/>
      <c r="CG130" s="19"/>
      <c r="CH130" s="19"/>
      <c r="CI130" s="19"/>
      <c r="CJ130" s="19"/>
      <c r="CK130" s="19"/>
      <c r="CL130" s="19"/>
      <c r="CM130" s="19"/>
      <c r="CN130" s="19"/>
      <c r="CO130" s="19"/>
      <c r="CP130" s="19"/>
      <c r="CQ130" s="19"/>
      <c r="CR130" s="19"/>
      <c r="CS130" s="19"/>
      <c r="CT130" s="19"/>
      <c r="CU130" s="19"/>
      <c r="CV130" s="19"/>
      <c r="CW130" s="19"/>
      <c r="CX130" s="19"/>
      <c r="CY130" s="19"/>
      <c r="CZ130" s="19"/>
      <c r="DA130" s="19"/>
      <c r="DB130" s="19"/>
      <c r="DC130" s="19"/>
      <c r="DD130" s="19"/>
      <c r="DE130" s="19"/>
      <c r="DF130" s="19"/>
      <c r="DG130" s="19"/>
      <c r="DH130" s="19"/>
      <c r="DI130" s="19"/>
      <c r="DJ130" s="19"/>
      <c r="DK130" s="19"/>
      <c r="DL130" s="19"/>
      <c r="DM130" s="19"/>
      <c r="DN130" s="19"/>
      <c r="DO130" s="19"/>
      <c r="DP130" s="19"/>
      <c r="DQ130" s="19"/>
      <c r="DR130" s="19"/>
      <c r="DS130" s="19"/>
      <c r="DT130" s="19"/>
      <c r="DU130" s="19"/>
      <c r="DV130" s="19"/>
      <c r="DW130" s="19"/>
      <c r="DX130" s="19"/>
      <c r="DY130" s="19"/>
      <c r="DZ130" s="19"/>
      <c r="EA130" s="19"/>
      <c r="EB130" s="19"/>
      <c r="EC130" s="19"/>
      <c r="ED130" s="19"/>
      <c r="EE130" s="19"/>
      <c r="EF130" s="19"/>
      <c r="EG130" s="19"/>
      <c r="EH130" s="19"/>
      <c r="EI130" s="19"/>
    </row>
    <row r="131" spans="1:139" x14ac:dyDescent="0.25">
      <c r="A131" s="23"/>
      <c r="B131" s="78" t="s">
        <v>201</v>
      </c>
      <c r="C131" s="81" t="s">
        <v>202</v>
      </c>
      <c r="D131" s="80" t="s">
        <v>203</v>
      </c>
      <c r="E131" s="82">
        <f>0.0000175+0.0000000335*E127</f>
        <v>5.3296539161776659E-5</v>
      </c>
      <c r="F131" s="126">
        <f t="shared" ref="F131:H131" si="69">0.0000175+0.0000000335*F127</f>
        <v>4.7760449759196605E-5</v>
      </c>
      <c r="G131" s="83">
        <f t="shared" si="69"/>
        <v>4.4697920171192873E-5</v>
      </c>
      <c r="H131" s="83">
        <f t="shared" si="69"/>
        <v>4.3152352565534909E-5</v>
      </c>
      <c r="I131" s="84">
        <f t="shared" ref="I131" si="70">0.0000175+0.0000000335*I127</f>
        <v>4.2207226013024645E-5</v>
      </c>
      <c r="J131" s="136"/>
      <c r="K131" s="136"/>
      <c r="L131" s="136"/>
      <c r="M131" s="19"/>
      <c r="N131" s="19"/>
      <c r="O131" s="19"/>
      <c r="P131" s="19"/>
      <c r="Q131" s="19"/>
      <c r="R131" s="19"/>
      <c r="S131" s="19"/>
      <c r="T131" s="19"/>
      <c r="U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19"/>
      <c r="BI131" s="19"/>
      <c r="BJ131" s="19"/>
      <c r="BK131" s="19"/>
      <c r="BL131" s="19"/>
      <c r="BM131" s="19"/>
      <c r="BN131" s="19"/>
      <c r="BO131" s="19"/>
      <c r="BP131" s="19"/>
      <c r="BQ131" s="19"/>
      <c r="BR131" s="19"/>
      <c r="BS131" s="19"/>
      <c r="BT131" s="19"/>
      <c r="BU131" s="19"/>
      <c r="BV131" s="19"/>
      <c r="BW131" s="19"/>
      <c r="BX131" s="19"/>
      <c r="BY131" s="19"/>
      <c r="BZ131" s="19"/>
      <c r="CA131" s="19"/>
      <c r="CB131" s="19"/>
      <c r="CC131" s="19"/>
      <c r="CD131" s="19"/>
      <c r="CE131" s="19"/>
      <c r="CF131" s="19"/>
      <c r="CG131" s="19"/>
      <c r="CH131" s="19"/>
      <c r="CI131" s="19"/>
      <c r="CJ131" s="19"/>
      <c r="CK131" s="19"/>
      <c r="CL131" s="19"/>
      <c r="CM131" s="19"/>
      <c r="CN131" s="19"/>
      <c r="CO131" s="19"/>
      <c r="CP131" s="19"/>
      <c r="CQ131" s="19"/>
      <c r="CR131" s="19"/>
      <c r="CS131" s="19"/>
      <c r="CT131" s="19"/>
      <c r="CU131" s="19"/>
      <c r="CV131" s="19"/>
      <c r="CW131" s="19"/>
      <c r="CX131" s="19"/>
      <c r="CY131" s="19"/>
      <c r="CZ131" s="19"/>
      <c r="DA131" s="19"/>
      <c r="DB131" s="19"/>
      <c r="DC131" s="19"/>
      <c r="DD131" s="19"/>
      <c r="DE131" s="19"/>
      <c r="DF131" s="19"/>
      <c r="DG131" s="19"/>
      <c r="DH131" s="19"/>
      <c r="DI131" s="19"/>
      <c r="DJ131" s="19"/>
      <c r="DK131" s="19"/>
      <c r="DL131" s="19"/>
      <c r="DM131" s="19"/>
      <c r="DN131" s="19"/>
      <c r="DO131" s="19"/>
      <c r="DP131" s="19"/>
      <c r="DQ131" s="19"/>
      <c r="DR131" s="19"/>
      <c r="DS131" s="19"/>
      <c r="DT131" s="19"/>
      <c r="DU131" s="19"/>
      <c r="DV131" s="19"/>
      <c r="DW131" s="19"/>
      <c r="DX131" s="19"/>
      <c r="DY131" s="19"/>
      <c r="DZ131" s="19"/>
      <c r="EA131" s="19"/>
      <c r="EB131" s="19"/>
      <c r="EC131" s="19"/>
      <c r="ED131" s="19"/>
      <c r="EE131" s="19"/>
      <c r="EF131" s="19"/>
      <c r="EG131" s="19"/>
      <c r="EH131" s="19"/>
      <c r="EI131" s="19"/>
    </row>
    <row r="132" spans="1:139" x14ac:dyDescent="0.25">
      <c r="A132" s="23"/>
      <c r="B132" s="78" t="s">
        <v>204</v>
      </c>
      <c r="C132" s="81" t="s">
        <v>148</v>
      </c>
      <c r="D132" s="80" t="s">
        <v>205</v>
      </c>
      <c r="E132" s="82">
        <f>(0.0229+0.0000647*E127)/1000</f>
        <v>9.2035405485580601E-5</v>
      </c>
      <c r="F132" s="126">
        <f t="shared" ref="F132:H132" si="71">(0.0229+0.0000647*F127)/1000</f>
        <v>8.1343316400597627E-5</v>
      </c>
      <c r="G132" s="83">
        <f t="shared" si="71"/>
        <v>7.5428520450035197E-5</v>
      </c>
      <c r="H132" s="83">
        <f t="shared" si="71"/>
        <v>7.2443498835525618E-5</v>
      </c>
      <c r="I132" s="84">
        <f t="shared" ref="I132" si="72">(0.0229+0.0000647*I127)/1000</f>
        <v>7.0618135016199847E-5</v>
      </c>
      <c r="J132" s="136"/>
      <c r="K132" s="136"/>
      <c r="L132" s="136"/>
      <c r="M132" s="19"/>
      <c r="N132" s="19"/>
      <c r="O132" s="19"/>
      <c r="P132" s="19"/>
      <c r="Q132" s="33"/>
      <c r="R132" s="19"/>
      <c r="S132" s="19"/>
      <c r="T132" s="19"/>
      <c r="U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  <c r="BL132" s="19"/>
      <c r="BM132" s="19"/>
      <c r="BN132" s="19"/>
      <c r="BO132" s="19"/>
      <c r="BP132" s="19"/>
      <c r="BQ132" s="19"/>
      <c r="BR132" s="19"/>
      <c r="BS132" s="19"/>
      <c r="BT132" s="19"/>
      <c r="BU132" s="19"/>
      <c r="BV132" s="19"/>
      <c r="BW132" s="19"/>
      <c r="BX132" s="19"/>
      <c r="BY132" s="19"/>
      <c r="BZ132" s="19"/>
      <c r="CA132" s="19"/>
      <c r="CB132" s="19"/>
      <c r="CC132" s="19"/>
      <c r="CD132" s="19"/>
      <c r="CE132" s="19"/>
      <c r="CF132" s="19"/>
      <c r="CG132" s="19"/>
      <c r="CH132" s="19"/>
      <c r="CI132" s="19"/>
      <c r="CJ132" s="19"/>
      <c r="CK132" s="19"/>
      <c r="CL132" s="19"/>
      <c r="CM132" s="19"/>
      <c r="CN132" s="19"/>
      <c r="CO132" s="19"/>
      <c r="CP132" s="19"/>
      <c r="CQ132" s="19"/>
      <c r="CR132" s="19"/>
      <c r="CS132" s="19"/>
      <c r="CT132" s="19"/>
      <c r="CU132" s="19"/>
      <c r="CV132" s="19"/>
      <c r="CW132" s="19"/>
      <c r="CX132" s="19"/>
      <c r="CY132" s="19"/>
      <c r="CZ132" s="19"/>
      <c r="DA132" s="19"/>
      <c r="DB132" s="19"/>
      <c r="DC132" s="19"/>
      <c r="DD132" s="19"/>
      <c r="DE132" s="19"/>
      <c r="DF132" s="19"/>
      <c r="DG132" s="19"/>
      <c r="DH132" s="19"/>
      <c r="DI132" s="19"/>
      <c r="DJ132" s="19"/>
      <c r="DK132" s="19"/>
      <c r="DL132" s="19"/>
      <c r="DM132" s="19"/>
      <c r="DN132" s="19"/>
      <c r="DO132" s="19"/>
      <c r="DP132" s="19"/>
      <c r="DQ132" s="19"/>
      <c r="DR132" s="19"/>
      <c r="DS132" s="19"/>
      <c r="DT132" s="19"/>
      <c r="DU132" s="19"/>
      <c r="DV132" s="19"/>
      <c r="DW132" s="19"/>
      <c r="DX132" s="19"/>
      <c r="DY132" s="19"/>
      <c r="DZ132" s="19"/>
      <c r="EA132" s="19"/>
      <c r="EB132" s="19"/>
      <c r="EC132" s="19"/>
      <c r="ED132" s="19"/>
      <c r="EE132" s="19"/>
      <c r="EF132" s="19"/>
      <c r="EG132" s="19"/>
      <c r="EH132" s="19"/>
      <c r="EI132" s="19"/>
    </row>
    <row r="133" spans="1:139" x14ac:dyDescent="0.25">
      <c r="A133" s="23"/>
      <c r="B133" s="78" t="s">
        <v>107</v>
      </c>
      <c r="C133" s="81" t="s">
        <v>108</v>
      </c>
      <c r="D133" s="80" t="s">
        <v>28</v>
      </c>
      <c r="E133" s="26">
        <f t="shared" ref="E133:I134" si="73">+E62</f>
        <v>1.0469999999999999</v>
      </c>
      <c r="F133" s="24">
        <f t="shared" si="73"/>
        <v>0.82099999999999995</v>
      </c>
      <c r="G133" s="24">
        <f t="shared" si="73"/>
        <v>0.58699999999999997</v>
      </c>
      <c r="H133" s="24">
        <f t="shared" si="73"/>
        <v>0.45200000000000001</v>
      </c>
      <c r="I133" s="25">
        <f t="shared" si="73"/>
        <v>0.28000000000000003</v>
      </c>
      <c r="J133" s="136"/>
      <c r="K133" s="136"/>
      <c r="L133" s="136"/>
      <c r="M133" s="19"/>
      <c r="N133" s="19"/>
      <c r="O133" s="19"/>
      <c r="P133" s="19"/>
      <c r="Q133" s="33"/>
      <c r="R133" s="19"/>
      <c r="S133" s="19"/>
      <c r="T133" s="19"/>
      <c r="U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19"/>
      <c r="BH133" s="19"/>
      <c r="BI133" s="19"/>
      <c r="BJ133" s="19"/>
      <c r="BK133" s="19"/>
      <c r="BL133" s="19"/>
      <c r="BM133" s="19"/>
      <c r="BN133" s="19"/>
      <c r="BO133" s="19"/>
      <c r="BP133" s="19"/>
      <c r="BQ133" s="19"/>
      <c r="BR133" s="19"/>
      <c r="BS133" s="19"/>
      <c r="BT133" s="19"/>
      <c r="BU133" s="19"/>
      <c r="BV133" s="19"/>
      <c r="BW133" s="19"/>
      <c r="BX133" s="19"/>
      <c r="BY133" s="19"/>
      <c r="BZ133" s="19"/>
      <c r="CA133" s="19"/>
      <c r="CB133" s="19"/>
      <c r="CC133" s="19"/>
      <c r="CD133" s="19"/>
      <c r="CE133" s="19"/>
      <c r="CF133" s="19"/>
      <c r="CG133" s="19"/>
      <c r="CH133" s="19"/>
      <c r="CI133" s="19"/>
      <c r="CJ133" s="19"/>
      <c r="CK133" s="19"/>
      <c r="CL133" s="19"/>
      <c r="CM133" s="19"/>
      <c r="CN133" s="19"/>
      <c r="CO133" s="19"/>
      <c r="CP133" s="19"/>
      <c r="CQ133" s="19"/>
      <c r="CR133" s="19"/>
      <c r="CS133" s="19"/>
      <c r="CT133" s="19"/>
      <c r="CU133" s="19"/>
      <c r="CV133" s="19"/>
      <c r="CW133" s="19"/>
      <c r="CX133" s="19"/>
      <c r="CY133" s="19"/>
      <c r="CZ133" s="19"/>
      <c r="DA133" s="19"/>
      <c r="DB133" s="19"/>
      <c r="DC133" s="19"/>
      <c r="DD133" s="19"/>
      <c r="DE133" s="19"/>
      <c r="DF133" s="19"/>
      <c r="DG133" s="19"/>
      <c r="DH133" s="19"/>
      <c r="DI133" s="19"/>
      <c r="DJ133" s="19"/>
      <c r="DK133" s="19"/>
      <c r="DL133" s="19"/>
      <c r="DM133" s="19"/>
      <c r="DN133" s="19"/>
      <c r="DO133" s="19"/>
      <c r="DP133" s="19"/>
      <c r="DQ133" s="19"/>
      <c r="DR133" s="19"/>
      <c r="DS133" s="19"/>
      <c r="DT133" s="19"/>
      <c r="DU133" s="19"/>
      <c r="DV133" s="19"/>
      <c r="DW133" s="19"/>
      <c r="DX133" s="19"/>
      <c r="DY133" s="19"/>
      <c r="DZ133" s="19"/>
      <c r="EA133" s="19"/>
      <c r="EB133" s="19"/>
      <c r="EC133" s="19"/>
      <c r="ED133" s="19"/>
      <c r="EE133" s="19"/>
      <c r="EF133" s="19"/>
      <c r="EG133" s="19"/>
      <c r="EH133" s="19"/>
      <c r="EI133" s="19"/>
    </row>
    <row r="134" spans="1:139" x14ac:dyDescent="0.25">
      <c r="A134" s="23"/>
      <c r="B134" s="78" t="s">
        <v>109</v>
      </c>
      <c r="C134" s="81" t="s">
        <v>110</v>
      </c>
      <c r="D134" s="80" t="s">
        <v>60</v>
      </c>
      <c r="E134" s="26">
        <f t="shared" si="73"/>
        <v>5.4969999999999999</v>
      </c>
      <c r="F134" s="24">
        <f t="shared" si="73"/>
        <v>5.0209999999999999</v>
      </c>
      <c r="G134" s="24">
        <f t="shared" si="73"/>
        <v>3.956</v>
      </c>
      <c r="H134" s="24">
        <f t="shared" si="73"/>
        <v>3.2989999999999999</v>
      </c>
      <c r="I134" s="25">
        <f t="shared" si="73"/>
        <v>2.706</v>
      </c>
      <c r="J134" s="136"/>
      <c r="K134" s="136"/>
      <c r="L134" s="136"/>
      <c r="M134" s="19"/>
      <c r="N134" s="19"/>
      <c r="O134" s="19"/>
      <c r="P134" s="19"/>
      <c r="Q134" s="33"/>
      <c r="R134" s="19"/>
      <c r="S134" s="19"/>
      <c r="T134" s="19"/>
      <c r="U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19"/>
      <c r="BH134" s="19"/>
      <c r="BI134" s="19"/>
      <c r="BJ134" s="19"/>
      <c r="BK134" s="19"/>
      <c r="BL134" s="19"/>
      <c r="BM134" s="19"/>
      <c r="BN134" s="19"/>
      <c r="BO134" s="19"/>
      <c r="BP134" s="19"/>
      <c r="BQ134" s="19"/>
      <c r="BR134" s="19"/>
      <c r="BS134" s="19"/>
      <c r="BT134" s="19"/>
      <c r="BU134" s="19"/>
      <c r="BV134" s="19"/>
      <c r="BW134" s="19"/>
      <c r="BX134" s="19"/>
      <c r="BY134" s="19"/>
      <c r="BZ134" s="19"/>
      <c r="CA134" s="19"/>
      <c r="CB134" s="19"/>
      <c r="CC134" s="19"/>
      <c r="CD134" s="19"/>
      <c r="CE134" s="19"/>
      <c r="CF134" s="19"/>
      <c r="CG134" s="19"/>
      <c r="CH134" s="19"/>
      <c r="CI134" s="19"/>
      <c r="CJ134" s="19"/>
      <c r="CK134" s="19"/>
      <c r="CL134" s="19"/>
      <c r="CM134" s="19"/>
      <c r="CN134" s="19"/>
      <c r="CO134" s="19"/>
      <c r="CP134" s="19"/>
      <c r="CQ134" s="19"/>
      <c r="CR134" s="19"/>
      <c r="CS134" s="19"/>
      <c r="CT134" s="19"/>
      <c r="CU134" s="19"/>
      <c r="CV134" s="19"/>
      <c r="CW134" s="19"/>
      <c r="CX134" s="19"/>
      <c r="CY134" s="19"/>
      <c r="CZ134" s="19"/>
      <c r="DA134" s="19"/>
      <c r="DB134" s="19"/>
      <c r="DC134" s="19"/>
      <c r="DD134" s="19"/>
      <c r="DE134" s="19"/>
      <c r="DF134" s="19"/>
      <c r="DG134" s="19"/>
      <c r="DH134" s="19"/>
      <c r="DI134" s="19"/>
      <c r="DJ134" s="19"/>
      <c r="DK134" s="19"/>
      <c r="DL134" s="19"/>
      <c r="DM134" s="19"/>
      <c r="DN134" s="19"/>
      <c r="DO134" s="19"/>
      <c r="DP134" s="19"/>
      <c r="DQ134" s="19"/>
      <c r="DR134" s="19"/>
      <c r="DS134" s="19"/>
      <c r="DT134" s="19"/>
      <c r="DU134" s="19"/>
      <c r="DV134" s="19"/>
      <c r="DW134" s="19"/>
      <c r="DX134" s="19"/>
      <c r="DY134" s="19"/>
      <c r="DZ134" s="19"/>
      <c r="EA134" s="19"/>
      <c r="EB134" s="19"/>
      <c r="EC134" s="19"/>
      <c r="ED134" s="19"/>
      <c r="EE134" s="19"/>
      <c r="EF134" s="19"/>
      <c r="EG134" s="19"/>
      <c r="EH134" s="19"/>
      <c r="EI134" s="19"/>
    </row>
    <row r="135" spans="1:139" x14ac:dyDescent="0.25">
      <c r="A135" s="19"/>
      <c r="B135" s="78" t="s">
        <v>206</v>
      </c>
      <c r="C135" s="81" t="s">
        <v>207</v>
      </c>
      <c r="D135" s="80" t="s">
        <v>208</v>
      </c>
      <c r="E135" s="26">
        <f>($G$111/(3600*1000))/(E130*E133)</f>
        <v>1.5018342768501873</v>
      </c>
      <c r="F135" s="125">
        <f>($G$111/(3600*1000))/(F130*F133)</f>
        <v>1.679350636876225</v>
      </c>
      <c r="G135" s="24">
        <f>($G$111/(3600*1000))/(G130*G133)</f>
        <v>2.1662825484331867</v>
      </c>
      <c r="H135" s="24">
        <f>($G$111/(3600*1000))/(H130*H133)</f>
        <v>2.6936680980413792</v>
      </c>
      <c r="I135" s="25">
        <f>($G$111/(3600*1000))/(I130*I133)</f>
        <v>4.2302636889693694</v>
      </c>
      <c r="J135" s="136"/>
      <c r="K135" s="136"/>
      <c r="L135" s="136"/>
      <c r="M135" s="19"/>
      <c r="N135" s="19"/>
      <c r="O135" s="19"/>
      <c r="P135" s="19"/>
      <c r="Q135" s="33"/>
      <c r="R135" s="19"/>
      <c r="S135" s="19"/>
      <c r="T135" s="19"/>
      <c r="U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B135" s="19"/>
      <c r="BC135" s="19"/>
      <c r="BD135" s="19"/>
      <c r="BE135" s="19"/>
      <c r="BF135" s="19"/>
      <c r="BG135" s="19"/>
      <c r="BH135" s="19"/>
      <c r="BI135" s="19"/>
      <c r="BJ135" s="19"/>
      <c r="BK135" s="19"/>
      <c r="BL135" s="19"/>
      <c r="BM135" s="19"/>
      <c r="BN135" s="19"/>
      <c r="BO135" s="19"/>
      <c r="BP135" s="19"/>
      <c r="BQ135" s="19"/>
      <c r="BR135" s="19"/>
      <c r="BS135" s="19"/>
      <c r="BT135" s="19"/>
      <c r="BU135" s="19"/>
      <c r="BV135" s="19"/>
      <c r="BW135" s="19"/>
      <c r="BX135" s="19"/>
      <c r="BY135" s="19"/>
      <c r="BZ135" s="19"/>
      <c r="CA135" s="19"/>
      <c r="CB135" s="19"/>
      <c r="CC135" s="19"/>
      <c r="CD135" s="19"/>
      <c r="CE135" s="19"/>
      <c r="CF135" s="19"/>
      <c r="CG135" s="19"/>
      <c r="CH135" s="19"/>
      <c r="CI135" s="19"/>
      <c r="CJ135" s="19"/>
      <c r="CK135" s="19"/>
      <c r="CL135" s="19"/>
      <c r="CM135" s="19"/>
      <c r="CN135" s="19"/>
      <c r="CO135" s="19"/>
      <c r="CP135" s="19"/>
      <c r="CQ135" s="19"/>
      <c r="CR135" s="19"/>
      <c r="CS135" s="19"/>
      <c r="CT135" s="19"/>
      <c r="CU135" s="19"/>
      <c r="CV135" s="19"/>
      <c r="CW135" s="19"/>
      <c r="CX135" s="19"/>
      <c r="CY135" s="19"/>
      <c r="CZ135" s="19"/>
      <c r="DA135" s="19"/>
      <c r="DB135" s="19"/>
      <c r="DC135" s="19"/>
      <c r="DD135" s="19"/>
      <c r="DE135" s="19"/>
      <c r="DF135" s="19"/>
      <c r="DG135" s="19"/>
      <c r="DH135" s="19"/>
      <c r="DI135" s="19"/>
      <c r="DJ135" s="19"/>
      <c r="DK135" s="19"/>
      <c r="DL135" s="19"/>
      <c r="DM135" s="19"/>
      <c r="DN135" s="19"/>
      <c r="DO135" s="19"/>
      <c r="DP135" s="19"/>
      <c r="DQ135" s="19"/>
      <c r="DR135" s="19"/>
      <c r="DS135" s="19"/>
      <c r="DT135" s="19"/>
      <c r="DU135" s="19"/>
      <c r="DV135" s="19"/>
      <c r="DW135" s="19"/>
      <c r="DX135" s="19"/>
      <c r="DY135" s="19"/>
      <c r="DZ135" s="19"/>
      <c r="EA135" s="19"/>
      <c r="EB135" s="19"/>
      <c r="EC135" s="19"/>
      <c r="ED135" s="19"/>
      <c r="EE135" s="19"/>
      <c r="EF135" s="19"/>
      <c r="EG135" s="19"/>
      <c r="EH135" s="19"/>
      <c r="EI135" s="19"/>
    </row>
    <row r="136" spans="1:139" x14ac:dyDescent="0.25">
      <c r="A136" s="19"/>
      <c r="B136" s="78" t="s">
        <v>209</v>
      </c>
      <c r="C136" s="81" t="s">
        <v>210</v>
      </c>
      <c r="D136" s="80" t="s">
        <v>13</v>
      </c>
      <c r="E136" s="26">
        <f>+E89</f>
        <v>168.76800059312285</v>
      </c>
      <c r="F136" s="125">
        <f>+F89</f>
        <v>140.57891310940019</v>
      </c>
      <c r="G136" s="24">
        <f>+G89</f>
        <v>154.51386283727024</v>
      </c>
      <c r="H136" s="24">
        <f>+H89</f>
        <v>220.94549913566362</v>
      </c>
      <c r="I136" s="25">
        <f>+I89</f>
        <v>378.42841666255453</v>
      </c>
      <c r="J136" s="136"/>
      <c r="K136" s="136"/>
      <c r="L136" s="136"/>
      <c r="M136" s="19"/>
      <c r="N136" s="19"/>
      <c r="O136" s="19"/>
      <c r="P136" s="19"/>
      <c r="Q136" s="33"/>
      <c r="R136" s="19"/>
      <c r="S136" s="19"/>
      <c r="T136" s="19"/>
      <c r="U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19"/>
      <c r="BH136" s="19"/>
      <c r="BI136" s="19"/>
      <c r="BJ136" s="19"/>
      <c r="BK136" s="19"/>
      <c r="BL136" s="19"/>
      <c r="BM136" s="19"/>
      <c r="BN136" s="19"/>
      <c r="BO136" s="19"/>
      <c r="BP136" s="19"/>
      <c r="BQ136" s="19"/>
      <c r="BR136" s="19"/>
      <c r="BS136" s="19"/>
      <c r="BT136" s="19"/>
      <c r="BU136" s="19"/>
      <c r="BV136" s="19"/>
      <c r="BW136" s="19"/>
      <c r="BX136" s="19"/>
      <c r="BY136" s="19"/>
      <c r="BZ136" s="19"/>
      <c r="CA136" s="19"/>
      <c r="CB136" s="19"/>
      <c r="CC136" s="19"/>
      <c r="CD136" s="19"/>
      <c r="CE136" s="19"/>
      <c r="CF136" s="19"/>
      <c r="CG136" s="19"/>
      <c r="CH136" s="19"/>
      <c r="CI136" s="19"/>
      <c r="CJ136" s="19"/>
      <c r="CK136" s="19"/>
      <c r="CL136" s="19"/>
      <c r="CM136" s="19"/>
      <c r="CN136" s="19"/>
      <c r="CO136" s="19"/>
      <c r="CP136" s="19"/>
      <c r="CQ136" s="19"/>
      <c r="CR136" s="19"/>
      <c r="CS136" s="19"/>
      <c r="CT136" s="19"/>
      <c r="CU136" s="19"/>
      <c r="CV136" s="19"/>
      <c r="CW136" s="19"/>
      <c r="CX136" s="19"/>
      <c r="CY136" s="19"/>
      <c r="CZ136" s="19"/>
      <c r="DA136" s="19"/>
      <c r="DB136" s="19"/>
      <c r="DC136" s="19"/>
      <c r="DD136" s="19"/>
      <c r="DE136" s="19"/>
      <c r="DF136" s="19"/>
      <c r="DG136" s="19"/>
      <c r="DH136" s="19"/>
      <c r="DI136" s="19"/>
      <c r="DJ136" s="19"/>
      <c r="DK136" s="19"/>
      <c r="DL136" s="19"/>
      <c r="DM136" s="19"/>
      <c r="DN136" s="19"/>
      <c r="DO136" s="19"/>
      <c r="DP136" s="19"/>
      <c r="DQ136" s="19"/>
      <c r="DR136" s="19"/>
      <c r="DS136" s="19"/>
      <c r="DT136" s="19"/>
      <c r="DU136" s="19"/>
      <c r="DV136" s="19"/>
      <c r="DW136" s="19"/>
      <c r="DX136" s="19"/>
      <c r="DY136" s="19"/>
      <c r="DZ136" s="19"/>
      <c r="EA136" s="19"/>
      <c r="EB136" s="19"/>
      <c r="EC136" s="19"/>
      <c r="ED136" s="19"/>
      <c r="EE136" s="19"/>
      <c r="EF136" s="19"/>
      <c r="EG136" s="19"/>
      <c r="EH136" s="19"/>
      <c r="EI136" s="19"/>
    </row>
    <row r="137" spans="1:139" x14ac:dyDescent="0.25">
      <c r="A137" s="19"/>
      <c r="B137" s="78" t="s">
        <v>211</v>
      </c>
      <c r="C137" s="81" t="s">
        <v>202</v>
      </c>
      <c r="D137" s="80" t="s">
        <v>212</v>
      </c>
      <c r="E137" s="82">
        <f>0.0000175+0.0000000335*E136</f>
        <v>2.3153728019869616E-5</v>
      </c>
      <c r="F137" s="126">
        <f t="shared" ref="F137:H137" si="74">0.0000175+0.0000000335*F136</f>
        <v>2.2209393589164905E-5</v>
      </c>
      <c r="G137" s="83">
        <f t="shared" si="74"/>
        <v>2.267621440504855E-5</v>
      </c>
      <c r="H137" s="83">
        <f t="shared" si="74"/>
        <v>2.4901674221044731E-5</v>
      </c>
      <c r="I137" s="84">
        <f t="shared" ref="I137" si="75">0.0000175+0.0000000335*I136</f>
        <v>3.0177351958195575E-5</v>
      </c>
      <c r="J137" s="136"/>
      <c r="K137" s="136"/>
      <c r="L137" s="136"/>
      <c r="M137" s="19"/>
      <c r="N137" s="19"/>
      <c r="O137" s="19"/>
      <c r="P137" s="19"/>
      <c r="Q137" s="33"/>
      <c r="R137" s="19"/>
      <c r="S137" s="19"/>
      <c r="T137" s="19"/>
      <c r="U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B137" s="19"/>
      <c r="BC137" s="19"/>
      <c r="BD137" s="19"/>
      <c r="BE137" s="19"/>
      <c r="BF137" s="19"/>
      <c r="BG137" s="19"/>
      <c r="BH137" s="19"/>
      <c r="BI137" s="19"/>
      <c r="BJ137" s="19"/>
      <c r="BK137" s="19"/>
      <c r="BL137" s="19"/>
      <c r="BM137" s="19"/>
      <c r="BN137" s="19"/>
      <c r="BO137" s="19"/>
      <c r="BP137" s="19"/>
      <c r="BQ137" s="19"/>
      <c r="BR137" s="19"/>
      <c r="BS137" s="19"/>
      <c r="BT137" s="19"/>
      <c r="BU137" s="19"/>
      <c r="BV137" s="19"/>
      <c r="BW137" s="19"/>
      <c r="BX137" s="19"/>
      <c r="BY137" s="19"/>
      <c r="BZ137" s="19"/>
      <c r="CA137" s="19"/>
      <c r="CB137" s="19"/>
      <c r="CC137" s="19"/>
      <c r="CD137" s="19"/>
      <c r="CE137" s="19"/>
      <c r="CF137" s="19"/>
      <c r="CG137" s="19"/>
      <c r="CH137" s="19"/>
      <c r="CI137" s="19"/>
      <c r="CJ137" s="19"/>
      <c r="CK137" s="19"/>
      <c r="CL137" s="19"/>
      <c r="CM137" s="19"/>
      <c r="CN137" s="19"/>
      <c r="CO137" s="19"/>
      <c r="CP137" s="19"/>
      <c r="CQ137" s="19"/>
      <c r="CR137" s="19"/>
      <c r="CS137" s="19"/>
      <c r="CT137" s="19"/>
      <c r="CU137" s="19"/>
      <c r="CV137" s="19"/>
      <c r="CW137" s="19"/>
      <c r="CX137" s="19"/>
      <c r="CY137" s="19"/>
      <c r="CZ137" s="19"/>
      <c r="DA137" s="19"/>
      <c r="DB137" s="19"/>
      <c r="DC137" s="19"/>
      <c r="DD137" s="19"/>
      <c r="DE137" s="19"/>
      <c r="DF137" s="19"/>
      <c r="DG137" s="19"/>
      <c r="DH137" s="19"/>
      <c r="DI137" s="19"/>
      <c r="DJ137" s="19"/>
      <c r="DK137" s="19"/>
      <c r="DL137" s="19"/>
      <c r="DM137" s="19"/>
      <c r="DN137" s="19"/>
      <c r="DO137" s="19"/>
      <c r="DP137" s="19"/>
      <c r="DQ137" s="19"/>
      <c r="DR137" s="19"/>
      <c r="DS137" s="19"/>
      <c r="DT137" s="19"/>
      <c r="DU137" s="19"/>
      <c r="DV137" s="19"/>
      <c r="DW137" s="19"/>
      <c r="DX137" s="19"/>
      <c r="DY137" s="19"/>
      <c r="DZ137" s="19"/>
      <c r="EA137" s="19"/>
      <c r="EB137" s="19"/>
      <c r="EC137" s="19"/>
      <c r="ED137" s="19"/>
      <c r="EE137" s="19"/>
      <c r="EF137" s="19"/>
      <c r="EG137" s="19"/>
      <c r="EH137" s="19"/>
      <c r="EI137" s="19"/>
    </row>
    <row r="138" spans="1:139" x14ac:dyDescent="0.25">
      <c r="A138" s="19"/>
      <c r="B138" s="78" t="s">
        <v>213</v>
      </c>
      <c r="C138" s="81" t="s">
        <v>214</v>
      </c>
      <c r="D138" s="80" t="s">
        <v>215</v>
      </c>
      <c r="E138" s="82">
        <f>E131/E130</f>
        <v>2.3143382386234924E-4</v>
      </c>
      <c r="F138" s="126">
        <f t="shared" ref="F138:H138" si="76">F131/F130</f>
        <v>1.8184948552263483E-4</v>
      </c>
      <c r="G138" s="83">
        <f t="shared" si="76"/>
        <v>1.569638513479388E-4</v>
      </c>
      <c r="H138" s="83">
        <f t="shared" si="76"/>
        <v>1.4509288741634509E-4</v>
      </c>
      <c r="I138" s="84">
        <f t="shared" ref="I138" si="77">I131/I130</f>
        <v>1.3806112539488852E-4</v>
      </c>
      <c r="J138" s="136"/>
      <c r="K138" s="136"/>
      <c r="L138" s="136"/>
      <c r="M138" s="19"/>
      <c r="N138" s="19"/>
      <c r="O138" s="19"/>
      <c r="P138" s="19"/>
      <c r="Q138" s="33"/>
      <c r="R138" s="19"/>
      <c r="S138" s="19"/>
      <c r="T138" s="19"/>
      <c r="U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19"/>
      <c r="BH138" s="19"/>
      <c r="BI138" s="19"/>
      <c r="BJ138" s="19"/>
      <c r="BK138" s="19"/>
      <c r="BL138" s="19"/>
      <c r="BM138" s="19"/>
      <c r="BN138" s="19"/>
      <c r="BO138" s="19"/>
      <c r="BP138" s="19"/>
      <c r="BQ138" s="19"/>
      <c r="BR138" s="19"/>
      <c r="BS138" s="19"/>
      <c r="BT138" s="19"/>
      <c r="BU138" s="19"/>
      <c r="BV138" s="19"/>
      <c r="BW138" s="19"/>
      <c r="BX138" s="19"/>
      <c r="BY138" s="19"/>
      <c r="BZ138" s="19"/>
      <c r="CA138" s="19"/>
      <c r="CB138" s="19"/>
      <c r="CC138" s="19"/>
      <c r="CD138" s="19"/>
      <c r="CE138" s="19"/>
      <c r="CF138" s="19"/>
      <c r="CG138" s="19"/>
      <c r="CH138" s="19"/>
      <c r="CI138" s="19"/>
      <c r="CJ138" s="19"/>
      <c r="CK138" s="19"/>
      <c r="CL138" s="19"/>
      <c r="CM138" s="19"/>
      <c r="CN138" s="19"/>
      <c r="CO138" s="19"/>
      <c r="CP138" s="19"/>
      <c r="CQ138" s="19"/>
      <c r="CR138" s="19"/>
      <c r="CS138" s="19"/>
      <c r="CT138" s="19"/>
      <c r="CU138" s="19"/>
      <c r="CV138" s="19"/>
      <c r="CW138" s="19"/>
      <c r="CX138" s="19"/>
      <c r="CY138" s="19"/>
      <c r="CZ138" s="19"/>
      <c r="DA138" s="19"/>
      <c r="DB138" s="19"/>
      <c r="DC138" s="19"/>
      <c r="DD138" s="19"/>
      <c r="DE138" s="19"/>
      <c r="DF138" s="19"/>
      <c r="DG138" s="19"/>
      <c r="DH138" s="19"/>
      <c r="DI138" s="19"/>
      <c r="DJ138" s="19"/>
      <c r="DK138" s="19"/>
      <c r="DL138" s="19"/>
      <c r="DM138" s="19"/>
      <c r="DN138" s="19"/>
      <c r="DO138" s="19"/>
      <c r="DP138" s="19"/>
      <c r="DQ138" s="19"/>
      <c r="DR138" s="19"/>
      <c r="DS138" s="19"/>
      <c r="DT138" s="19"/>
      <c r="DU138" s="19"/>
      <c r="DV138" s="19"/>
      <c r="DW138" s="19"/>
      <c r="DX138" s="19"/>
      <c r="DY138" s="19"/>
      <c r="DZ138" s="19"/>
      <c r="EA138" s="19"/>
      <c r="EB138" s="19"/>
      <c r="EC138" s="19"/>
      <c r="ED138" s="19"/>
      <c r="EE138" s="19"/>
      <c r="EF138" s="19"/>
      <c r="EG138" s="19"/>
      <c r="EH138" s="19"/>
      <c r="EI138" s="19"/>
    </row>
    <row r="139" spans="1:139" x14ac:dyDescent="0.25">
      <c r="A139" s="19"/>
      <c r="B139" s="78" t="s">
        <v>216</v>
      </c>
      <c r="C139" s="81" t="s">
        <v>217</v>
      </c>
      <c r="D139" s="85" t="s">
        <v>120</v>
      </c>
      <c r="E139" s="26">
        <f>E131*E129/E132</f>
        <v>0.76406856583810057</v>
      </c>
      <c r="F139" s="125">
        <f t="shared" ref="F139:H139" si="78">F131*F129/F132</f>
        <v>0.7568394657786307</v>
      </c>
      <c r="G139" s="24">
        <f>G131*G129/G132</f>
        <v>0.75273538036316512</v>
      </c>
      <c r="H139" s="24">
        <f t="shared" si="78"/>
        <v>0.75068082153755333</v>
      </c>
      <c r="I139" s="25">
        <f t="shared" ref="I139" si="79">I131*I129/I132</f>
        <v>0.74944144478918517</v>
      </c>
      <c r="J139" s="136"/>
      <c r="K139" s="136"/>
      <c r="L139" s="136"/>
      <c r="M139" s="19"/>
      <c r="N139" s="19"/>
      <c r="O139" s="19"/>
      <c r="P139" s="19"/>
      <c r="Q139" s="33"/>
      <c r="R139" s="19"/>
      <c r="S139" s="19"/>
      <c r="T139" s="19"/>
      <c r="U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  <c r="BB139" s="19"/>
      <c r="BC139" s="19"/>
      <c r="BD139" s="19"/>
      <c r="BE139" s="19"/>
      <c r="BF139" s="19"/>
      <c r="BG139" s="19"/>
      <c r="BH139" s="19"/>
      <c r="BI139" s="19"/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</row>
    <row r="140" spans="1:139" x14ac:dyDescent="0.25">
      <c r="A140" s="19"/>
      <c r="B140" s="78" t="s">
        <v>111</v>
      </c>
      <c r="C140" s="81" t="s">
        <v>112</v>
      </c>
      <c r="D140" s="80" t="s">
        <v>60</v>
      </c>
      <c r="E140" s="26">
        <f>4*E133/E134</f>
        <v>0.76187011096961976</v>
      </c>
      <c r="F140" s="125">
        <f>4*F133/F134</f>
        <v>0.65405297749452296</v>
      </c>
      <c r="G140" s="24">
        <f>4*G133/G134</f>
        <v>0.59352881698685533</v>
      </c>
      <c r="H140" s="24">
        <f t="shared" ref="H140:I140" si="80">4*H133/H134</f>
        <v>0.54804486207941805</v>
      </c>
      <c r="I140" s="25">
        <f t="shared" si="80"/>
        <v>0.41389504804138955</v>
      </c>
      <c r="J140" s="136"/>
      <c r="K140" s="136"/>
      <c r="L140" s="136"/>
      <c r="M140" s="19"/>
      <c r="N140" s="19"/>
      <c r="O140" s="19"/>
      <c r="P140" s="19"/>
      <c r="Q140" s="33"/>
      <c r="R140" s="19"/>
      <c r="S140" s="19"/>
      <c r="T140" s="19"/>
      <c r="U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19"/>
      <c r="BH140" s="19"/>
      <c r="BI140" s="19"/>
      <c r="BJ140" s="19"/>
      <c r="BK140" s="19"/>
      <c r="BL140" s="19"/>
      <c r="BM140" s="19"/>
      <c r="BN140" s="19"/>
      <c r="BO140" s="19"/>
      <c r="BP140" s="19"/>
      <c r="BQ140" s="19"/>
      <c r="BR140" s="19"/>
      <c r="BS140" s="19"/>
      <c r="BT140" s="19"/>
      <c r="BU140" s="19"/>
      <c r="BV140" s="19"/>
      <c r="BW140" s="19"/>
      <c r="BX140" s="19"/>
      <c r="BY140" s="19"/>
      <c r="BZ140" s="19"/>
      <c r="CA140" s="19"/>
      <c r="CB140" s="19"/>
      <c r="CC140" s="19"/>
      <c r="CD140" s="19"/>
      <c r="CE140" s="19"/>
      <c r="CF140" s="19"/>
      <c r="CG140" s="19"/>
      <c r="CH140" s="19"/>
      <c r="CI140" s="19"/>
      <c r="CJ140" s="19"/>
      <c r="CK140" s="19"/>
      <c r="CL140" s="19"/>
      <c r="CM140" s="19"/>
      <c r="CN140" s="19"/>
      <c r="CO140" s="19"/>
      <c r="CP140" s="19"/>
      <c r="CQ140" s="19"/>
      <c r="CR140" s="19"/>
      <c r="CS140" s="19"/>
      <c r="CT140" s="19"/>
      <c r="CU140" s="19"/>
      <c r="CV140" s="19"/>
      <c r="CW140" s="19"/>
      <c r="CX140" s="19"/>
      <c r="CY140" s="19"/>
      <c r="CZ140" s="19"/>
      <c r="DA140" s="19"/>
      <c r="DB140" s="19"/>
      <c r="DC140" s="19"/>
      <c r="DD140" s="19"/>
      <c r="DE140" s="19"/>
      <c r="DF140" s="19"/>
      <c r="DG140" s="19"/>
      <c r="DH140" s="19"/>
      <c r="DI140" s="19"/>
      <c r="DJ140" s="19"/>
      <c r="DK140" s="19"/>
      <c r="DL140" s="19"/>
      <c r="DM140" s="19"/>
      <c r="DN140" s="19"/>
      <c r="DO140" s="19"/>
      <c r="DP140" s="19"/>
      <c r="DQ140" s="19"/>
      <c r="DR140" s="19"/>
      <c r="DS140" s="19"/>
      <c r="DT140" s="19"/>
      <c r="DU140" s="19"/>
      <c r="DV140" s="19"/>
      <c r="DW140" s="19"/>
      <c r="DX140" s="19"/>
      <c r="DY140" s="19"/>
      <c r="DZ140" s="19"/>
      <c r="EA140" s="19"/>
      <c r="EB140" s="19"/>
      <c r="EC140" s="19"/>
      <c r="ED140" s="19"/>
      <c r="EE140" s="19"/>
      <c r="EF140" s="19"/>
      <c r="EG140" s="19"/>
      <c r="EH140" s="19"/>
      <c r="EI140" s="19"/>
    </row>
    <row r="141" spans="1:139" x14ac:dyDescent="0.25">
      <c r="A141" s="19"/>
      <c r="B141" s="78" t="s">
        <v>218</v>
      </c>
      <c r="C141" s="81" t="s">
        <v>219</v>
      </c>
      <c r="D141" s="80" t="s">
        <v>120</v>
      </c>
      <c r="E141" s="82">
        <f>(E130*E135*E140)/E131</f>
        <v>4943.9733054852531</v>
      </c>
      <c r="F141" s="126">
        <f t="shared" ref="F141:H141" si="81">(F130*F135*F140)/F131</f>
        <v>6040.0736419433106</v>
      </c>
      <c r="G141" s="83">
        <f t="shared" si="81"/>
        <v>8191.3836032267027</v>
      </c>
      <c r="H141" s="83">
        <f t="shared" si="81"/>
        <v>10174.523283437755</v>
      </c>
      <c r="I141" s="84">
        <f t="shared" ref="I141" si="82">(I130*I135*I140)/I131</f>
        <v>12681.956544724404</v>
      </c>
      <c r="J141" s="136"/>
      <c r="K141" s="136"/>
      <c r="L141" s="136"/>
      <c r="M141" s="19"/>
      <c r="N141" s="19"/>
      <c r="O141" s="19"/>
      <c r="P141" s="19"/>
      <c r="Q141" s="33"/>
      <c r="R141" s="19"/>
      <c r="S141" s="19"/>
      <c r="T141" s="19"/>
      <c r="U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  <c r="BB141" s="19"/>
      <c r="BC141" s="19"/>
      <c r="BD141" s="19"/>
      <c r="BE141" s="19"/>
      <c r="BF141" s="19"/>
      <c r="BG141" s="19"/>
      <c r="BH141" s="19"/>
      <c r="BI141" s="19"/>
      <c r="BJ141" s="19"/>
      <c r="BK141" s="19"/>
      <c r="BL141" s="19"/>
      <c r="BM141" s="19"/>
      <c r="BN141" s="19"/>
      <c r="BO141" s="19"/>
      <c r="BP141" s="19"/>
      <c r="BQ141" s="19"/>
      <c r="BR141" s="19"/>
      <c r="BS141" s="19"/>
      <c r="BT141" s="19"/>
      <c r="BU141" s="19"/>
      <c r="BV141" s="19"/>
      <c r="BW141" s="19"/>
      <c r="BX141" s="19"/>
      <c r="BY141" s="19"/>
      <c r="BZ141" s="19"/>
      <c r="CA141" s="19"/>
      <c r="CB141" s="19"/>
      <c r="CC141" s="19"/>
      <c r="CD141" s="19"/>
      <c r="CE141" s="19"/>
      <c r="CF141" s="19"/>
      <c r="CG141" s="19"/>
      <c r="CH141" s="19"/>
      <c r="CI141" s="19"/>
      <c r="CJ141" s="19"/>
      <c r="CK141" s="19"/>
      <c r="CL141" s="19"/>
      <c r="CM141" s="19"/>
      <c r="CN141" s="19"/>
      <c r="CO141" s="19"/>
      <c r="CP141" s="19"/>
      <c r="CQ141" s="19"/>
      <c r="CR141" s="19"/>
      <c r="CS141" s="19"/>
      <c r="CT141" s="19"/>
      <c r="CU141" s="19"/>
      <c r="CV141" s="19"/>
      <c r="CW141" s="19"/>
      <c r="CX141" s="19"/>
      <c r="CY141" s="19"/>
      <c r="CZ141" s="19"/>
      <c r="DA141" s="19"/>
      <c r="DB141" s="19"/>
      <c r="DC141" s="19"/>
      <c r="DD141" s="19"/>
      <c r="DE141" s="19"/>
      <c r="DF141" s="19"/>
      <c r="DG141" s="19"/>
      <c r="DH141" s="19"/>
      <c r="DI141" s="19"/>
      <c r="DJ141" s="19"/>
      <c r="DK141" s="19"/>
      <c r="DL141" s="19"/>
      <c r="DM141" s="19"/>
      <c r="DN141" s="19"/>
      <c r="DO141" s="19"/>
      <c r="DP141" s="19"/>
      <c r="DQ141" s="19"/>
      <c r="DR141" s="19"/>
      <c r="DS141" s="19"/>
      <c r="DT141" s="19"/>
      <c r="DU141" s="19"/>
      <c r="DV141" s="19"/>
      <c r="DW141" s="19"/>
      <c r="DX141" s="19"/>
      <c r="DY141" s="19"/>
      <c r="DZ141" s="19"/>
      <c r="EA141" s="19"/>
      <c r="EB141" s="19"/>
      <c r="EC141" s="19"/>
      <c r="ED141" s="19"/>
      <c r="EE141" s="19"/>
      <c r="EF141" s="19"/>
      <c r="EG141" s="19"/>
      <c r="EH141" s="19"/>
      <c r="EI141" s="19"/>
    </row>
    <row r="142" spans="1:139" x14ac:dyDescent="0.25">
      <c r="A142" s="19"/>
      <c r="B142" s="78" t="s">
        <v>263</v>
      </c>
      <c r="C142" s="81" t="s">
        <v>221</v>
      </c>
      <c r="D142" s="80" t="s">
        <v>120</v>
      </c>
      <c r="E142" s="26">
        <f>0.664*E141^(1/2)*E139^(1/3)</f>
        <v>42.682539305371613</v>
      </c>
      <c r="F142" s="125">
        <f t="shared" ref="F142:H142" si="83">0.664*F141^(1/2)*F139^(1/3)</f>
        <v>47.028066073347496</v>
      </c>
      <c r="G142" s="24">
        <f>0.664*G141^(1/2)*G139^(1/3)</f>
        <v>54.667282793022572</v>
      </c>
      <c r="H142" s="24">
        <f t="shared" si="83"/>
        <v>60.870969828959844</v>
      </c>
      <c r="I142" s="25">
        <f t="shared" ref="I142" si="84">0.664*I141^(1/2)*I139^(1/3)</f>
        <v>67.921475507106649</v>
      </c>
      <c r="J142" s="136"/>
      <c r="K142" s="136"/>
      <c r="L142" s="136"/>
      <c r="M142" s="19"/>
      <c r="N142" s="19"/>
      <c r="O142" s="19"/>
      <c r="P142" s="19"/>
      <c r="Q142" s="33"/>
      <c r="R142" s="19"/>
      <c r="S142" s="19"/>
      <c r="T142" s="19"/>
      <c r="U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19"/>
      <c r="BH142" s="19"/>
      <c r="BI142" s="19"/>
      <c r="BJ142" s="19"/>
      <c r="BK142" s="19"/>
      <c r="BL142" s="19"/>
      <c r="BM142" s="19"/>
      <c r="BN142" s="19"/>
      <c r="BO142" s="19"/>
      <c r="BP142" s="19"/>
      <c r="BQ142" s="19"/>
      <c r="BR142" s="19"/>
      <c r="BS142" s="19"/>
      <c r="BT142" s="19"/>
      <c r="BU142" s="19"/>
      <c r="BV142" s="19"/>
      <c r="BW142" s="19"/>
      <c r="BX142" s="19"/>
      <c r="BY142" s="19"/>
      <c r="BZ142" s="19"/>
      <c r="CA142" s="19"/>
      <c r="CB142" s="19"/>
      <c r="CC142" s="19"/>
      <c r="CD142" s="19"/>
      <c r="CE142" s="19"/>
      <c r="CF142" s="19"/>
      <c r="CG142" s="19"/>
      <c r="CH142" s="19"/>
      <c r="CI142" s="19"/>
      <c r="CJ142" s="19"/>
      <c r="CK142" s="19"/>
      <c r="CL142" s="19"/>
      <c r="CM142" s="19"/>
      <c r="CN142" s="19"/>
      <c r="CO142" s="19"/>
      <c r="CP142" s="19"/>
      <c r="CQ142" s="19"/>
      <c r="CR142" s="19"/>
      <c r="CS142" s="19"/>
      <c r="CT142" s="19"/>
      <c r="CU142" s="19"/>
      <c r="CV142" s="19"/>
      <c r="CW142" s="19"/>
      <c r="CX142" s="19"/>
      <c r="CY142" s="19"/>
      <c r="CZ142" s="19"/>
      <c r="DA142" s="19"/>
      <c r="DB142" s="19"/>
      <c r="DC142" s="19"/>
      <c r="DD142" s="19"/>
      <c r="DE142" s="19"/>
      <c r="DF142" s="19"/>
      <c r="DG142" s="19"/>
      <c r="DH142" s="19"/>
      <c r="DI142" s="19"/>
      <c r="DJ142" s="19"/>
      <c r="DK142" s="19"/>
      <c r="DL142" s="19"/>
      <c r="DM142" s="19"/>
      <c r="DN142" s="19"/>
      <c r="DO142" s="19"/>
      <c r="DP142" s="19"/>
      <c r="DQ142" s="19"/>
      <c r="DR142" s="19"/>
      <c r="DS142" s="19"/>
      <c r="DT142" s="19"/>
      <c r="DU142" s="19"/>
      <c r="DV142" s="19"/>
      <c r="DW142" s="19"/>
      <c r="DX142" s="19"/>
      <c r="DY142" s="19"/>
      <c r="DZ142" s="19"/>
      <c r="EA142" s="19"/>
      <c r="EB142" s="19"/>
      <c r="EC142" s="19"/>
      <c r="ED142" s="19"/>
      <c r="EE142" s="19"/>
      <c r="EF142" s="19"/>
      <c r="EG142" s="19"/>
      <c r="EH142" s="19"/>
      <c r="EI142" s="19"/>
    </row>
    <row r="143" spans="1:139" x14ac:dyDescent="0.25">
      <c r="A143" s="19"/>
      <c r="B143" s="78" t="s">
        <v>264</v>
      </c>
      <c r="C143" s="81" t="s">
        <v>221</v>
      </c>
      <c r="D143" s="80" t="s">
        <v>120</v>
      </c>
      <c r="E143" s="26">
        <f>(0.037*E141^(0.8)*E139)/(1+2.443*E141^(-0.1)*(E139^0.67-1))</f>
        <v>30.807025150871095</v>
      </c>
      <c r="F143" s="125">
        <f t="shared" ref="F143:H143" si="85">(0.037*F141^(0.8)*F139)/(1+2.443*F141^(-0.1)*(F139^0.67-1))</f>
        <v>35.904562757114718</v>
      </c>
      <c r="G143" s="24">
        <f t="shared" si="85"/>
        <v>45.443064049717179</v>
      </c>
      <c r="H143" s="24">
        <f t="shared" si="85"/>
        <v>53.758078829209829</v>
      </c>
      <c r="I143" s="25">
        <f t="shared" ref="I143" si="86">(0.037*I141^(0.8)*I139)/(1+2.443*I141^(-0.1)*(I139^0.67-1))</f>
        <v>63.794862159349933</v>
      </c>
      <c r="J143" s="136"/>
      <c r="K143" s="136"/>
      <c r="L143" s="136"/>
      <c r="M143" s="19"/>
      <c r="N143" s="19"/>
      <c r="O143" s="19"/>
      <c r="P143" s="19"/>
      <c r="Q143" s="33"/>
      <c r="R143" s="19"/>
      <c r="S143" s="19"/>
      <c r="T143" s="19"/>
      <c r="U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19"/>
      <c r="BH143" s="19"/>
      <c r="BI143" s="19"/>
      <c r="BJ143" s="19"/>
      <c r="BK143" s="19"/>
      <c r="BL143" s="19"/>
      <c r="BM143" s="19"/>
      <c r="BN143" s="19"/>
      <c r="BO143" s="19"/>
      <c r="BP143" s="19"/>
      <c r="BQ143" s="19"/>
      <c r="BR143" s="19"/>
      <c r="BS143" s="19"/>
      <c r="BT143" s="19"/>
      <c r="BU143" s="19"/>
      <c r="BV143" s="19"/>
      <c r="BW143" s="19"/>
      <c r="BX143" s="19"/>
      <c r="BY143" s="19"/>
      <c r="BZ143" s="19"/>
      <c r="CA143" s="19"/>
      <c r="CB143" s="19"/>
      <c r="CC143" s="19"/>
      <c r="CD143" s="19"/>
      <c r="CE143" s="19"/>
      <c r="CF143" s="19"/>
      <c r="CG143" s="19"/>
      <c r="CH143" s="19"/>
      <c r="CI143" s="19"/>
      <c r="CJ143" s="19"/>
      <c r="CK143" s="19"/>
      <c r="CL143" s="19"/>
      <c r="CM143" s="19"/>
      <c r="CN143" s="19"/>
      <c r="CO143" s="19"/>
      <c r="CP143" s="19"/>
      <c r="CQ143" s="19"/>
      <c r="CR143" s="19"/>
      <c r="CS143" s="19"/>
      <c r="CT143" s="19"/>
      <c r="CU143" s="19"/>
      <c r="CV143" s="19"/>
      <c r="CW143" s="19"/>
      <c r="CX143" s="19"/>
      <c r="CY143" s="19"/>
      <c r="CZ143" s="19"/>
      <c r="DA143" s="19"/>
      <c r="DB143" s="19"/>
      <c r="DC143" s="19"/>
      <c r="DD143" s="19"/>
      <c r="DE143" s="19"/>
      <c r="DF143" s="19"/>
      <c r="DG143" s="19"/>
      <c r="DH143" s="19"/>
      <c r="DI143" s="19"/>
      <c r="DJ143" s="19"/>
      <c r="DK143" s="19"/>
      <c r="DL143" s="19"/>
      <c r="DM143" s="19"/>
      <c r="DN143" s="19"/>
      <c r="DO143" s="19"/>
      <c r="DP143" s="19"/>
      <c r="DQ143" s="19"/>
      <c r="DR143" s="19"/>
      <c r="DS143" s="19"/>
      <c r="DT143" s="19"/>
      <c r="DU143" s="19"/>
      <c r="DV143" s="19"/>
      <c r="DW143" s="19"/>
      <c r="DX143" s="19"/>
      <c r="DY143" s="19"/>
      <c r="DZ143" s="19"/>
      <c r="EA143" s="19"/>
      <c r="EB143" s="19"/>
      <c r="EC143" s="19"/>
      <c r="ED143" s="19"/>
      <c r="EE143" s="19"/>
      <c r="EF143" s="19"/>
      <c r="EG143" s="19"/>
      <c r="EH143" s="19"/>
      <c r="EI143" s="19"/>
    </row>
    <row r="144" spans="1:139" x14ac:dyDescent="0.25">
      <c r="A144" s="19"/>
      <c r="B144" s="78" t="s">
        <v>265</v>
      </c>
      <c r="C144" s="81" t="s">
        <v>221</v>
      </c>
      <c r="D144" s="80" t="s">
        <v>120</v>
      </c>
      <c r="E144" s="26">
        <f t="shared" ref="E144:H144" si="87">SQRT(E142^2+E143^2)</f>
        <v>52.639072562128192</v>
      </c>
      <c r="F144" s="125">
        <f t="shared" si="87"/>
        <v>59.167361149359422</v>
      </c>
      <c r="G144" s="24">
        <f t="shared" si="87"/>
        <v>71.088563624531062</v>
      </c>
      <c r="H144" s="24">
        <f t="shared" si="87"/>
        <v>81.210873701282623</v>
      </c>
      <c r="I144" s="25">
        <f t="shared" ref="I144" si="88">SQRT(I142^2+I143^2)</f>
        <v>93.183213472132124</v>
      </c>
      <c r="J144" s="136"/>
      <c r="K144" s="136"/>
      <c r="L144" s="136"/>
      <c r="M144" s="19"/>
      <c r="N144" s="19"/>
      <c r="O144" s="19"/>
      <c r="P144" s="19"/>
      <c r="Q144" s="33"/>
      <c r="R144" s="19"/>
      <c r="S144" s="19"/>
      <c r="T144" s="19"/>
      <c r="U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19"/>
      <c r="BH144" s="19"/>
      <c r="BI144" s="19"/>
      <c r="BJ144" s="19"/>
      <c r="BK144" s="19"/>
      <c r="BL144" s="19"/>
      <c r="BM144" s="19"/>
      <c r="BN144" s="19"/>
      <c r="BO144" s="19"/>
      <c r="BP144" s="19"/>
      <c r="BQ144" s="19"/>
      <c r="BR144" s="19"/>
      <c r="BS144" s="19"/>
      <c r="BT144" s="19"/>
      <c r="BU144" s="19"/>
      <c r="BV144" s="19"/>
      <c r="BW144" s="19"/>
      <c r="BX144" s="19"/>
      <c r="BY144" s="19"/>
      <c r="BZ144" s="19"/>
      <c r="CA144" s="19"/>
      <c r="CB144" s="19"/>
      <c r="CC144" s="19"/>
      <c r="CD144" s="19"/>
      <c r="CE144" s="19"/>
      <c r="CF144" s="19"/>
      <c r="CG144" s="19"/>
      <c r="CH144" s="19"/>
      <c r="CI144" s="19"/>
      <c r="CJ144" s="19"/>
      <c r="CK144" s="19"/>
      <c r="CL144" s="19"/>
      <c r="CM144" s="19"/>
      <c r="CN144" s="19"/>
      <c r="CO144" s="19"/>
      <c r="CP144" s="19"/>
      <c r="CQ144" s="19"/>
      <c r="CR144" s="19"/>
      <c r="CS144" s="19"/>
      <c r="CT144" s="19"/>
      <c r="CU144" s="19"/>
      <c r="CV144" s="19"/>
      <c r="CW144" s="19"/>
      <c r="CX144" s="19"/>
      <c r="CY144" s="19"/>
      <c r="CZ144" s="19"/>
      <c r="DA144" s="19"/>
      <c r="DB144" s="19"/>
      <c r="DC144" s="19"/>
      <c r="DD144" s="19"/>
      <c r="DE144" s="19"/>
      <c r="DF144" s="19"/>
      <c r="DG144" s="19"/>
      <c r="DH144" s="19"/>
      <c r="DI144" s="19"/>
      <c r="DJ144" s="19"/>
      <c r="DK144" s="19"/>
      <c r="DL144" s="19"/>
      <c r="DM144" s="19"/>
      <c r="DN144" s="19"/>
      <c r="DO144" s="19"/>
      <c r="DP144" s="19"/>
      <c r="DQ144" s="19"/>
      <c r="DR144" s="19"/>
      <c r="DS144" s="19"/>
      <c r="DT144" s="19"/>
      <c r="DU144" s="19"/>
      <c r="DV144" s="19"/>
      <c r="DW144" s="19"/>
      <c r="DX144" s="19"/>
      <c r="DY144" s="19"/>
      <c r="DZ144" s="19"/>
      <c r="EA144" s="19"/>
      <c r="EB144" s="19"/>
      <c r="EC144" s="19"/>
      <c r="ED144" s="19"/>
      <c r="EE144" s="19"/>
      <c r="EF144" s="19"/>
      <c r="EG144" s="19"/>
      <c r="EH144" s="19"/>
      <c r="EI144" s="19"/>
    </row>
    <row r="145" spans="1:139" x14ac:dyDescent="0.25">
      <c r="A145" s="19"/>
      <c r="B145" s="78" t="s">
        <v>262</v>
      </c>
      <c r="C145" s="81" t="s">
        <v>221</v>
      </c>
      <c r="D145" s="80" t="s">
        <v>120</v>
      </c>
      <c r="E145" s="26">
        <f>2+ (0.4*E141^0.5+0.06*E141^(2/3))*E139^(0.4)*(E131/E137)^(1/4)</f>
        <v>52.367213704656926</v>
      </c>
      <c r="F145" s="125">
        <f t="shared" ref="F145:H145" si="89">2+ (0.4*F141^0.5+0.06*F141^(2/3))*F139^(0.4)*(F131/F137)^(1/4)</f>
        <v>57.232227722130851</v>
      </c>
      <c r="G145" s="24">
        <f t="shared" si="89"/>
        <v>66.075552690980373</v>
      </c>
      <c r="H145" s="24">
        <f t="shared" si="89"/>
        <v>72.096201362119771</v>
      </c>
      <c r="I145" s="25">
        <f t="shared" ref="I145" si="90">2+ (0.4*I141^0.5+0.06*I141^(2/3))*I139^(0.4)*(I131/I137)^(1/4)</f>
        <v>77.266731776779793</v>
      </c>
      <c r="J145" s="136"/>
      <c r="K145" s="136"/>
      <c r="L145" s="136"/>
      <c r="M145" s="19"/>
      <c r="N145" s="19"/>
      <c r="O145" s="19"/>
      <c r="P145" s="19"/>
      <c r="Q145" s="33"/>
      <c r="R145" s="19"/>
      <c r="S145" s="19"/>
      <c r="T145" s="19"/>
      <c r="U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  <c r="BF145" s="19"/>
      <c r="BG145" s="19"/>
      <c r="BH145" s="19"/>
      <c r="BI145" s="19"/>
      <c r="BJ145" s="19"/>
      <c r="BK145" s="19"/>
      <c r="BL145" s="19"/>
      <c r="BM145" s="19"/>
      <c r="BN145" s="19"/>
      <c r="BO145" s="19"/>
      <c r="BP145" s="19"/>
      <c r="BQ145" s="19"/>
      <c r="BR145" s="19"/>
      <c r="BS145" s="19"/>
      <c r="BT145" s="19"/>
      <c r="BU145" s="19"/>
      <c r="BV145" s="19"/>
      <c r="BW145" s="19"/>
      <c r="BX145" s="19"/>
      <c r="BY145" s="19"/>
      <c r="BZ145" s="19"/>
      <c r="CA145" s="19"/>
      <c r="CB145" s="19"/>
      <c r="CC145" s="19"/>
      <c r="CD145" s="19"/>
      <c r="CE145" s="19"/>
      <c r="CF145" s="19"/>
      <c r="CG145" s="19"/>
      <c r="CH145" s="19"/>
      <c r="CI145" s="19"/>
      <c r="CJ145" s="19"/>
      <c r="CK145" s="19"/>
      <c r="CL145" s="19"/>
      <c r="CM145" s="19"/>
      <c r="CN145" s="19"/>
      <c r="CO145" s="19"/>
      <c r="CP145" s="19"/>
      <c r="CQ145" s="19"/>
      <c r="CR145" s="19"/>
      <c r="CS145" s="19"/>
      <c r="CT145" s="19"/>
      <c r="CU145" s="19"/>
      <c r="CV145" s="19"/>
      <c r="CW145" s="19"/>
      <c r="CX145" s="19"/>
      <c r="CY145" s="19"/>
      <c r="CZ145" s="19"/>
      <c r="DA145" s="19"/>
      <c r="DB145" s="19"/>
      <c r="DC145" s="19"/>
      <c r="DD145" s="19"/>
      <c r="DE145" s="19"/>
      <c r="DF145" s="19"/>
      <c r="DG145" s="19"/>
      <c r="DH145" s="19"/>
      <c r="DI145" s="19"/>
      <c r="DJ145" s="19"/>
      <c r="DK145" s="19"/>
      <c r="DL145" s="19"/>
      <c r="DM145" s="19"/>
      <c r="DN145" s="19"/>
      <c r="DO145" s="19"/>
      <c r="DP145" s="19"/>
      <c r="DQ145" s="19"/>
      <c r="DR145" s="19"/>
      <c r="DS145" s="19"/>
      <c r="DT145" s="19"/>
      <c r="DU145" s="19"/>
      <c r="DV145" s="19"/>
      <c r="DW145" s="19"/>
      <c r="DX145" s="19"/>
      <c r="DY145" s="19"/>
      <c r="DZ145" s="19"/>
      <c r="EA145" s="19"/>
      <c r="EB145" s="19"/>
      <c r="EC145" s="19"/>
      <c r="ED145" s="19"/>
      <c r="EE145" s="19"/>
      <c r="EF145" s="19"/>
      <c r="EG145" s="19"/>
      <c r="EH145" s="19"/>
      <c r="EI145" s="19"/>
    </row>
    <row r="146" spans="1:139" ht="15.75" thickBot="1" x14ac:dyDescent="0.3">
      <c r="A146" s="19"/>
      <c r="B146" s="86" t="s">
        <v>266</v>
      </c>
      <c r="C146" s="87" t="s">
        <v>221</v>
      </c>
      <c r="D146" s="88" t="s">
        <v>120</v>
      </c>
      <c r="E146" s="416">
        <f>2.36*(0.027*E141^0.8*E139^(1/3)*(E131/E137)^(1/4))-13.6</f>
        <v>51.129207847421945</v>
      </c>
      <c r="F146" s="417">
        <f t="shared" ref="F146:H146" si="91">2.36*(0.027*F141^0.8*F139^(1/3)*(F131/F137)^(1/4))-13.6</f>
        <v>60.857835039432025</v>
      </c>
      <c r="G146" s="418">
        <f t="shared" si="91"/>
        <v>79.194352435301653</v>
      </c>
      <c r="H146" s="418">
        <f t="shared" si="91"/>
        <v>93.174147476102078</v>
      </c>
      <c r="I146" s="419">
        <f t="shared" ref="I146" si="92">2.36*(0.027*I141^0.8*I139^(1/3)*(I131/I137)^(1/4))-13.6</f>
        <v>107.04160275422588</v>
      </c>
      <c r="J146" s="136"/>
      <c r="K146" s="136"/>
      <c r="L146" s="136"/>
      <c r="M146" s="19"/>
      <c r="N146" s="19"/>
      <c r="O146" s="19"/>
      <c r="P146" s="19"/>
      <c r="Q146" s="33"/>
      <c r="R146" s="19"/>
      <c r="S146" s="19"/>
      <c r="T146" s="19"/>
      <c r="U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19"/>
      <c r="BH146" s="19"/>
      <c r="BI146" s="19"/>
      <c r="BJ146" s="19"/>
      <c r="BK146" s="19"/>
      <c r="BL146" s="19"/>
      <c r="BM146" s="19"/>
      <c r="BN146" s="19"/>
      <c r="BO146" s="19"/>
      <c r="BP146" s="19"/>
      <c r="BQ146" s="19"/>
      <c r="BR146" s="19"/>
      <c r="BS146" s="19"/>
      <c r="BT146" s="19"/>
      <c r="BU146" s="19"/>
      <c r="BV146" s="19"/>
      <c r="BW146" s="19"/>
      <c r="BX146" s="19"/>
      <c r="BY146" s="19"/>
      <c r="BZ146" s="19"/>
      <c r="CA146" s="19"/>
      <c r="CB146" s="19"/>
      <c r="CC146" s="19"/>
      <c r="CD146" s="19"/>
      <c r="CE146" s="19"/>
      <c r="CF146" s="19"/>
      <c r="CG146" s="19"/>
      <c r="CH146" s="19"/>
      <c r="CI146" s="19"/>
      <c r="CJ146" s="19"/>
      <c r="CK146" s="19"/>
      <c r="CL146" s="19"/>
      <c r="CM146" s="19"/>
      <c r="CN146" s="19"/>
      <c r="CO146" s="19"/>
      <c r="CP146" s="19"/>
      <c r="CQ146" s="19"/>
      <c r="CR146" s="19"/>
      <c r="CS146" s="19"/>
      <c r="CT146" s="19"/>
      <c r="CU146" s="19"/>
      <c r="CV146" s="19"/>
      <c r="CW146" s="19"/>
      <c r="CX146" s="19"/>
      <c r="CY146" s="19"/>
      <c r="CZ146" s="19"/>
      <c r="DA146" s="19"/>
      <c r="DB146" s="19"/>
      <c r="DC146" s="19"/>
      <c r="DD146" s="19"/>
      <c r="DE146" s="19"/>
      <c r="DF146" s="19"/>
      <c r="DG146" s="19"/>
      <c r="DH146" s="19"/>
      <c r="DI146" s="19"/>
      <c r="DJ146" s="19"/>
      <c r="DK146" s="19"/>
      <c r="DL146" s="19"/>
      <c r="DM146" s="19"/>
      <c r="DN146" s="19"/>
      <c r="DO146" s="19"/>
      <c r="DP146" s="19"/>
      <c r="DQ146" s="19"/>
      <c r="DR146" s="19"/>
      <c r="DS146" s="19"/>
      <c r="DT146" s="19"/>
      <c r="DU146" s="19"/>
      <c r="DV146" s="19"/>
      <c r="DW146" s="19"/>
      <c r="DX146" s="19"/>
      <c r="DY146" s="19"/>
      <c r="DZ146" s="19"/>
      <c r="EA146" s="19"/>
      <c r="EB146" s="19"/>
      <c r="EC146" s="19"/>
      <c r="ED146" s="19"/>
      <c r="EE146" s="19"/>
      <c r="EF146" s="19"/>
      <c r="EG146" s="19"/>
      <c r="EH146" s="19"/>
      <c r="EI146" s="19"/>
    </row>
    <row r="147" spans="1:139" x14ac:dyDescent="0.25">
      <c r="A147" s="19"/>
      <c r="B147" s="98" t="s">
        <v>220</v>
      </c>
      <c r="C147" s="109" t="s">
        <v>221</v>
      </c>
      <c r="D147" s="110" t="s">
        <v>120</v>
      </c>
      <c r="E147" s="115">
        <f>+E145</f>
        <v>52.367213704656926</v>
      </c>
      <c r="F147" s="124">
        <f>+F145</f>
        <v>57.232227722130851</v>
      </c>
      <c r="G147" s="116">
        <f>+G143</f>
        <v>45.443064049717179</v>
      </c>
      <c r="H147" s="116">
        <f>+H143</f>
        <v>53.758078829209829</v>
      </c>
      <c r="I147" s="117">
        <f>+I143</f>
        <v>63.794862159349933</v>
      </c>
      <c r="J147" s="136"/>
      <c r="K147" s="136"/>
      <c r="L147" s="136"/>
      <c r="M147" s="19"/>
      <c r="N147" s="19"/>
      <c r="O147" s="19"/>
      <c r="P147" s="19"/>
      <c r="Q147" s="33"/>
      <c r="R147" s="19"/>
      <c r="S147" s="19"/>
      <c r="T147" s="19"/>
      <c r="U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  <c r="BF147" s="19"/>
      <c r="BG147" s="19"/>
      <c r="BH147" s="19"/>
      <c r="BI147" s="19"/>
      <c r="BJ147" s="19"/>
      <c r="BK147" s="19"/>
      <c r="BL147" s="19"/>
      <c r="BM147" s="19"/>
      <c r="BN147" s="19"/>
      <c r="BO147" s="19"/>
      <c r="BP147" s="19"/>
      <c r="BQ147" s="19"/>
      <c r="BR147" s="19"/>
      <c r="BS147" s="19"/>
      <c r="BT147" s="19"/>
      <c r="BU147" s="19"/>
      <c r="BV147" s="19"/>
      <c r="BW147" s="19"/>
      <c r="BX147" s="19"/>
      <c r="BY147" s="19"/>
      <c r="BZ147" s="19"/>
      <c r="CA147" s="19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  <c r="CU147" s="19"/>
      <c r="CV147" s="19"/>
      <c r="CW147" s="19"/>
      <c r="CX147" s="19"/>
      <c r="CY147" s="19"/>
      <c r="CZ147" s="19"/>
      <c r="DA147" s="19"/>
      <c r="DB147" s="19"/>
      <c r="DC147" s="19"/>
      <c r="DD147" s="19"/>
      <c r="DE147" s="19"/>
      <c r="DF147" s="19"/>
      <c r="DG147" s="19"/>
      <c r="DH147" s="19"/>
      <c r="DI147" s="19"/>
      <c r="DJ147" s="19"/>
      <c r="DK147" s="19"/>
      <c r="DL147" s="19"/>
      <c r="DM147" s="19"/>
      <c r="DN147" s="19"/>
      <c r="DO147" s="19"/>
      <c r="DP147" s="19"/>
      <c r="DQ147" s="19"/>
      <c r="DR147" s="19"/>
      <c r="DS147" s="19"/>
      <c r="DT147" s="19"/>
      <c r="DU147" s="19"/>
      <c r="DV147" s="19"/>
      <c r="DW147" s="19"/>
      <c r="DX147" s="19"/>
      <c r="DY147" s="19"/>
      <c r="DZ147" s="19"/>
      <c r="EA147" s="19"/>
      <c r="EB147" s="19"/>
      <c r="EC147" s="19"/>
      <c r="ED147" s="19"/>
      <c r="EE147" s="19"/>
      <c r="EF147" s="19"/>
      <c r="EG147" s="19"/>
      <c r="EH147" s="19"/>
      <c r="EI147" s="19"/>
    </row>
    <row r="148" spans="1:139" x14ac:dyDescent="0.25">
      <c r="A148" s="19"/>
      <c r="B148" s="78" t="s">
        <v>111</v>
      </c>
      <c r="C148" s="81" t="s">
        <v>112</v>
      </c>
      <c r="D148" s="80" t="s">
        <v>60</v>
      </c>
      <c r="E148" s="207">
        <f>+E140</f>
        <v>0.76187011096961976</v>
      </c>
      <c r="F148" s="147">
        <f t="shared" ref="F148:H148" si="93">+F140</f>
        <v>0.65405297749452296</v>
      </c>
      <c r="G148" s="147">
        <f t="shared" si="93"/>
        <v>0.59352881698685533</v>
      </c>
      <c r="H148" s="147">
        <f t="shared" si="93"/>
        <v>0.54804486207941805</v>
      </c>
      <c r="I148" s="148">
        <f t="shared" ref="I148" si="94">+I140</f>
        <v>0.41389504804138955</v>
      </c>
      <c r="J148" s="136"/>
      <c r="K148" s="136"/>
      <c r="L148" s="136"/>
      <c r="M148" s="19"/>
      <c r="N148" s="19"/>
      <c r="O148" s="19"/>
      <c r="P148" s="19"/>
      <c r="Q148" s="33"/>
      <c r="R148" s="19"/>
      <c r="S148" s="19"/>
      <c r="T148" s="19"/>
      <c r="U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19"/>
      <c r="BH148" s="19"/>
      <c r="BI148" s="19"/>
      <c r="BJ148" s="19"/>
      <c r="BK148" s="19"/>
      <c r="BL148" s="19"/>
      <c r="BM148" s="19"/>
      <c r="BN148" s="19"/>
      <c r="BO148" s="19"/>
      <c r="BP148" s="19"/>
      <c r="BQ148" s="19"/>
      <c r="BR148" s="19"/>
      <c r="BS148" s="19"/>
      <c r="BT148" s="19"/>
      <c r="BU148" s="19"/>
      <c r="BV148" s="19"/>
      <c r="BW148" s="19"/>
      <c r="BX148" s="19"/>
      <c r="BY148" s="19"/>
      <c r="BZ148" s="19"/>
      <c r="CA148" s="19"/>
      <c r="CB148" s="19"/>
      <c r="CC148" s="19"/>
      <c r="CD148" s="19"/>
      <c r="CE148" s="19"/>
      <c r="CF148" s="19"/>
      <c r="CG148" s="19"/>
      <c r="CH148" s="19"/>
      <c r="CI148" s="19"/>
      <c r="CJ148" s="19"/>
      <c r="CK148" s="19"/>
      <c r="CL148" s="19"/>
      <c r="CM148" s="19"/>
      <c r="CN148" s="19"/>
      <c r="CO148" s="19"/>
      <c r="CP148" s="19"/>
      <c r="CQ148" s="19"/>
      <c r="CR148" s="19"/>
      <c r="CS148" s="19"/>
      <c r="CT148" s="19"/>
      <c r="CU148" s="19"/>
      <c r="CV148" s="19"/>
      <c r="CW148" s="19"/>
      <c r="CX148" s="19"/>
      <c r="CY148" s="19"/>
      <c r="CZ148" s="19"/>
      <c r="DA148" s="19"/>
      <c r="DB148" s="19"/>
      <c r="DC148" s="19"/>
      <c r="DD148" s="19"/>
      <c r="DE148" s="19"/>
      <c r="DF148" s="19"/>
      <c r="DG148" s="19"/>
      <c r="DH148" s="19"/>
      <c r="DI148" s="19"/>
      <c r="DJ148" s="19"/>
      <c r="DK148" s="19"/>
      <c r="DL148" s="19"/>
      <c r="DM148" s="19"/>
      <c r="DN148" s="19"/>
      <c r="DO148" s="19"/>
      <c r="DP148" s="19"/>
      <c r="DQ148" s="19"/>
      <c r="DR148" s="19"/>
      <c r="DS148" s="19"/>
      <c r="DT148" s="19"/>
      <c r="DU148" s="19"/>
      <c r="DV148" s="19"/>
      <c r="DW148" s="19"/>
      <c r="DX148" s="19"/>
      <c r="DY148" s="19"/>
      <c r="DZ148" s="19"/>
      <c r="EA148" s="19"/>
      <c r="EB148" s="19"/>
      <c r="EC148" s="19"/>
      <c r="ED148" s="19"/>
      <c r="EE148" s="19"/>
      <c r="EF148" s="19"/>
      <c r="EG148" s="19"/>
      <c r="EH148" s="19"/>
      <c r="EI148" s="19"/>
    </row>
    <row r="149" spans="1:139" x14ac:dyDescent="0.25">
      <c r="A149" s="19"/>
      <c r="B149" s="89" t="s">
        <v>222</v>
      </c>
      <c r="C149" s="79" t="s">
        <v>223</v>
      </c>
      <c r="D149" s="80" t="s">
        <v>28</v>
      </c>
      <c r="E149" s="498">
        <f>+E68</f>
        <v>1.2629999999999999</v>
      </c>
      <c r="F149" s="67">
        <f t="shared" ref="F149:H149" si="95">+F68</f>
        <v>1.2629999999999999</v>
      </c>
      <c r="G149" s="67">
        <f t="shared" si="95"/>
        <v>0.78500000000000003</v>
      </c>
      <c r="H149" s="67">
        <f t="shared" si="95"/>
        <v>0.55100000000000005</v>
      </c>
      <c r="I149" s="499">
        <f t="shared" ref="I149" si="96">+I68</f>
        <v>0.55100000000000005</v>
      </c>
      <c r="J149" s="136"/>
      <c r="K149" s="136"/>
      <c r="L149" s="136"/>
      <c r="M149" s="19"/>
      <c r="N149" s="19"/>
      <c r="O149" s="19"/>
      <c r="P149" s="19"/>
      <c r="Q149" s="33"/>
      <c r="R149" s="19"/>
      <c r="S149" s="19"/>
      <c r="T149" s="19"/>
      <c r="U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19"/>
      <c r="BI149" s="19"/>
      <c r="BJ149" s="19"/>
      <c r="BK149" s="19"/>
      <c r="BL149" s="19"/>
      <c r="BM149" s="19"/>
      <c r="BN149" s="19"/>
      <c r="BO149" s="19"/>
      <c r="BP149" s="19"/>
      <c r="BQ149" s="19"/>
      <c r="BR149" s="19"/>
      <c r="BS149" s="19"/>
      <c r="BT149" s="19"/>
      <c r="BU149" s="19"/>
      <c r="BV149" s="19"/>
      <c r="BW149" s="19"/>
      <c r="BX149" s="19"/>
      <c r="BY149" s="19"/>
      <c r="BZ149" s="19"/>
      <c r="CA149" s="19"/>
      <c r="CB149" s="19"/>
      <c r="CC149" s="19"/>
      <c r="CD149" s="19"/>
      <c r="CE149" s="19"/>
      <c r="CF149" s="19"/>
      <c r="CG149" s="19"/>
      <c r="CH149" s="19"/>
      <c r="CI149" s="19"/>
      <c r="CJ149" s="19"/>
      <c r="CK149" s="19"/>
      <c r="CL149" s="19"/>
      <c r="CM149" s="19"/>
      <c r="CN149" s="19"/>
      <c r="CO149" s="19"/>
      <c r="CP149" s="19"/>
      <c r="CQ149" s="19"/>
      <c r="CR149" s="19"/>
      <c r="CS149" s="19"/>
      <c r="CT149" s="19"/>
      <c r="CU149" s="19"/>
      <c r="CV149" s="19"/>
      <c r="CW149" s="19"/>
      <c r="CX149" s="19"/>
      <c r="CY149" s="19"/>
      <c r="CZ149" s="19"/>
      <c r="DA149" s="19"/>
      <c r="DB149" s="19"/>
      <c r="DC149" s="19"/>
      <c r="DD149" s="19"/>
      <c r="DE149" s="19"/>
      <c r="DF149" s="19"/>
      <c r="DG149" s="19"/>
      <c r="DH149" s="19"/>
      <c r="DI149" s="19"/>
      <c r="DJ149" s="19"/>
      <c r="DK149" s="19"/>
      <c r="DL149" s="19"/>
      <c r="DM149" s="19"/>
      <c r="DN149" s="19"/>
      <c r="DO149" s="19"/>
      <c r="DP149" s="19"/>
      <c r="DQ149" s="19"/>
      <c r="DR149" s="19"/>
      <c r="DS149" s="19"/>
      <c r="DT149" s="19"/>
      <c r="DU149" s="19"/>
      <c r="DV149" s="19"/>
      <c r="DW149" s="19"/>
      <c r="DX149" s="19"/>
      <c r="DY149" s="19"/>
      <c r="DZ149" s="19"/>
      <c r="EA149" s="19"/>
      <c r="EB149" s="19"/>
      <c r="EC149" s="19"/>
      <c r="ED149" s="19"/>
      <c r="EE149" s="19"/>
      <c r="EF149" s="19"/>
      <c r="EG149" s="19"/>
      <c r="EH149" s="19"/>
      <c r="EI149" s="19"/>
    </row>
    <row r="150" spans="1:139" x14ac:dyDescent="0.25">
      <c r="A150" s="19"/>
      <c r="B150" s="78" t="s">
        <v>224</v>
      </c>
      <c r="C150" s="79" t="s">
        <v>59</v>
      </c>
      <c r="D150" s="80" t="s">
        <v>225</v>
      </c>
      <c r="E150" s="90">
        <f>E147*E132/E148</f>
        <v>6.3260622487529778E-3</v>
      </c>
      <c r="F150" s="127">
        <f>F147*F132/F148</f>
        <v>7.1178625709281008E-3</v>
      </c>
      <c r="G150" s="91">
        <f>G147*G132/G148</f>
        <v>5.7751249608867161E-3</v>
      </c>
      <c r="H150" s="91">
        <f>H147*H132/H148</f>
        <v>7.1060301638218989E-3</v>
      </c>
      <c r="I150" s="92">
        <f>I147*I132/I148</f>
        <v>1.0884581032383659E-2</v>
      </c>
      <c r="J150" s="136"/>
      <c r="K150" s="136"/>
      <c r="L150" s="136"/>
      <c r="M150" s="19"/>
      <c r="N150" s="19"/>
      <c r="O150" s="19"/>
      <c r="P150" s="19"/>
      <c r="Q150" s="33"/>
      <c r="R150" s="19"/>
      <c r="S150" s="19"/>
      <c r="T150" s="19"/>
      <c r="U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19"/>
      <c r="BH150" s="19"/>
      <c r="BI150" s="19"/>
      <c r="BJ150" s="19"/>
      <c r="BK150" s="19"/>
      <c r="BL150" s="19"/>
      <c r="BM150" s="19"/>
      <c r="BN150" s="19"/>
      <c r="BO150" s="19"/>
      <c r="BP150" s="19"/>
      <c r="BQ150" s="19"/>
      <c r="BR150" s="19"/>
      <c r="BS150" s="19"/>
      <c r="BT150" s="19"/>
      <c r="BU150" s="19"/>
      <c r="BV150" s="19"/>
      <c r="BW150" s="19"/>
      <c r="BX150" s="19"/>
      <c r="BY150" s="19"/>
      <c r="BZ150" s="19"/>
      <c r="CA150" s="19"/>
      <c r="CB150" s="19"/>
      <c r="CC150" s="19"/>
      <c r="CD150" s="19"/>
      <c r="CE150" s="19"/>
      <c r="CF150" s="19"/>
      <c r="CG150" s="19"/>
      <c r="CH150" s="19"/>
      <c r="CI150" s="19"/>
      <c r="CJ150" s="19"/>
      <c r="CK150" s="19"/>
      <c r="CL150" s="19"/>
      <c r="CM150" s="19"/>
      <c r="CN150" s="19"/>
      <c r="CO150" s="19"/>
      <c r="CP150" s="19"/>
      <c r="CQ150" s="19"/>
      <c r="CR150" s="19"/>
      <c r="CS150" s="19"/>
      <c r="CT150" s="19"/>
      <c r="CU150" s="19"/>
      <c r="CV150" s="19"/>
      <c r="CW150" s="19"/>
      <c r="CX150" s="19"/>
      <c r="CY150" s="19"/>
      <c r="CZ150" s="19"/>
      <c r="DA150" s="19"/>
      <c r="DB150" s="19"/>
      <c r="DC150" s="19"/>
      <c r="DD150" s="19"/>
      <c r="DE150" s="19"/>
      <c r="DF150" s="19"/>
      <c r="DG150" s="19"/>
      <c r="DH150" s="19"/>
      <c r="DI150" s="19"/>
      <c r="DJ150" s="19"/>
      <c r="DK150" s="19"/>
      <c r="DL150" s="19"/>
      <c r="DM150" s="19"/>
      <c r="DN150" s="19"/>
      <c r="DO150" s="19"/>
      <c r="DP150" s="19"/>
      <c r="DQ150" s="19"/>
      <c r="DR150" s="19"/>
      <c r="DS150" s="19"/>
      <c r="DT150" s="19"/>
      <c r="DU150" s="19"/>
      <c r="DV150" s="19"/>
      <c r="DW150" s="19"/>
      <c r="DX150" s="19"/>
      <c r="DY150" s="19"/>
      <c r="DZ150" s="19"/>
      <c r="EA150" s="19"/>
      <c r="EB150" s="19"/>
      <c r="EC150" s="19"/>
      <c r="ED150" s="19"/>
      <c r="EE150" s="19"/>
      <c r="EF150" s="19"/>
      <c r="EG150" s="19"/>
      <c r="EH150" s="19"/>
      <c r="EI150" s="19"/>
    </row>
    <row r="151" spans="1:139" x14ac:dyDescent="0.25">
      <c r="A151" s="19"/>
      <c r="B151" s="78" t="s">
        <v>346</v>
      </c>
      <c r="C151" s="79" t="s">
        <v>59</v>
      </c>
      <c r="D151" s="80" t="s">
        <v>225</v>
      </c>
      <c r="E151" s="111">
        <f>+E150</f>
        <v>6.3260622487529778E-3</v>
      </c>
      <c r="F151" s="128">
        <f>+F150</f>
        <v>7.1178625709281008E-3</v>
      </c>
      <c r="G151" s="108">
        <f>+G150</f>
        <v>5.7751249608867161E-3</v>
      </c>
      <c r="H151" s="108">
        <f>+H150</f>
        <v>7.1060301638218989E-3</v>
      </c>
      <c r="I151" s="615">
        <f>+I150</f>
        <v>1.0884581032383659E-2</v>
      </c>
      <c r="J151" s="136"/>
      <c r="K151" s="136"/>
      <c r="L151" s="136"/>
      <c r="M151" s="19"/>
      <c r="N151" s="19"/>
      <c r="O151" s="19"/>
      <c r="P151" s="19"/>
      <c r="Q151" s="33"/>
      <c r="R151" s="19"/>
      <c r="S151" s="19"/>
      <c r="T151" s="19"/>
      <c r="U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19"/>
      <c r="BG151" s="19"/>
      <c r="BH151" s="19"/>
      <c r="BI151" s="19"/>
      <c r="BJ151" s="19"/>
      <c r="BK151" s="19"/>
      <c r="BL151" s="19"/>
      <c r="BM151" s="19"/>
      <c r="BN151" s="19"/>
      <c r="BO151" s="19"/>
      <c r="BP151" s="19"/>
      <c r="BQ151" s="19"/>
      <c r="BR151" s="19"/>
      <c r="BS151" s="19"/>
      <c r="BT151" s="19"/>
      <c r="BU151" s="19"/>
      <c r="BV151" s="19"/>
      <c r="BW151" s="19"/>
      <c r="BX151" s="19"/>
      <c r="BY151" s="19"/>
      <c r="BZ151" s="19"/>
      <c r="CA151" s="19"/>
      <c r="CB151" s="19"/>
      <c r="CC151" s="19"/>
      <c r="CD151" s="19"/>
      <c r="CE151" s="19"/>
      <c r="CF151" s="19"/>
      <c r="CG151" s="19"/>
      <c r="CH151" s="19"/>
      <c r="CI151" s="19"/>
      <c r="CJ151" s="19"/>
      <c r="CK151" s="19"/>
      <c r="CL151" s="19"/>
      <c r="CM151" s="19"/>
      <c r="CN151" s="19"/>
      <c r="CO151" s="19"/>
      <c r="CP151" s="19"/>
      <c r="CQ151" s="19"/>
      <c r="CR151" s="19"/>
      <c r="CS151" s="19"/>
      <c r="CT151" s="19"/>
      <c r="CU151" s="19"/>
      <c r="CV151" s="19"/>
      <c r="CW151" s="19"/>
      <c r="CX151" s="19"/>
      <c r="CY151" s="19"/>
      <c r="CZ151" s="19"/>
      <c r="DA151" s="19"/>
      <c r="DB151" s="19"/>
      <c r="DC151" s="19"/>
      <c r="DD151" s="19"/>
      <c r="DE151" s="19"/>
      <c r="DF151" s="19"/>
      <c r="DG151" s="19"/>
      <c r="DH151" s="19"/>
      <c r="DI151" s="19"/>
      <c r="DJ151" s="19"/>
      <c r="DK151" s="19"/>
      <c r="DL151" s="19"/>
      <c r="DM151" s="19"/>
      <c r="DN151" s="19"/>
      <c r="DO151" s="19"/>
      <c r="DP151" s="19"/>
      <c r="DQ151" s="19"/>
      <c r="DR151" s="19"/>
      <c r="DS151" s="19"/>
      <c r="DT151" s="19"/>
      <c r="DU151" s="19"/>
      <c r="DV151" s="19"/>
      <c r="DW151" s="19"/>
      <c r="DX151" s="19"/>
      <c r="DY151" s="19"/>
      <c r="DZ151" s="19"/>
      <c r="EA151" s="19"/>
      <c r="EB151" s="19"/>
      <c r="EC151" s="19"/>
      <c r="ED151" s="19"/>
      <c r="EE151" s="19"/>
      <c r="EF151" s="19"/>
      <c r="EG151" s="19"/>
      <c r="EH151" s="19"/>
      <c r="EI151" s="19"/>
    </row>
    <row r="152" spans="1:139" ht="15.75" thickBot="1" x14ac:dyDescent="0.3">
      <c r="A152" s="19"/>
      <c r="B152" s="93" t="s">
        <v>226</v>
      </c>
      <c r="C152" s="361" t="s">
        <v>227</v>
      </c>
      <c r="D152" s="94" t="s">
        <v>19</v>
      </c>
      <c r="E152" s="95">
        <f t="shared" ref="E152:H152" si="97">E149*E150*(E127-E136)</f>
        <v>7.1891204012061305</v>
      </c>
      <c r="F152" s="129">
        <f t="shared" si="97"/>
        <v>6.8567292159140969</v>
      </c>
      <c r="G152" s="96">
        <f t="shared" si="97"/>
        <v>2.9801435994423868</v>
      </c>
      <c r="H152" s="129">
        <f t="shared" si="97"/>
        <v>2.1331080246332306</v>
      </c>
      <c r="I152" s="156">
        <f t="shared" ref="I152" si="98">I149*I150*(I127-I136)</f>
        <v>2.1536721363132956</v>
      </c>
      <c r="J152" s="136"/>
      <c r="K152" s="136"/>
      <c r="L152" s="136"/>
      <c r="M152" s="19"/>
      <c r="N152" s="19"/>
      <c r="O152" s="19"/>
      <c r="P152" s="19"/>
      <c r="Q152" s="33"/>
      <c r="R152" s="19"/>
      <c r="S152" s="19"/>
      <c r="T152" s="19"/>
      <c r="U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19"/>
      <c r="BI152" s="19"/>
      <c r="BJ152" s="19"/>
      <c r="BK152" s="19"/>
      <c r="BL152" s="19"/>
      <c r="BM152" s="19"/>
      <c r="BN152" s="19"/>
      <c r="BO152" s="19"/>
      <c r="BP152" s="19"/>
      <c r="BQ152" s="19"/>
      <c r="BR152" s="19"/>
      <c r="BS152" s="19"/>
      <c r="BT152" s="19"/>
      <c r="BU152" s="19"/>
      <c r="BV152" s="19"/>
      <c r="BW152" s="19"/>
      <c r="BX152" s="19"/>
      <c r="BY152" s="19"/>
      <c r="BZ152" s="19"/>
      <c r="CA152" s="19"/>
      <c r="CB152" s="19"/>
      <c r="CC152" s="19"/>
      <c r="CD152" s="19"/>
      <c r="CE152" s="19"/>
      <c r="CF152" s="19"/>
      <c r="CG152" s="19"/>
      <c r="CH152" s="19"/>
      <c r="CI152" s="19"/>
      <c r="CJ152" s="19"/>
      <c r="CK152" s="19"/>
      <c r="CL152" s="19"/>
      <c r="CM152" s="19"/>
      <c r="CN152" s="19"/>
      <c r="CO152" s="19"/>
      <c r="CP152" s="19"/>
      <c r="CQ152" s="19"/>
      <c r="CR152" s="19"/>
      <c r="CS152" s="19"/>
      <c r="CT152" s="19"/>
      <c r="CU152" s="19"/>
      <c r="CV152" s="19"/>
      <c r="CW152" s="19"/>
      <c r="CX152" s="19"/>
      <c r="CY152" s="19"/>
      <c r="CZ152" s="19"/>
      <c r="DA152" s="19"/>
      <c r="DB152" s="19"/>
      <c r="DC152" s="19"/>
      <c r="DD152" s="19"/>
      <c r="DE152" s="19"/>
      <c r="DF152" s="19"/>
      <c r="DG152" s="19"/>
      <c r="DH152" s="19"/>
      <c r="DI152" s="19"/>
      <c r="DJ152" s="19"/>
      <c r="DK152" s="19"/>
      <c r="DL152" s="19"/>
      <c r="DM152" s="19"/>
      <c r="DN152" s="19"/>
      <c r="DO152" s="19"/>
      <c r="DP152" s="19"/>
      <c r="DQ152" s="19"/>
      <c r="DR152" s="19"/>
      <c r="DS152" s="19"/>
      <c r="DT152" s="19"/>
      <c r="DU152" s="19"/>
      <c r="DV152" s="19"/>
      <c r="DW152" s="19"/>
      <c r="DX152" s="19"/>
      <c r="DY152" s="19"/>
      <c r="DZ152" s="19"/>
      <c r="EA152" s="19"/>
      <c r="EB152" s="19"/>
      <c r="EC152" s="19"/>
      <c r="ED152" s="19"/>
      <c r="EE152" s="19"/>
      <c r="EF152" s="19"/>
      <c r="EG152" s="19"/>
      <c r="EH152" s="19"/>
      <c r="EI152" s="19"/>
    </row>
    <row r="153" spans="1:139" ht="15.75" thickBot="1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614"/>
      <c r="K153" s="614"/>
      <c r="L153" s="614"/>
      <c r="M153" s="33"/>
      <c r="N153" s="33"/>
      <c r="O153" s="33"/>
      <c r="P153" s="33"/>
      <c r="Q153" s="33"/>
      <c r="R153" s="19"/>
      <c r="S153" s="19"/>
      <c r="T153" s="19"/>
      <c r="U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19"/>
      <c r="BI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  <c r="BZ153" s="19"/>
      <c r="CA153" s="19"/>
      <c r="CB153" s="19"/>
      <c r="CC153" s="19"/>
      <c r="CD153" s="19"/>
      <c r="CE153" s="19"/>
      <c r="CF153" s="19"/>
      <c r="CG153" s="19"/>
      <c r="CH153" s="19"/>
      <c r="CI153" s="19"/>
      <c r="CJ153" s="19"/>
      <c r="CK153" s="19"/>
      <c r="CL153" s="19"/>
      <c r="CM153" s="19"/>
      <c r="CN153" s="19"/>
      <c r="CO153" s="19"/>
      <c r="CP153" s="19"/>
      <c r="CQ153" s="19"/>
      <c r="CR153" s="19"/>
      <c r="CS153" s="19"/>
      <c r="CT153" s="19"/>
      <c r="CU153" s="19"/>
      <c r="CV153" s="19"/>
      <c r="CW153" s="19"/>
      <c r="CX153" s="19"/>
      <c r="CY153" s="19"/>
      <c r="CZ153" s="19"/>
      <c r="DA153" s="19"/>
      <c r="DB153" s="19"/>
      <c r="DC153" s="19"/>
      <c r="DD153" s="19"/>
      <c r="DE153" s="19"/>
      <c r="DF153" s="19"/>
      <c r="DG153" s="19"/>
      <c r="DH153" s="19"/>
      <c r="DI153" s="19"/>
      <c r="DJ153" s="19"/>
      <c r="DK153" s="19"/>
      <c r="DL153" s="19"/>
      <c r="DM153" s="19"/>
      <c r="DN153" s="19"/>
      <c r="DO153" s="19"/>
      <c r="DP153" s="19"/>
      <c r="DQ153" s="19"/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  <c r="EG153" s="19"/>
      <c r="EH153" s="19"/>
      <c r="EI153" s="19"/>
    </row>
    <row r="154" spans="1:139" ht="15.75" thickBot="1" x14ac:dyDescent="0.3">
      <c r="A154" s="788" t="s">
        <v>348</v>
      </c>
      <c r="B154" s="789"/>
      <c r="C154" s="789"/>
      <c r="D154" s="789"/>
      <c r="E154" s="789"/>
      <c r="F154" s="789"/>
      <c r="G154" s="789"/>
      <c r="H154" s="789"/>
      <c r="I154" s="789"/>
      <c r="J154" s="789"/>
      <c r="K154" s="789"/>
      <c r="L154" s="789"/>
      <c r="M154" s="789"/>
      <c r="N154" s="789"/>
      <c r="O154" s="789"/>
      <c r="P154" s="789"/>
      <c r="Q154" s="789"/>
      <c r="R154" s="789"/>
      <c r="S154" s="789"/>
      <c r="T154" s="789"/>
      <c r="U154" s="790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19"/>
      <c r="BH154" s="19"/>
      <c r="BI154" s="19"/>
      <c r="BJ154" s="19"/>
      <c r="BK154" s="19"/>
      <c r="BL154" s="19"/>
      <c r="BM154" s="19"/>
      <c r="BN154" s="19"/>
      <c r="BO154" s="19"/>
      <c r="BP154" s="19"/>
      <c r="BQ154" s="19"/>
      <c r="BR154" s="19"/>
      <c r="BS154" s="19"/>
      <c r="BT154" s="19"/>
      <c r="BU154" s="19"/>
      <c r="BV154" s="19"/>
      <c r="BW154" s="19"/>
      <c r="BX154" s="19"/>
      <c r="BY154" s="19"/>
      <c r="BZ154" s="19"/>
      <c r="CA154" s="19"/>
      <c r="CB154" s="19"/>
      <c r="CC154" s="19"/>
      <c r="CD154" s="19"/>
      <c r="CE154" s="19"/>
      <c r="CF154" s="19"/>
      <c r="CG154" s="19"/>
      <c r="CH154" s="19"/>
      <c r="CI154" s="19"/>
      <c r="CJ154" s="19"/>
      <c r="CK154" s="19"/>
      <c r="CL154" s="19"/>
      <c r="CM154" s="19"/>
      <c r="CN154" s="19"/>
      <c r="CO154" s="19"/>
      <c r="CP154" s="19"/>
      <c r="CQ154" s="19"/>
      <c r="CR154" s="19"/>
      <c r="CS154" s="19"/>
      <c r="CT154" s="19"/>
      <c r="CU154" s="19"/>
      <c r="CV154" s="19"/>
      <c r="CW154" s="19"/>
      <c r="CX154" s="19"/>
      <c r="CY154" s="19"/>
      <c r="CZ154" s="19"/>
      <c r="DA154" s="19"/>
      <c r="DB154" s="19"/>
      <c r="DC154" s="19"/>
      <c r="DD154" s="19"/>
      <c r="DE154" s="19"/>
      <c r="DF154" s="19"/>
      <c r="DG154" s="19"/>
      <c r="DH154" s="19"/>
      <c r="DI154" s="19"/>
      <c r="DJ154" s="19"/>
      <c r="DK154" s="19"/>
      <c r="DL154" s="19"/>
      <c r="DM154" s="19"/>
      <c r="DN154" s="19"/>
      <c r="DO154" s="19"/>
      <c r="DP154" s="19"/>
      <c r="DQ154" s="19"/>
      <c r="DR154" s="19"/>
      <c r="DS154" s="19"/>
      <c r="DT154" s="19"/>
      <c r="DU154" s="19"/>
      <c r="DV154" s="19"/>
      <c r="DW154" s="19"/>
      <c r="DX154" s="19"/>
      <c r="DY154" s="19"/>
      <c r="DZ154" s="19"/>
      <c r="EA154" s="19"/>
      <c r="EB154" s="19"/>
      <c r="EC154" s="19"/>
      <c r="ED154" s="19"/>
      <c r="EE154" s="19"/>
      <c r="EF154" s="19"/>
      <c r="EG154" s="19"/>
      <c r="EH154" s="19"/>
      <c r="EI154" s="19"/>
    </row>
    <row r="155" spans="1:139" ht="15.75" thickBot="1" x14ac:dyDescent="0.3">
      <c r="A155" s="19"/>
      <c r="B155" s="19"/>
      <c r="C155" s="19"/>
      <c r="D155" s="27"/>
      <c r="E155" s="19"/>
      <c r="F155" s="34"/>
      <c r="G155" s="19"/>
      <c r="H155" s="19"/>
      <c r="I155" s="19"/>
      <c r="J155" s="616"/>
      <c r="K155" s="616"/>
      <c r="L155" s="616"/>
      <c r="M155" s="19"/>
      <c r="N155" s="19"/>
      <c r="O155" s="19"/>
      <c r="P155" s="19"/>
      <c r="Q155" s="33"/>
      <c r="R155" s="19"/>
      <c r="S155" s="19"/>
      <c r="T155" s="19"/>
      <c r="U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B155" s="19"/>
      <c r="BC155" s="19"/>
      <c r="BD155" s="19"/>
      <c r="BE155" s="19"/>
      <c r="BF155" s="19"/>
      <c r="BG155" s="19"/>
      <c r="BH155" s="19"/>
      <c r="BI155" s="19"/>
      <c r="BJ155" s="19"/>
      <c r="BK155" s="19"/>
      <c r="BL155" s="19"/>
      <c r="BM155" s="19"/>
      <c r="BN155" s="19"/>
      <c r="BO155" s="19"/>
      <c r="BP155" s="19"/>
      <c r="BQ155" s="19"/>
      <c r="BR155" s="19"/>
      <c r="BS155" s="19"/>
      <c r="BT155" s="19"/>
      <c r="BU155" s="19"/>
      <c r="BV155" s="19"/>
      <c r="BW155" s="19"/>
      <c r="BX155" s="19"/>
      <c r="BY155" s="19"/>
      <c r="BZ155" s="19"/>
      <c r="CA155" s="19"/>
      <c r="CB155" s="19"/>
      <c r="CC155" s="19"/>
      <c r="CD155" s="19"/>
      <c r="CE155" s="19"/>
      <c r="CF155" s="19"/>
      <c r="CG155" s="19"/>
      <c r="CH155" s="19"/>
      <c r="CI155" s="19"/>
      <c r="CJ155" s="19"/>
      <c r="CK155" s="19"/>
      <c r="CL155" s="19"/>
      <c r="CM155" s="19"/>
      <c r="CN155" s="19"/>
      <c r="CO155" s="19"/>
      <c r="CP155" s="19"/>
      <c r="CQ155" s="19"/>
      <c r="CR155" s="19"/>
      <c r="CS155" s="19"/>
      <c r="CT155" s="19"/>
      <c r="CU155" s="19"/>
      <c r="CV155" s="19"/>
      <c r="CW155" s="19"/>
      <c r="CX155" s="19"/>
      <c r="CY155" s="19"/>
      <c r="CZ155" s="19"/>
      <c r="DA155" s="19"/>
      <c r="DB155" s="19"/>
      <c r="DC155" s="19"/>
      <c r="DD155" s="19"/>
      <c r="DE155" s="19"/>
      <c r="DF155" s="19"/>
      <c r="DG155" s="19"/>
      <c r="DH155" s="19"/>
      <c r="DI155" s="19"/>
      <c r="DJ155" s="19"/>
      <c r="DK155" s="19"/>
      <c r="DL155" s="19"/>
      <c r="DM155" s="19"/>
      <c r="DN155" s="19"/>
      <c r="DO155" s="19"/>
      <c r="DP155" s="19"/>
      <c r="DQ155" s="19"/>
      <c r="DR155" s="19"/>
      <c r="DS155" s="19"/>
      <c r="DT155" s="19"/>
      <c r="DU155" s="19"/>
      <c r="DV155" s="19"/>
      <c r="DW155" s="19"/>
      <c r="DX155" s="19"/>
      <c r="DY155" s="19"/>
      <c r="DZ155" s="19"/>
      <c r="EA155" s="19"/>
      <c r="EB155" s="19"/>
      <c r="EC155" s="19"/>
      <c r="ED155" s="19"/>
      <c r="EE155" s="19"/>
      <c r="EF155" s="19"/>
      <c r="EG155" s="19"/>
      <c r="EH155" s="19"/>
      <c r="EI155" s="19"/>
    </row>
    <row r="156" spans="1:139" x14ac:dyDescent="0.25">
      <c r="A156" s="19"/>
      <c r="B156" s="660" t="s">
        <v>228</v>
      </c>
      <c r="C156" s="661" t="s">
        <v>229</v>
      </c>
      <c r="D156" s="662" t="s">
        <v>13</v>
      </c>
      <c r="E156" s="669">
        <f>E127</f>
        <v>1068.5534078142286</v>
      </c>
      <c r="F156" s="670">
        <f>F127</f>
        <v>903.2970077372122</v>
      </c>
      <c r="G156" s="671">
        <f>G127</f>
        <v>811.87821406545902</v>
      </c>
      <c r="H156" s="671">
        <f>H127</f>
        <v>765.7418676279076</v>
      </c>
      <c r="I156" s="675">
        <f>I127</f>
        <v>737.52913471715362</v>
      </c>
      <c r="J156" s="34"/>
      <c r="K156" s="34"/>
      <c r="L156" s="34"/>
      <c r="M156" s="19"/>
      <c r="N156" s="19"/>
      <c r="O156" s="19"/>
      <c r="P156" s="19"/>
      <c r="Q156" s="33"/>
      <c r="R156" s="19"/>
      <c r="S156" s="19"/>
      <c r="T156" s="19"/>
      <c r="U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19"/>
      <c r="BH156" s="19"/>
      <c r="BI156" s="19"/>
      <c r="BJ156" s="19"/>
      <c r="BK156" s="19"/>
      <c r="BL156" s="19"/>
      <c r="BM156" s="19"/>
      <c r="BN156" s="19"/>
      <c r="BO156" s="19"/>
      <c r="BP156" s="19"/>
      <c r="BQ156" s="19"/>
      <c r="BR156" s="19"/>
      <c r="BS156" s="19"/>
      <c r="BT156" s="19"/>
      <c r="BU156" s="19"/>
      <c r="BV156" s="19"/>
      <c r="BW156" s="19"/>
      <c r="BX156" s="19"/>
      <c r="BY156" s="19"/>
      <c r="BZ156" s="19"/>
      <c r="CA156" s="19"/>
      <c r="CB156" s="19"/>
      <c r="CC156" s="19"/>
      <c r="CD156" s="19"/>
      <c r="CE156" s="19"/>
      <c r="CF156" s="19"/>
      <c r="CG156" s="19"/>
      <c r="CH156" s="19"/>
      <c r="CI156" s="19"/>
      <c r="CJ156" s="19"/>
      <c r="CK156" s="19"/>
      <c r="CL156" s="19"/>
      <c r="CM156" s="19"/>
      <c r="CN156" s="19"/>
      <c r="CO156" s="19"/>
      <c r="CP156" s="19"/>
      <c r="CQ156" s="19"/>
      <c r="CR156" s="19"/>
      <c r="CS156" s="19"/>
      <c r="CT156" s="19"/>
      <c r="CU156" s="19"/>
      <c r="CV156" s="19"/>
      <c r="CW156" s="19"/>
      <c r="CX156" s="19"/>
      <c r="CY156" s="19"/>
      <c r="CZ156" s="19"/>
      <c r="DA156" s="19"/>
      <c r="DB156" s="19"/>
      <c r="DC156" s="19"/>
      <c r="DD156" s="19"/>
      <c r="DE156" s="19"/>
      <c r="DF156" s="19"/>
      <c r="DG156" s="19"/>
      <c r="DH156" s="19"/>
      <c r="DI156" s="19"/>
      <c r="DJ156" s="19"/>
      <c r="DK156" s="19"/>
      <c r="DL156" s="19"/>
      <c r="DM156" s="19"/>
      <c r="DN156" s="19"/>
      <c r="DO156" s="19"/>
      <c r="DP156" s="19"/>
      <c r="DQ156" s="19"/>
      <c r="DR156" s="19"/>
      <c r="DS156" s="19"/>
      <c r="DT156" s="19"/>
      <c r="DU156" s="19"/>
      <c r="DV156" s="19"/>
      <c r="DW156" s="19"/>
      <c r="DX156" s="19"/>
      <c r="DY156" s="19"/>
      <c r="DZ156" s="19"/>
      <c r="EA156" s="19"/>
      <c r="EB156" s="19"/>
      <c r="EC156" s="19"/>
      <c r="ED156" s="19"/>
      <c r="EE156" s="19"/>
      <c r="EF156" s="19"/>
      <c r="EG156" s="19"/>
      <c r="EH156" s="19"/>
      <c r="EI156" s="19"/>
    </row>
    <row r="157" spans="1:139" x14ac:dyDescent="0.25">
      <c r="A157" s="19"/>
      <c r="B157" s="663" t="s">
        <v>230</v>
      </c>
      <c r="C157" s="664" t="s">
        <v>231</v>
      </c>
      <c r="D157" s="665" t="s">
        <v>13</v>
      </c>
      <c r="E157" s="672">
        <f>ABS(-264.44+1.03*E156)</f>
        <v>836.17001004865551</v>
      </c>
      <c r="F157" s="674">
        <f t="shared" ref="F157:I157" si="99">ABS(-264.44+1.03*F156)</f>
        <v>665.95591796932854</v>
      </c>
      <c r="G157" s="674">
        <f t="shared" si="99"/>
        <v>571.79456048742281</v>
      </c>
      <c r="H157" s="674">
        <f t="shared" si="99"/>
        <v>524.27412365674491</v>
      </c>
      <c r="I157" s="676">
        <f t="shared" si="99"/>
        <v>495.21500875866826</v>
      </c>
      <c r="J157" s="34"/>
      <c r="K157" s="34"/>
      <c r="L157" s="34"/>
      <c r="M157" s="19"/>
      <c r="N157" s="19"/>
      <c r="O157" s="19"/>
      <c r="P157" s="19"/>
      <c r="Q157" s="33"/>
      <c r="R157" s="19"/>
      <c r="S157" s="19"/>
      <c r="T157" s="19"/>
      <c r="U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B157" s="19"/>
      <c r="BC157" s="19"/>
      <c r="BD157" s="19"/>
      <c r="BE157" s="19"/>
      <c r="BF157" s="19"/>
      <c r="BG157" s="19"/>
      <c r="BH157" s="19"/>
      <c r="BI157" s="19"/>
      <c r="BJ157" s="19"/>
      <c r="BK157" s="19"/>
      <c r="BL157" s="19"/>
      <c r="BM157" s="19"/>
      <c r="BN157" s="19"/>
      <c r="BO157" s="19"/>
      <c r="BP157" s="19"/>
      <c r="BQ157" s="19"/>
      <c r="BR157" s="19"/>
      <c r="BS157" s="19"/>
      <c r="BT157" s="19"/>
      <c r="BU157" s="19"/>
      <c r="BV157" s="19"/>
      <c r="BW157" s="19"/>
      <c r="BX157" s="19"/>
      <c r="BY157" s="19"/>
      <c r="BZ157" s="19"/>
      <c r="CA157" s="19"/>
      <c r="CB157" s="19"/>
      <c r="CC157" s="19"/>
      <c r="CD157" s="19"/>
      <c r="CE157" s="19"/>
      <c r="CF157" s="19"/>
      <c r="CG157" s="19"/>
      <c r="CH157" s="19"/>
      <c r="CI157" s="19"/>
      <c r="CJ157" s="19"/>
      <c r="CK157" s="19"/>
      <c r="CL157" s="19"/>
      <c r="CM157" s="19"/>
      <c r="CN157" s="19"/>
      <c r="CO157" s="19"/>
      <c r="CP157" s="19"/>
      <c r="CQ157" s="19"/>
      <c r="CR157" s="19"/>
      <c r="CS157" s="19"/>
      <c r="CT157" s="19"/>
      <c r="CU157" s="19"/>
      <c r="CV157" s="19"/>
      <c r="CW157" s="19"/>
      <c r="CX157" s="19"/>
      <c r="CY157" s="19"/>
      <c r="CZ157" s="19"/>
      <c r="DA157" s="19"/>
      <c r="DB157" s="19"/>
      <c r="DC157" s="19"/>
      <c r="DD157" s="19"/>
      <c r="DE157" s="19"/>
      <c r="DF157" s="19"/>
      <c r="DG157" s="19"/>
      <c r="DH157" s="19"/>
      <c r="DI157" s="19"/>
      <c r="DJ157" s="19"/>
      <c r="DK157" s="19"/>
      <c r="DL157" s="19"/>
      <c r="DM157" s="19"/>
      <c r="DN157" s="19"/>
      <c r="DO157" s="19"/>
      <c r="DP157" s="19"/>
      <c r="DQ157" s="19"/>
      <c r="DR157" s="19"/>
      <c r="DS157" s="19"/>
      <c r="DT157" s="19"/>
      <c r="DU157" s="19"/>
      <c r="DV157" s="19"/>
      <c r="DW157" s="19"/>
      <c r="DX157" s="19"/>
      <c r="DY157" s="19"/>
      <c r="DZ157" s="19"/>
      <c r="EA157" s="19"/>
      <c r="EB157" s="19"/>
      <c r="EC157" s="19"/>
      <c r="ED157" s="19"/>
      <c r="EE157" s="19"/>
      <c r="EF157" s="19"/>
      <c r="EG157" s="19"/>
      <c r="EH157" s="19"/>
      <c r="EI157" s="19"/>
    </row>
    <row r="158" spans="1:139" ht="15.75" thickBot="1" x14ac:dyDescent="0.3">
      <c r="A158" s="19"/>
      <c r="B158" s="666" t="s">
        <v>232</v>
      </c>
      <c r="C158" s="667" t="s">
        <v>233</v>
      </c>
      <c r="D158" s="668" t="s">
        <v>13</v>
      </c>
      <c r="E158" s="673">
        <f>ABS(-87.31+0.79*E156)</f>
        <v>756.84719217324073</v>
      </c>
      <c r="F158" s="677">
        <f t="shared" ref="F158:I158" si="100">ABS(-87.31+0.79*F156)</f>
        <v>626.29463611239771</v>
      </c>
      <c r="G158" s="677">
        <f t="shared" si="100"/>
        <v>554.07378911171259</v>
      </c>
      <c r="H158" s="677">
        <f t="shared" si="100"/>
        <v>517.62607542604701</v>
      </c>
      <c r="I158" s="678">
        <f t="shared" si="100"/>
        <v>495.33801642655141</v>
      </c>
      <c r="J158" s="34"/>
      <c r="K158" s="34"/>
      <c r="L158" s="34"/>
      <c r="M158" s="19"/>
      <c r="N158" s="19"/>
      <c r="O158" s="19"/>
      <c r="P158" s="19"/>
      <c r="Q158" s="33"/>
      <c r="R158" s="19"/>
      <c r="S158" s="19"/>
      <c r="T158" s="19"/>
      <c r="U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19"/>
      <c r="BH158" s="19"/>
      <c r="BI158" s="19"/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</row>
    <row r="159" spans="1:139" ht="15.75" thickBot="1" x14ac:dyDescent="0.3">
      <c r="A159" s="19"/>
      <c r="B159" s="424"/>
      <c r="C159" s="424"/>
      <c r="D159" s="424"/>
      <c r="E159" s="219"/>
      <c r="F159" s="425"/>
      <c r="G159" s="219"/>
      <c r="H159" s="219"/>
      <c r="I159" s="219"/>
      <c r="J159" s="617"/>
      <c r="K159" s="617"/>
      <c r="L159" s="617"/>
      <c r="M159" s="19"/>
      <c r="N159" s="19"/>
      <c r="O159" s="19"/>
      <c r="P159" s="19"/>
      <c r="Q159" s="33"/>
      <c r="R159" s="19"/>
      <c r="S159" s="19"/>
      <c r="T159" s="19"/>
      <c r="U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  <c r="BB159" s="19"/>
      <c r="BC159" s="19"/>
      <c r="BD159" s="19"/>
      <c r="BE159" s="19"/>
      <c r="BF159" s="19"/>
      <c r="BG159" s="19"/>
      <c r="BH159" s="19"/>
      <c r="BI159" s="19"/>
      <c r="BJ159" s="19"/>
      <c r="BK159" s="19"/>
      <c r="BL159" s="19"/>
      <c r="BM159" s="19"/>
      <c r="BN159" s="19"/>
      <c r="BO159" s="19"/>
      <c r="BP159" s="19"/>
      <c r="BQ159" s="19"/>
      <c r="BR159" s="19"/>
      <c r="BS159" s="19"/>
      <c r="BT159" s="19"/>
      <c r="BU159" s="19"/>
      <c r="BV159" s="19"/>
      <c r="BW159" s="19"/>
      <c r="BX159" s="19"/>
      <c r="BY159" s="19"/>
      <c r="BZ159" s="19"/>
      <c r="CA159" s="19"/>
      <c r="CB159" s="19"/>
      <c r="CC159" s="19"/>
      <c r="CD159" s="19"/>
      <c r="CE159" s="19"/>
      <c r="CF159" s="19"/>
      <c r="CG159" s="19"/>
      <c r="CH159" s="19"/>
      <c r="CI159" s="19"/>
      <c r="CJ159" s="19"/>
      <c r="CK159" s="19"/>
      <c r="CL159" s="19"/>
      <c r="CM159" s="19"/>
      <c r="CN159" s="19"/>
      <c r="CO159" s="19"/>
      <c r="CP159" s="19"/>
      <c r="CQ159" s="19"/>
      <c r="CR159" s="19"/>
      <c r="CS159" s="19"/>
      <c r="CT159" s="19"/>
      <c r="CU159" s="19"/>
      <c r="CV159" s="19"/>
      <c r="CW159" s="19"/>
      <c r="CX159" s="19"/>
      <c r="CY159" s="19"/>
      <c r="CZ159" s="19"/>
      <c r="DA159" s="19"/>
      <c r="DB159" s="19"/>
      <c r="DC159" s="19"/>
      <c r="DD159" s="19"/>
      <c r="DE159" s="19"/>
      <c r="DF159" s="19"/>
      <c r="DG159" s="19"/>
      <c r="DH159" s="19"/>
      <c r="DI159" s="19"/>
      <c r="DJ159" s="19"/>
      <c r="DK159" s="19"/>
      <c r="DL159" s="19"/>
      <c r="DM159" s="19"/>
      <c r="DN159" s="19"/>
      <c r="DO159" s="19"/>
      <c r="DP159" s="19"/>
      <c r="DQ159" s="19"/>
      <c r="DR159" s="19"/>
      <c r="DS159" s="19"/>
      <c r="DT159" s="19"/>
      <c r="DU159" s="19"/>
      <c r="DV159" s="19"/>
      <c r="DW159" s="19"/>
      <c r="DX159" s="19"/>
      <c r="DY159" s="19"/>
      <c r="DZ159" s="19"/>
      <c r="EA159" s="19"/>
      <c r="EB159" s="19"/>
      <c r="EC159" s="19"/>
      <c r="ED159" s="19"/>
      <c r="EE159" s="19"/>
      <c r="EF159" s="19"/>
      <c r="EG159" s="19"/>
      <c r="EH159" s="19"/>
      <c r="EI159" s="19"/>
    </row>
    <row r="160" spans="1:139" ht="15.75" thickBot="1" x14ac:dyDescent="0.3">
      <c r="A160" s="407"/>
      <c r="B160" s="426"/>
      <c r="C160" s="427"/>
      <c r="D160" s="427"/>
      <c r="E160" s="621"/>
      <c r="F160" s="679"/>
      <c r="G160" s="621"/>
      <c r="H160" s="621"/>
      <c r="I160" s="621"/>
      <c r="J160" s="616"/>
      <c r="K160" s="616"/>
      <c r="L160" s="391"/>
      <c r="M160" s="23"/>
      <c r="N160" s="23"/>
      <c r="O160" s="23"/>
      <c r="P160" s="23"/>
      <c r="Q160" s="33"/>
      <c r="R160" s="19"/>
      <c r="S160" s="19"/>
      <c r="T160" s="19"/>
      <c r="U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19"/>
      <c r="BH160" s="19"/>
      <c r="BI160" s="19"/>
      <c r="BJ160" s="19"/>
      <c r="BK160" s="19"/>
      <c r="BL160" s="19"/>
      <c r="BM160" s="19"/>
      <c r="BN160" s="19"/>
      <c r="BO160" s="19"/>
      <c r="BP160" s="19"/>
      <c r="BQ160" s="19"/>
      <c r="BR160" s="19"/>
      <c r="BS160" s="19"/>
      <c r="BT160" s="19"/>
      <c r="BU160" s="19"/>
      <c r="BV160" s="19"/>
      <c r="BW160" s="19"/>
      <c r="BX160" s="19"/>
      <c r="BY160" s="19"/>
      <c r="BZ160" s="19"/>
      <c r="CA160" s="19"/>
      <c r="CB160" s="19"/>
      <c r="CC160" s="19"/>
      <c r="CD160" s="19"/>
      <c r="CE160" s="19"/>
      <c r="CF160" s="19"/>
      <c r="CG160" s="19"/>
      <c r="CH160" s="19"/>
      <c r="CI160" s="19"/>
      <c r="CJ160" s="19"/>
      <c r="CK160" s="19"/>
      <c r="CL160" s="19"/>
      <c r="CM160" s="19"/>
      <c r="CN160" s="19"/>
      <c r="CO160" s="19"/>
      <c r="CP160" s="19"/>
      <c r="CQ160" s="19"/>
      <c r="CR160" s="19"/>
      <c r="CS160" s="19"/>
      <c r="CT160" s="19"/>
      <c r="CU160" s="19"/>
      <c r="CV160" s="19"/>
      <c r="CW160" s="19"/>
      <c r="CX160" s="19"/>
      <c r="CY160" s="19"/>
      <c r="CZ160" s="19"/>
      <c r="DA160" s="19"/>
      <c r="DB160" s="19"/>
      <c r="DC160" s="19"/>
      <c r="DD160" s="19"/>
      <c r="DE160" s="19"/>
      <c r="DF160" s="19"/>
      <c r="DG160" s="19"/>
      <c r="DH160" s="19"/>
      <c r="DI160" s="19"/>
      <c r="DJ160" s="19"/>
      <c r="DK160" s="19"/>
      <c r="DL160" s="19"/>
      <c r="DM160" s="19"/>
      <c r="DN160" s="19"/>
      <c r="DO160" s="19"/>
      <c r="DP160" s="19"/>
      <c r="DQ160" s="19"/>
      <c r="DR160" s="19"/>
      <c r="DS160" s="19"/>
      <c r="DT160" s="19"/>
      <c r="DU160" s="19"/>
      <c r="DV160" s="19"/>
      <c r="DW160" s="19"/>
      <c r="DX160" s="19"/>
      <c r="DY160" s="19"/>
      <c r="DZ160" s="19"/>
      <c r="EA160" s="19"/>
      <c r="EB160" s="19"/>
      <c r="EC160" s="19"/>
      <c r="ED160" s="19"/>
      <c r="EE160" s="19"/>
      <c r="EF160" s="19"/>
      <c r="EG160" s="19"/>
      <c r="EH160" s="19"/>
      <c r="EI160" s="19"/>
    </row>
    <row r="161" spans="1:139" x14ac:dyDescent="0.25">
      <c r="A161" s="23"/>
      <c r="B161" s="812" t="s">
        <v>190</v>
      </c>
      <c r="C161" s="813"/>
      <c r="D161" s="813"/>
      <c r="E161" s="501">
        <f>+E45</f>
        <v>1</v>
      </c>
      <c r="F161" s="680">
        <f t="shared" ref="F161:H161" si="101">+F45</f>
        <v>2</v>
      </c>
      <c r="G161" s="680">
        <f t="shared" si="101"/>
        <v>3</v>
      </c>
      <c r="H161" s="680">
        <f t="shared" si="101"/>
        <v>4</v>
      </c>
      <c r="I161" s="681">
        <f t="shared" ref="I161" si="102">+I45</f>
        <v>5</v>
      </c>
      <c r="J161" s="34"/>
      <c r="K161" s="34"/>
      <c r="L161" s="23"/>
      <c r="M161" s="23"/>
      <c r="N161" s="23"/>
      <c r="O161" s="23"/>
      <c r="P161" s="23"/>
      <c r="Q161" s="33"/>
      <c r="R161" s="19"/>
      <c r="S161" s="19"/>
      <c r="T161" s="19"/>
      <c r="U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L161" s="19"/>
      <c r="BM161" s="19"/>
      <c r="BN161" s="19"/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G161" s="19"/>
      <c r="CH161" s="19"/>
      <c r="CI161" s="19"/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B161" s="19"/>
      <c r="DC161" s="19"/>
      <c r="DD161" s="19"/>
      <c r="DE161" s="19"/>
      <c r="DF161" s="19"/>
      <c r="DG161" s="19"/>
      <c r="DH161" s="19"/>
      <c r="DI161" s="19"/>
      <c r="DJ161" s="19"/>
      <c r="DK161" s="19"/>
      <c r="DL161" s="19"/>
      <c r="DM161" s="19"/>
      <c r="DN161" s="19"/>
      <c r="DO161" s="19"/>
      <c r="DP161" s="19"/>
      <c r="DQ161" s="19"/>
      <c r="DR161" s="19"/>
      <c r="DS161" s="19"/>
      <c r="DT161" s="19"/>
      <c r="DU161" s="19"/>
      <c r="DV161" s="19"/>
      <c r="DW161" s="19"/>
      <c r="DX161" s="19"/>
      <c r="DY161" s="19"/>
      <c r="DZ161" s="19"/>
      <c r="EA161" s="19"/>
      <c r="EB161" s="19"/>
      <c r="EC161" s="19"/>
      <c r="ED161" s="19"/>
      <c r="EE161" s="19"/>
      <c r="EF161" s="19"/>
      <c r="EG161" s="19"/>
      <c r="EH161" s="19"/>
      <c r="EI161" s="19"/>
    </row>
    <row r="162" spans="1:139" x14ac:dyDescent="0.25">
      <c r="A162" s="19"/>
      <c r="B162" s="66" t="s">
        <v>234</v>
      </c>
      <c r="C162" s="67" t="s">
        <v>235</v>
      </c>
      <c r="D162" s="382" t="s">
        <v>148</v>
      </c>
      <c r="E162" s="447">
        <f t="shared" ref="E162:H162" si="103">E127+273.15</f>
        <v>1341.7034078142287</v>
      </c>
      <c r="F162" s="448">
        <f t="shared" si="103"/>
        <v>1176.4470077372121</v>
      </c>
      <c r="G162" s="449">
        <f t="shared" si="103"/>
        <v>1085.028214065459</v>
      </c>
      <c r="H162" s="449">
        <f t="shared" si="103"/>
        <v>1038.8918676279077</v>
      </c>
      <c r="I162" s="682">
        <f t="shared" ref="I162" si="104">I127+273.15</f>
        <v>1010.6791347171536</v>
      </c>
      <c r="J162" s="34"/>
      <c r="K162" s="34"/>
      <c r="L162" s="23"/>
      <c r="M162" s="23"/>
      <c r="N162" s="23"/>
      <c r="O162" s="23"/>
      <c r="P162" s="23"/>
      <c r="Q162" s="33"/>
      <c r="R162" s="19"/>
      <c r="S162" s="19"/>
      <c r="T162" s="19"/>
      <c r="U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19"/>
      <c r="BH162" s="19"/>
      <c r="BI162" s="19"/>
      <c r="BJ162" s="19"/>
      <c r="BK162" s="19"/>
      <c r="BL162" s="19"/>
      <c r="BM162" s="19"/>
      <c r="BN162" s="19"/>
      <c r="BO162" s="19"/>
      <c r="BP162" s="19"/>
      <c r="BQ162" s="19"/>
      <c r="BR162" s="19"/>
      <c r="BS162" s="19"/>
      <c r="BT162" s="19"/>
      <c r="BU162" s="19"/>
      <c r="BV162" s="19"/>
      <c r="BW162" s="19"/>
      <c r="BX162" s="19"/>
      <c r="BY162" s="19"/>
      <c r="BZ162" s="19"/>
      <c r="CA162" s="19"/>
      <c r="CB162" s="19"/>
      <c r="CC162" s="19"/>
      <c r="CD162" s="19"/>
      <c r="CE162" s="19"/>
      <c r="CF162" s="19"/>
      <c r="CG162" s="19"/>
      <c r="CH162" s="19"/>
      <c r="CI162" s="19"/>
      <c r="CJ162" s="19"/>
      <c r="CK162" s="19"/>
      <c r="CL162" s="19"/>
      <c r="CM162" s="19"/>
      <c r="CN162" s="19"/>
      <c r="CO162" s="19"/>
      <c r="CP162" s="19"/>
      <c r="CQ162" s="19"/>
      <c r="CR162" s="19"/>
      <c r="CS162" s="19"/>
      <c r="CT162" s="19"/>
      <c r="CU162" s="19"/>
      <c r="CV162" s="19"/>
      <c r="CW162" s="19"/>
      <c r="CX162" s="19"/>
      <c r="CY162" s="19"/>
      <c r="CZ162" s="19"/>
      <c r="DA162" s="19"/>
      <c r="DB162" s="19"/>
      <c r="DC162" s="19"/>
      <c r="DD162" s="19"/>
      <c r="DE162" s="19"/>
      <c r="DF162" s="19"/>
      <c r="DG162" s="19"/>
      <c r="DH162" s="19"/>
      <c r="DI162" s="19"/>
      <c r="DJ162" s="19"/>
      <c r="DK162" s="19"/>
      <c r="DL162" s="19"/>
      <c r="DM162" s="19"/>
      <c r="DN162" s="19"/>
      <c r="DO162" s="19"/>
      <c r="DP162" s="19"/>
      <c r="DQ162" s="19"/>
      <c r="DR162" s="19"/>
      <c r="DS162" s="19"/>
      <c r="DT162" s="19"/>
      <c r="DU162" s="19"/>
      <c r="DV162" s="19"/>
      <c r="DW162" s="19"/>
      <c r="DX162" s="19"/>
      <c r="DY162" s="19"/>
      <c r="DZ162" s="19"/>
      <c r="EA162" s="19"/>
      <c r="EB162" s="19"/>
      <c r="EC162" s="19"/>
      <c r="ED162" s="19"/>
      <c r="EE162" s="19"/>
      <c r="EF162" s="19"/>
      <c r="EG162" s="19"/>
      <c r="EH162" s="19"/>
      <c r="EI162" s="19"/>
    </row>
    <row r="163" spans="1:139" x14ac:dyDescent="0.25">
      <c r="A163" s="19"/>
      <c r="B163" s="66" t="s">
        <v>236</v>
      </c>
      <c r="C163" s="67" t="s">
        <v>237</v>
      </c>
      <c r="D163" s="382" t="s">
        <v>148</v>
      </c>
      <c r="E163" s="447">
        <f t="shared" ref="E163:H163" si="105">E136+273.15</f>
        <v>441.91800059312283</v>
      </c>
      <c r="F163" s="448">
        <f t="shared" si="105"/>
        <v>413.7289131094002</v>
      </c>
      <c r="G163" s="449">
        <f t="shared" si="105"/>
        <v>427.66386283727024</v>
      </c>
      <c r="H163" s="449">
        <f t="shared" si="105"/>
        <v>494.0954991356636</v>
      </c>
      <c r="I163" s="682">
        <f t="shared" ref="I163" si="106">I136+273.15</f>
        <v>651.57841666255445</v>
      </c>
      <c r="J163" s="34"/>
      <c r="K163" s="34"/>
      <c r="L163" s="19"/>
      <c r="M163" s="22"/>
      <c r="N163" s="22"/>
      <c r="O163" s="22"/>
      <c r="P163" s="22"/>
      <c r="Q163" s="22"/>
      <c r="R163" s="22"/>
      <c r="S163" s="22"/>
      <c r="T163" s="22"/>
      <c r="U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B163" s="19"/>
      <c r="BC163" s="19"/>
      <c r="BD163" s="19"/>
      <c r="BE163" s="19"/>
      <c r="BF163" s="19"/>
      <c r="BG163" s="19"/>
      <c r="BH163" s="19"/>
      <c r="BI163" s="19"/>
      <c r="BJ163" s="19"/>
      <c r="BK163" s="19"/>
      <c r="BL163" s="19"/>
      <c r="BM163" s="19"/>
      <c r="BN163" s="19"/>
      <c r="BO163" s="19"/>
      <c r="BP163" s="19"/>
      <c r="BQ163" s="19"/>
      <c r="BR163" s="19"/>
      <c r="BS163" s="19"/>
      <c r="BT163" s="19"/>
      <c r="BU163" s="19"/>
      <c r="BV163" s="19"/>
      <c r="BW163" s="19"/>
      <c r="BX163" s="19"/>
      <c r="BY163" s="19"/>
      <c r="BZ163" s="19"/>
      <c r="CA163" s="19"/>
      <c r="CB163" s="19"/>
      <c r="CC163" s="19"/>
      <c r="CD163" s="19"/>
      <c r="CE163" s="19"/>
      <c r="CF163" s="19"/>
      <c r="CG163" s="19"/>
      <c r="CH163" s="19"/>
      <c r="CI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  <c r="CU163" s="19"/>
      <c r="CV163" s="19"/>
      <c r="CW163" s="19"/>
      <c r="CX163" s="19"/>
      <c r="CY163" s="19"/>
      <c r="CZ163" s="19"/>
      <c r="DA163" s="19"/>
      <c r="DB163" s="19"/>
      <c r="DC163" s="19"/>
      <c r="DD163" s="19"/>
      <c r="DE163" s="19"/>
      <c r="DF163" s="19"/>
      <c r="DG163" s="19"/>
      <c r="DH163" s="19"/>
      <c r="DI163" s="19"/>
      <c r="DJ163" s="19"/>
      <c r="DK163" s="19"/>
      <c r="DL163" s="19"/>
      <c r="DM163" s="19"/>
      <c r="DN163" s="19"/>
      <c r="DO163" s="19"/>
      <c r="DP163" s="19"/>
      <c r="DQ163" s="19"/>
      <c r="DR163" s="19"/>
      <c r="DS163" s="19"/>
      <c r="DT163" s="19"/>
      <c r="DU163" s="19"/>
      <c r="DV163" s="19"/>
      <c r="DW163" s="19"/>
      <c r="DX163" s="19"/>
      <c r="DY163" s="19"/>
      <c r="DZ163" s="19"/>
      <c r="EA163" s="19"/>
      <c r="EB163" s="19"/>
      <c r="EC163" s="19"/>
      <c r="ED163" s="19"/>
      <c r="EE163" s="19"/>
      <c r="EF163" s="19"/>
      <c r="EG163" s="19"/>
      <c r="EH163" s="19"/>
      <c r="EI163" s="19"/>
    </row>
    <row r="164" spans="1:139" x14ac:dyDescent="0.25">
      <c r="A164" s="19"/>
      <c r="B164" s="66" t="s">
        <v>238</v>
      </c>
      <c r="C164" s="67" t="s">
        <v>239</v>
      </c>
      <c r="D164" s="382" t="s">
        <v>148</v>
      </c>
      <c r="E164" s="447">
        <f t="shared" ref="E164:H165" si="107">E157+273.15</f>
        <v>1109.3200100486556</v>
      </c>
      <c r="F164" s="448">
        <f t="shared" si="107"/>
        <v>939.10591796932852</v>
      </c>
      <c r="G164" s="449">
        <f t="shared" si="107"/>
        <v>844.94456048742279</v>
      </c>
      <c r="H164" s="449">
        <f t="shared" si="107"/>
        <v>797.42412365674488</v>
      </c>
      <c r="I164" s="682">
        <f t="shared" ref="I164" si="108">I157+273.15</f>
        <v>768.36500875866818</v>
      </c>
      <c r="J164" s="34"/>
      <c r="K164" s="34"/>
      <c r="L164" s="19"/>
      <c r="M164" s="22"/>
      <c r="N164" s="22"/>
      <c r="O164" s="22"/>
      <c r="P164" s="22"/>
      <c r="Q164" s="22"/>
      <c r="R164" s="22"/>
      <c r="S164" s="22"/>
      <c r="T164" s="22"/>
      <c r="U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19"/>
      <c r="BH164" s="19"/>
      <c r="BI164" s="19"/>
      <c r="BJ164" s="19"/>
      <c r="BK164" s="19"/>
      <c r="BL164" s="19"/>
      <c r="BM164" s="19"/>
      <c r="BN164" s="19"/>
      <c r="BO164" s="19"/>
      <c r="BP164" s="19"/>
      <c r="BQ164" s="19"/>
      <c r="BR164" s="19"/>
      <c r="BS164" s="19"/>
      <c r="BT164" s="19"/>
      <c r="BU164" s="19"/>
      <c r="BV164" s="19"/>
      <c r="BW164" s="19"/>
      <c r="BX164" s="19"/>
      <c r="BY164" s="19"/>
      <c r="BZ164" s="19"/>
      <c r="CA164" s="19"/>
      <c r="CB164" s="19"/>
      <c r="CC164" s="19"/>
      <c r="CD164" s="19"/>
      <c r="CE164" s="19"/>
      <c r="CF164" s="19"/>
      <c r="CG164" s="19"/>
      <c r="CH164" s="19"/>
      <c r="CI164" s="19"/>
      <c r="CJ164" s="19"/>
      <c r="CK164" s="19"/>
      <c r="CL164" s="19"/>
      <c r="CM164" s="19"/>
      <c r="CN164" s="19"/>
      <c r="CO164" s="19"/>
      <c r="CP164" s="19"/>
      <c r="CQ164" s="19"/>
      <c r="CR164" s="19"/>
      <c r="CS164" s="19"/>
      <c r="CT164" s="19"/>
      <c r="CU164" s="19"/>
      <c r="CV164" s="19"/>
      <c r="CW164" s="19"/>
      <c r="CX164" s="19"/>
      <c r="CY164" s="19"/>
      <c r="CZ164" s="19"/>
      <c r="DA164" s="19"/>
      <c r="DB164" s="19"/>
      <c r="DC164" s="19"/>
      <c r="DD164" s="19"/>
      <c r="DE164" s="19"/>
      <c r="DF164" s="19"/>
      <c r="DG164" s="19"/>
      <c r="DH164" s="19"/>
      <c r="DI164" s="19"/>
      <c r="DJ164" s="19"/>
      <c r="DK164" s="19"/>
      <c r="DL164" s="19"/>
      <c r="DM164" s="19"/>
      <c r="DN164" s="19"/>
      <c r="DO164" s="19"/>
      <c r="DP164" s="19"/>
      <c r="DQ164" s="19"/>
      <c r="DR164" s="19"/>
      <c r="DS164" s="19"/>
      <c r="DT164" s="19"/>
      <c r="DU164" s="19"/>
      <c r="DV164" s="19"/>
      <c r="DW164" s="19"/>
      <c r="DX164" s="19"/>
      <c r="DY164" s="19"/>
      <c r="DZ164" s="19"/>
      <c r="EA164" s="19"/>
      <c r="EB164" s="19"/>
      <c r="EC164" s="19"/>
      <c r="ED164" s="19"/>
      <c r="EE164" s="19"/>
      <c r="EF164" s="19"/>
      <c r="EG164" s="19"/>
      <c r="EH164" s="19"/>
      <c r="EI164" s="19"/>
    </row>
    <row r="165" spans="1:139" x14ac:dyDescent="0.25">
      <c r="A165" s="19"/>
      <c r="B165" s="66" t="s">
        <v>232</v>
      </c>
      <c r="C165" s="67" t="s">
        <v>240</v>
      </c>
      <c r="D165" s="382" t="s">
        <v>148</v>
      </c>
      <c r="E165" s="447">
        <f t="shared" si="107"/>
        <v>1029.9971921732408</v>
      </c>
      <c r="F165" s="448">
        <f t="shared" si="107"/>
        <v>899.44463611239769</v>
      </c>
      <c r="G165" s="449">
        <f t="shared" si="107"/>
        <v>827.22378911171256</v>
      </c>
      <c r="H165" s="449">
        <f t="shared" si="107"/>
        <v>790.77607542604699</v>
      </c>
      <c r="I165" s="682">
        <f t="shared" ref="I165" si="109">I158+273.15</f>
        <v>768.48801642655144</v>
      </c>
      <c r="J165" s="34"/>
      <c r="K165" s="34"/>
      <c r="L165" s="19"/>
      <c r="M165" s="22"/>
      <c r="N165" s="22"/>
      <c r="O165" s="22"/>
      <c r="P165" s="22"/>
      <c r="Q165" s="22"/>
      <c r="R165" s="22"/>
      <c r="S165" s="22"/>
      <c r="T165" s="22"/>
      <c r="U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19"/>
      <c r="BG165" s="19"/>
      <c r="BH165" s="19"/>
      <c r="BI165" s="19"/>
      <c r="BJ165" s="19"/>
      <c r="BK165" s="19"/>
      <c r="BL165" s="19"/>
      <c r="BM165" s="19"/>
      <c r="BN165" s="19"/>
      <c r="BO165" s="19"/>
      <c r="BP165" s="19"/>
      <c r="BQ165" s="19"/>
      <c r="BR165" s="19"/>
      <c r="BS165" s="19"/>
      <c r="BT165" s="19"/>
      <c r="BU165" s="19"/>
      <c r="BV165" s="19"/>
      <c r="BW165" s="19"/>
      <c r="BX165" s="19"/>
      <c r="BY165" s="19"/>
      <c r="BZ165" s="19"/>
      <c r="CA165" s="19"/>
      <c r="CB165" s="19"/>
      <c r="CC165" s="19"/>
      <c r="CD165" s="19"/>
      <c r="CE165" s="19"/>
      <c r="CF165" s="19"/>
      <c r="CG165" s="19"/>
      <c r="CH165" s="19"/>
      <c r="CI165" s="19"/>
      <c r="CJ165" s="19"/>
      <c r="CK165" s="19"/>
      <c r="CL165" s="19"/>
      <c r="CM165" s="19"/>
      <c r="CN165" s="19"/>
      <c r="CO165" s="19"/>
      <c r="CP165" s="19"/>
      <c r="CQ165" s="19"/>
      <c r="CR165" s="19"/>
      <c r="CS165" s="19"/>
      <c r="CT165" s="19"/>
      <c r="CU165" s="19"/>
      <c r="CV165" s="19"/>
      <c r="CW165" s="19"/>
      <c r="CX165" s="19"/>
      <c r="CY165" s="19"/>
      <c r="CZ165" s="19"/>
      <c r="DA165" s="19"/>
      <c r="DB165" s="19"/>
      <c r="DC165" s="19"/>
      <c r="DD165" s="19"/>
      <c r="DE165" s="19"/>
      <c r="DF165" s="19"/>
      <c r="DG165" s="19"/>
      <c r="DH165" s="19"/>
      <c r="DI165" s="19"/>
      <c r="DJ165" s="19"/>
      <c r="DK165" s="19"/>
      <c r="DL165" s="19"/>
      <c r="DM165" s="19"/>
      <c r="DN165" s="19"/>
      <c r="DO165" s="19"/>
      <c r="DP165" s="19"/>
      <c r="DQ165" s="19"/>
      <c r="DR165" s="19"/>
      <c r="DS165" s="19"/>
      <c r="DT165" s="19"/>
      <c r="DU165" s="19"/>
      <c r="DV165" s="19"/>
      <c r="DW165" s="19"/>
      <c r="DX165" s="19"/>
      <c r="DY165" s="19"/>
      <c r="DZ165" s="19"/>
      <c r="EA165" s="19"/>
      <c r="EB165" s="19"/>
      <c r="EC165" s="19"/>
      <c r="ED165" s="19"/>
      <c r="EE165" s="19"/>
      <c r="EF165" s="19"/>
      <c r="EG165" s="19"/>
      <c r="EH165" s="19"/>
      <c r="EI165" s="19"/>
    </row>
    <row r="166" spans="1:139" x14ac:dyDescent="0.25">
      <c r="A166" s="19"/>
      <c r="B166" s="66" t="s">
        <v>241</v>
      </c>
      <c r="C166" s="68" t="s">
        <v>242</v>
      </c>
      <c r="D166" s="382" t="s">
        <v>243</v>
      </c>
      <c r="E166" s="112">
        <v>5.6699999999999998E-8</v>
      </c>
      <c r="F166" s="113">
        <v>5.6699999999999998E-8</v>
      </c>
      <c r="G166" s="113">
        <v>5.6699999999999998E-8</v>
      </c>
      <c r="H166" s="113">
        <v>5.6699999999999998E-8</v>
      </c>
      <c r="I166" s="683">
        <v>5.6699999999999998E-8</v>
      </c>
      <c r="J166" s="34"/>
      <c r="K166" s="34"/>
      <c r="L166" s="19"/>
      <c r="M166" s="22"/>
      <c r="N166" s="22"/>
      <c r="O166" s="22"/>
      <c r="P166" s="22"/>
      <c r="Q166" s="22"/>
      <c r="R166" s="22"/>
      <c r="S166" s="22"/>
      <c r="T166" s="22"/>
      <c r="U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19"/>
      <c r="BH166" s="19"/>
      <c r="BI166" s="19"/>
      <c r="BJ166" s="19"/>
      <c r="BK166" s="19"/>
      <c r="BL166" s="19"/>
      <c r="BM166" s="19"/>
      <c r="BN166" s="19"/>
      <c r="BO166" s="19"/>
      <c r="BP166" s="19"/>
      <c r="BQ166" s="19"/>
      <c r="BR166" s="19"/>
      <c r="BS166" s="19"/>
      <c r="BT166" s="19"/>
      <c r="BU166" s="19"/>
      <c r="BV166" s="19"/>
      <c r="BW166" s="19"/>
      <c r="BX166" s="19"/>
      <c r="BY166" s="19"/>
      <c r="BZ166" s="19"/>
      <c r="CA166" s="19"/>
      <c r="CB166" s="19"/>
      <c r="CC166" s="19"/>
      <c r="CD166" s="19"/>
      <c r="CE166" s="19"/>
      <c r="CF166" s="19"/>
      <c r="CG166" s="19"/>
      <c r="CH166" s="19"/>
      <c r="CI166" s="19"/>
      <c r="CJ166" s="19"/>
      <c r="CK166" s="19"/>
      <c r="CL166" s="19"/>
      <c r="CM166" s="19"/>
      <c r="CN166" s="19"/>
      <c r="CO166" s="19"/>
      <c r="CP166" s="19"/>
      <c r="CQ166" s="19"/>
      <c r="CR166" s="19"/>
      <c r="CS166" s="19"/>
      <c r="CT166" s="19"/>
      <c r="CU166" s="19"/>
      <c r="CV166" s="19"/>
      <c r="CW166" s="19"/>
      <c r="CX166" s="19"/>
      <c r="CY166" s="19"/>
      <c r="CZ166" s="19"/>
      <c r="DA166" s="19"/>
      <c r="DB166" s="19"/>
      <c r="DC166" s="19"/>
      <c r="DD166" s="19"/>
      <c r="DE166" s="19"/>
      <c r="DF166" s="19"/>
      <c r="DG166" s="19"/>
      <c r="DH166" s="19"/>
      <c r="DI166" s="19"/>
      <c r="DJ166" s="19"/>
      <c r="DK166" s="19"/>
      <c r="DL166" s="19"/>
      <c r="DM166" s="19"/>
      <c r="DN166" s="19"/>
      <c r="DO166" s="19"/>
      <c r="DP166" s="19"/>
      <c r="DQ166" s="19"/>
      <c r="DR166" s="19"/>
      <c r="DS166" s="19"/>
      <c r="DT166" s="19"/>
      <c r="DU166" s="19"/>
      <c r="DV166" s="19"/>
      <c r="DW166" s="19"/>
      <c r="DX166" s="19"/>
      <c r="DY166" s="19"/>
      <c r="DZ166" s="19"/>
      <c r="EA166" s="19"/>
      <c r="EB166" s="19"/>
      <c r="EC166" s="19"/>
      <c r="ED166" s="19"/>
      <c r="EE166" s="19"/>
      <c r="EF166" s="19"/>
      <c r="EG166" s="19"/>
      <c r="EH166" s="19"/>
      <c r="EI166" s="19"/>
    </row>
    <row r="167" spans="1:139" x14ac:dyDescent="0.25">
      <c r="A167" s="19"/>
      <c r="B167" s="66" t="s">
        <v>244</v>
      </c>
      <c r="C167" s="67" t="s">
        <v>245</v>
      </c>
      <c r="D167" s="382" t="s">
        <v>120</v>
      </c>
      <c r="E167" s="207">
        <v>0.11940000000000001</v>
      </c>
      <c r="F167" s="314">
        <v>0.12609999999999999</v>
      </c>
      <c r="G167" s="147">
        <v>0.14699999999999999</v>
      </c>
      <c r="H167" s="147">
        <v>0.153</v>
      </c>
      <c r="I167" s="148">
        <v>0.153</v>
      </c>
      <c r="J167" s="34"/>
      <c r="K167" s="34"/>
      <c r="L167" s="19"/>
      <c r="M167" s="22"/>
      <c r="N167" s="22"/>
      <c r="O167" s="22"/>
      <c r="P167" s="22"/>
      <c r="Q167" s="22"/>
      <c r="R167" s="22"/>
      <c r="S167" s="22"/>
      <c r="T167" s="22"/>
      <c r="U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19"/>
      <c r="BH167" s="19"/>
      <c r="BI167" s="19"/>
      <c r="BJ167" s="19"/>
      <c r="BK167" s="19"/>
      <c r="BL167" s="19"/>
      <c r="BM167" s="19"/>
      <c r="BN167" s="19"/>
      <c r="BO167" s="19"/>
      <c r="BP167" s="19"/>
      <c r="BQ167" s="19"/>
      <c r="BR167" s="19"/>
      <c r="BS167" s="19"/>
      <c r="BT167" s="19"/>
      <c r="BU167" s="19"/>
      <c r="BV167" s="19"/>
      <c r="BW167" s="19"/>
      <c r="BX167" s="19"/>
      <c r="BY167" s="19"/>
      <c r="BZ167" s="19"/>
      <c r="CA167" s="19"/>
      <c r="CB167" s="19"/>
      <c r="CC167" s="19"/>
      <c r="CD167" s="19"/>
      <c r="CE167" s="19"/>
      <c r="CF167" s="19"/>
      <c r="CG167" s="19"/>
      <c r="CH167" s="19"/>
      <c r="CI167" s="19"/>
      <c r="CJ167" s="19"/>
      <c r="CK167" s="19"/>
      <c r="CL167" s="19"/>
      <c r="CM167" s="19"/>
      <c r="CN167" s="19"/>
      <c r="CO167" s="19"/>
      <c r="CP167" s="19"/>
      <c r="CQ167" s="19"/>
      <c r="CR167" s="19"/>
      <c r="CS167" s="19"/>
      <c r="CT167" s="19"/>
      <c r="CU167" s="19"/>
      <c r="CV167" s="19"/>
      <c r="CW167" s="19"/>
      <c r="CX167" s="19"/>
      <c r="CY167" s="19"/>
      <c r="CZ167" s="19"/>
      <c r="DA167" s="19"/>
      <c r="DB167" s="19"/>
      <c r="DC167" s="19"/>
      <c r="DD167" s="19"/>
      <c r="DE167" s="19"/>
      <c r="DF167" s="19"/>
      <c r="DG167" s="19"/>
      <c r="DH167" s="19"/>
      <c r="DI167" s="19"/>
      <c r="DJ167" s="19"/>
      <c r="DK167" s="19"/>
      <c r="DL167" s="19"/>
      <c r="DM167" s="19"/>
      <c r="DN167" s="19"/>
      <c r="DO167" s="19"/>
      <c r="DP167" s="19"/>
      <c r="DQ167" s="19"/>
      <c r="DR167" s="19"/>
      <c r="DS167" s="19"/>
      <c r="DT167" s="19"/>
      <c r="DU167" s="19"/>
      <c r="DV167" s="19"/>
      <c r="DW167" s="19"/>
      <c r="DX167" s="19"/>
      <c r="DY167" s="19"/>
      <c r="DZ167" s="19"/>
      <c r="EA167" s="19"/>
      <c r="EB167" s="19"/>
      <c r="EC167" s="19"/>
      <c r="ED167" s="19"/>
      <c r="EE167" s="19"/>
      <c r="EF167" s="19"/>
      <c r="EG167" s="19"/>
      <c r="EH167" s="19"/>
      <c r="EI167" s="19"/>
    </row>
    <row r="168" spans="1:139" x14ac:dyDescent="0.25">
      <c r="A168" s="19"/>
      <c r="B168" s="66" t="s">
        <v>246</v>
      </c>
      <c r="C168" s="67" t="s">
        <v>247</v>
      </c>
      <c r="D168" s="382" t="s">
        <v>120</v>
      </c>
      <c r="E168" s="207">
        <v>0.4</v>
      </c>
      <c r="F168" s="147">
        <v>0.4</v>
      </c>
      <c r="G168" s="147">
        <v>0.4</v>
      </c>
      <c r="H168" s="147">
        <v>0.4</v>
      </c>
      <c r="I168" s="148">
        <v>0.4</v>
      </c>
      <c r="J168" s="34"/>
      <c r="K168" s="34"/>
      <c r="L168" s="19"/>
      <c r="M168" s="22"/>
      <c r="N168" s="22"/>
      <c r="O168" s="22"/>
      <c r="P168" s="22"/>
      <c r="Q168" s="22"/>
      <c r="R168" s="22"/>
      <c r="S168" s="22"/>
      <c r="T168" s="22"/>
      <c r="U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19"/>
      <c r="BH168" s="19"/>
      <c r="BI168" s="19"/>
      <c r="BJ168" s="19"/>
      <c r="BK168" s="19"/>
      <c r="BL168" s="19"/>
      <c r="BM168" s="19"/>
      <c r="BN168" s="19"/>
      <c r="BO168" s="19"/>
      <c r="BP168" s="19"/>
      <c r="BQ168" s="19"/>
      <c r="BR168" s="19"/>
      <c r="BS168" s="19"/>
      <c r="BT168" s="19"/>
      <c r="BU168" s="19"/>
      <c r="BV168" s="19"/>
      <c r="BW168" s="19"/>
      <c r="BX168" s="19"/>
      <c r="BY168" s="19"/>
      <c r="BZ168" s="19"/>
      <c r="CA168" s="19"/>
      <c r="CB168" s="19"/>
      <c r="CC168" s="19"/>
      <c r="CD168" s="19"/>
      <c r="CE168" s="19"/>
      <c r="CF168" s="19"/>
      <c r="CG168" s="19"/>
      <c r="CH168" s="19"/>
      <c r="CI168" s="19"/>
      <c r="CJ168" s="19"/>
      <c r="CK168" s="19"/>
      <c r="CL168" s="19"/>
      <c r="CM168" s="19"/>
      <c r="CN168" s="19"/>
      <c r="CO168" s="19"/>
      <c r="CP168" s="19"/>
      <c r="CQ168" s="19"/>
      <c r="CR168" s="19"/>
      <c r="CS168" s="19"/>
      <c r="CT168" s="19"/>
      <c r="CU168" s="19"/>
      <c r="CV168" s="19"/>
      <c r="CW168" s="19"/>
      <c r="CX168" s="19"/>
      <c r="CY168" s="19"/>
      <c r="CZ168" s="19"/>
      <c r="DA168" s="19"/>
      <c r="DB168" s="19"/>
      <c r="DC168" s="19"/>
      <c r="DD168" s="19"/>
      <c r="DE168" s="19"/>
      <c r="DF168" s="19"/>
      <c r="DG168" s="19"/>
      <c r="DH168" s="19"/>
      <c r="DI168" s="19"/>
      <c r="DJ168" s="19"/>
      <c r="DK168" s="19"/>
      <c r="DL168" s="19"/>
      <c r="DM168" s="19"/>
      <c r="DN168" s="19"/>
      <c r="DO168" s="19"/>
      <c r="DP168" s="19"/>
      <c r="DQ168" s="19"/>
      <c r="DR168" s="19"/>
      <c r="DS168" s="19"/>
      <c r="DT168" s="19"/>
      <c r="DU168" s="19"/>
      <c r="DV168" s="19"/>
      <c r="DW168" s="19"/>
      <c r="DX168" s="19"/>
      <c r="DY168" s="19"/>
      <c r="DZ168" s="19"/>
      <c r="EA168" s="19"/>
      <c r="EB168" s="19"/>
      <c r="EC168" s="19"/>
      <c r="ED168" s="19"/>
      <c r="EE168" s="19"/>
      <c r="EF168" s="19"/>
      <c r="EG168" s="19"/>
      <c r="EH168" s="19"/>
      <c r="EI168" s="19"/>
    </row>
    <row r="169" spans="1:139" x14ac:dyDescent="0.25">
      <c r="A169" s="19"/>
      <c r="B169" s="66" t="s">
        <v>248</v>
      </c>
      <c r="C169" s="67" t="s">
        <v>249</v>
      </c>
      <c r="D169" s="382" t="s">
        <v>120</v>
      </c>
      <c r="E169" s="207">
        <v>0.96</v>
      </c>
      <c r="F169" s="314">
        <v>0.96</v>
      </c>
      <c r="G169" s="147">
        <v>0.96</v>
      </c>
      <c r="H169" s="147">
        <v>0.96</v>
      </c>
      <c r="I169" s="148">
        <v>0.96</v>
      </c>
      <c r="J169" s="34"/>
      <c r="K169" s="34"/>
      <c r="L169" s="19"/>
      <c r="M169" s="22"/>
      <c r="N169" s="22"/>
      <c r="O169" s="22"/>
      <c r="P169" s="22"/>
      <c r="Q169" s="22"/>
      <c r="R169" s="22"/>
      <c r="S169" s="22"/>
      <c r="T169" s="22"/>
      <c r="U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  <c r="BB169" s="19"/>
      <c r="BC169" s="19"/>
      <c r="BD169" s="19"/>
      <c r="BE169" s="19"/>
      <c r="BF169" s="19"/>
      <c r="BG169" s="19"/>
      <c r="BH169" s="19"/>
      <c r="BI169" s="19"/>
      <c r="BJ169" s="19"/>
      <c r="BK169" s="19"/>
      <c r="BL169" s="19"/>
      <c r="BM169" s="19"/>
      <c r="BN169" s="19"/>
      <c r="BO169" s="19"/>
      <c r="BP169" s="19"/>
      <c r="BQ169" s="19"/>
      <c r="BR169" s="19"/>
      <c r="BS169" s="19"/>
      <c r="BT169" s="19"/>
      <c r="BU169" s="19"/>
      <c r="BV169" s="19"/>
      <c r="BW169" s="19"/>
      <c r="BX169" s="19"/>
      <c r="BY169" s="19"/>
      <c r="BZ169" s="19"/>
      <c r="CA169" s="19"/>
      <c r="CB169" s="19"/>
      <c r="CC169" s="19"/>
      <c r="CD169" s="19"/>
      <c r="CE169" s="19"/>
      <c r="CF169" s="19"/>
      <c r="CG169" s="19"/>
      <c r="CH169" s="19"/>
      <c r="CI169" s="19"/>
      <c r="CJ169" s="19"/>
      <c r="CK169" s="19"/>
      <c r="CL169" s="19"/>
      <c r="CM169" s="19"/>
      <c r="CN169" s="19"/>
      <c r="CO169" s="19"/>
      <c r="CP169" s="19"/>
      <c r="CQ169" s="19"/>
      <c r="CR169" s="19"/>
      <c r="CS169" s="19"/>
      <c r="CT169" s="19"/>
      <c r="CU169" s="19"/>
      <c r="CV169" s="19"/>
      <c r="CW169" s="19"/>
      <c r="CX169" s="19"/>
      <c r="CY169" s="19"/>
      <c r="CZ169" s="19"/>
      <c r="DA169" s="19"/>
      <c r="DB169" s="19"/>
      <c r="DC169" s="19"/>
      <c r="DD169" s="19"/>
      <c r="DE169" s="19"/>
      <c r="DF169" s="19"/>
      <c r="DG169" s="19"/>
      <c r="DH169" s="19"/>
      <c r="DI169" s="19"/>
      <c r="DJ169" s="19"/>
      <c r="DK169" s="19"/>
      <c r="DL169" s="19"/>
      <c r="DM169" s="19"/>
      <c r="DN169" s="19"/>
      <c r="DO169" s="19"/>
      <c r="DP169" s="19"/>
      <c r="DQ169" s="19"/>
      <c r="DR169" s="19"/>
      <c r="DS169" s="19"/>
      <c r="DT169" s="19"/>
      <c r="DU169" s="19"/>
      <c r="DV169" s="19"/>
      <c r="DW169" s="19"/>
      <c r="DX169" s="19"/>
      <c r="DY169" s="19"/>
      <c r="DZ169" s="19"/>
      <c r="EA169" s="19"/>
      <c r="EB169" s="19"/>
      <c r="EC169" s="19"/>
      <c r="ED169" s="19"/>
      <c r="EE169" s="19"/>
      <c r="EF169" s="19"/>
      <c r="EG169" s="19"/>
      <c r="EH169" s="19"/>
      <c r="EI169" s="19"/>
    </row>
    <row r="170" spans="1:139" x14ac:dyDescent="0.25">
      <c r="A170" s="19"/>
      <c r="B170" s="66" t="s">
        <v>342</v>
      </c>
      <c r="C170" s="67" t="s">
        <v>115</v>
      </c>
      <c r="D170" s="382" t="s">
        <v>28</v>
      </c>
      <c r="E170" s="207">
        <f>+E64</f>
        <v>1.6479999999999999</v>
      </c>
      <c r="F170" s="147">
        <f t="shared" ref="F170:H171" si="110">+F64</f>
        <v>1.294</v>
      </c>
      <c r="G170" s="147">
        <f t="shared" si="110"/>
        <v>1.4419999999999999</v>
      </c>
      <c r="H170" s="147">
        <f t="shared" si="110"/>
        <v>0.622</v>
      </c>
      <c r="I170" s="148">
        <f t="shared" ref="I170" si="111">+I64</f>
        <v>0.65900000000000003</v>
      </c>
      <c r="J170" s="34"/>
      <c r="K170" s="34"/>
      <c r="L170" s="19"/>
      <c r="M170" s="22"/>
      <c r="N170" s="22"/>
      <c r="O170" s="22"/>
      <c r="P170" s="22"/>
      <c r="Q170" s="22"/>
      <c r="R170" s="22"/>
      <c r="S170" s="22"/>
      <c r="T170" s="22"/>
      <c r="U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19"/>
      <c r="BH170" s="19"/>
      <c r="BI170" s="19"/>
      <c r="BJ170" s="19"/>
      <c r="BK170" s="19"/>
      <c r="BL170" s="19"/>
      <c r="BM170" s="19"/>
      <c r="BN170" s="19"/>
      <c r="BO170" s="19"/>
      <c r="BP170" s="19"/>
      <c r="BQ170" s="19"/>
      <c r="BR170" s="19"/>
      <c r="BS170" s="19"/>
      <c r="BT170" s="19"/>
      <c r="BU170" s="19"/>
      <c r="BV170" s="19"/>
      <c r="BW170" s="19"/>
      <c r="BX170" s="19"/>
      <c r="BY170" s="19"/>
      <c r="BZ170" s="19"/>
      <c r="CA170" s="19"/>
      <c r="CB170" s="19"/>
      <c r="CC170" s="19"/>
      <c r="CD170" s="19"/>
      <c r="CE170" s="19"/>
      <c r="CF170" s="19"/>
      <c r="CG170" s="19"/>
      <c r="CH170" s="19"/>
      <c r="CI170" s="19"/>
      <c r="CJ170" s="19"/>
      <c r="CK170" s="19"/>
      <c r="CL170" s="19"/>
      <c r="CM170" s="19"/>
      <c r="CN170" s="19"/>
      <c r="CO170" s="19"/>
      <c r="CP170" s="19"/>
      <c r="CQ170" s="19"/>
      <c r="CR170" s="19"/>
      <c r="CS170" s="19"/>
      <c r="CT170" s="19"/>
      <c r="CU170" s="19"/>
      <c r="CV170" s="19"/>
      <c r="CW170" s="19"/>
      <c r="CX170" s="19"/>
      <c r="CY170" s="19"/>
      <c r="CZ170" s="19"/>
      <c r="DA170" s="19"/>
      <c r="DB170" s="19"/>
      <c r="DC170" s="19"/>
      <c r="DD170" s="19"/>
      <c r="DE170" s="19"/>
      <c r="DF170" s="19"/>
      <c r="DG170" s="19"/>
      <c r="DH170" s="19"/>
      <c r="DI170" s="19"/>
      <c r="DJ170" s="19"/>
      <c r="DK170" s="19"/>
      <c r="DL170" s="19"/>
      <c r="DM170" s="19"/>
      <c r="DN170" s="19"/>
      <c r="DO170" s="19"/>
      <c r="DP170" s="19"/>
      <c r="DQ170" s="19"/>
      <c r="DR170" s="19"/>
      <c r="DS170" s="19"/>
      <c r="DT170" s="19"/>
      <c r="DU170" s="19"/>
      <c r="DV170" s="19"/>
      <c r="DW170" s="19"/>
      <c r="DX170" s="19"/>
      <c r="DY170" s="19"/>
      <c r="DZ170" s="19"/>
      <c r="EA170" s="19"/>
      <c r="EB170" s="19"/>
      <c r="EC170" s="19"/>
      <c r="ED170" s="19"/>
      <c r="EE170" s="19"/>
      <c r="EF170" s="19"/>
      <c r="EG170" s="19"/>
      <c r="EH170" s="19"/>
      <c r="EI170" s="19"/>
    </row>
    <row r="171" spans="1:139" x14ac:dyDescent="0.25">
      <c r="A171" s="19"/>
      <c r="B171" s="66" t="s">
        <v>343</v>
      </c>
      <c r="C171" s="67" t="s">
        <v>116</v>
      </c>
      <c r="D171" s="382" t="s">
        <v>28</v>
      </c>
      <c r="E171" s="207">
        <f>+E65</f>
        <v>1.0529999999999999</v>
      </c>
      <c r="F171" s="147">
        <f t="shared" si="110"/>
        <v>0.96799999999999997</v>
      </c>
      <c r="G171" s="147">
        <f t="shared" si="110"/>
        <v>0.86499999999999999</v>
      </c>
      <c r="H171" s="147">
        <f t="shared" si="110"/>
        <v>0.76600000000000001</v>
      </c>
      <c r="I171" s="148">
        <f t="shared" ref="I171" si="112">+I65</f>
        <v>0.43700000000000006</v>
      </c>
      <c r="J171" s="34"/>
      <c r="K171" s="34"/>
      <c r="L171" s="19"/>
      <c r="M171" s="22"/>
      <c r="N171" s="22"/>
      <c r="O171" s="22"/>
      <c r="P171" s="22"/>
      <c r="Q171" s="22"/>
      <c r="R171" s="22"/>
      <c r="S171" s="22"/>
      <c r="T171" s="22"/>
      <c r="U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19"/>
      <c r="BH171" s="19"/>
      <c r="BI171" s="19"/>
      <c r="BJ171" s="19"/>
      <c r="BK171" s="19"/>
      <c r="BL171" s="19"/>
      <c r="BM171" s="19"/>
      <c r="BN171" s="19"/>
      <c r="BO171" s="19"/>
      <c r="BP171" s="19"/>
      <c r="BQ171" s="19"/>
      <c r="BR171" s="19"/>
      <c r="BS171" s="19"/>
      <c r="BT171" s="19"/>
      <c r="BU171" s="19"/>
      <c r="BV171" s="19"/>
      <c r="BW171" s="19"/>
      <c r="BX171" s="19"/>
      <c r="BY171" s="19"/>
      <c r="BZ171" s="19"/>
      <c r="CA171" s="19"/>
      <c r="CB171" s="19"/>
      <c r="CC171" s="19"/>
      <c r="CD171" s="19"/>
      <c r="CE171" s="19"/>
      <c r="CF171" s="19"/>
      <c r="CG171" s="19"/>
      <c r="CH171" s="19"/>
      <c r="CI171" s="19"/>
      <c r="CJ171" s="19"/>
      <c r="CK171" s="19"/>
      <c r="CL171" s="19"/>
      <c r="CM171" s="19"/>
      <c r="CN171" s="19"/>
      <c r="CO171" s="19"/>
      <c r="CP171" s="19"/>
      <c r="CQ171" s="19"/>
      <c r="CR171" s="19"/>
      <c r="CS171" s="19"/>
      <c r="CT171" s="19"/>
      <c r="CU171" s="19"/>
      <c r="CV171" s="19"/>
      <c r="CW171" s="19"/>
      <c r="CX171" s="19"/>
      <c r="CY171" s="19"/>
      <c r="CZ171" s="19"/>
      <c r="DA171" s="19"/>
      <c r="DB171" s="19"/>
      <c r="DC171" s="19"/>
      <c r="DD171" s="19"/>
      <c r="DE171" s="19"/>
      <c r="DF171" s="19"/>
      <c r="DG171" s="19"/>
      <c r="DH171" s="19"/>
      <c r="DI171" s="19"/>
      <c r="DJ171" s="19"/>
      <c r="DK171" s="19"/>
      <c r="DL171" s="19"/>
      <c r="DM171" s="19"/>
      <c r="DN171" s="19"/>
      <c r="DO171" s="19"/>
      <c r="DP171" s="19"/>
      <c r="DQ171" s="19"/>
      <c r="DR171" s="19"/>
      <c r="DS171" s="19"/>
      <c r="DT171" s="19"/>
      <c r="DU171" s="19"/>
      <c r="DV171" s="19"/>
      <c r="DW171" s="19"/>
      <c r="DX171" s="19"/>
      <c r="DY171" s="19"/>
      <c r="DZ171" s="19"/>
      <c r="EA171" s="19"/>
      <c r="EB171" s="19"/>
      <c r="EC171" s="19"/>
      <c r="ED171" s="19"/>
      <c r="EE171" s="19"/>
      <c r="EF171" s="19"/>
      <c r="EG171" s="19"/>
      <c r="EH171" s="19"/>
      <c r="EI171" s="19"/>
    </row>
    <row r="172" spans="1:139" x14ac:dyDescent="0.25">
      <c r="A172" s="19"/>
      <c r="B172" s="66" t="s">
        <v>117</v>
      </c>
      <c r="C172" s="68" t="s">
        <v>118</v>
      </c>
      <c r="D172" s="382" t="s">
        <v>28</v>
      </c>
      <c r="E172" s="207">
        <f>+E68</f>
        <v>1.2629999999999999</v>
      </c>
      <c r="F172" s="147">
        <f t="shared" ref="F172:H172" si="113">+F68</f>
        <v>1.2629999999999999</v>
      </c>
      <c r="G172" s="147">
        <f t="shared" si="113"/>
        <v>0.78500000000000003</v>
      </c>
      <c r="H172" s="147">
        <f t="shared" si="113"/>
        <v>0.55100000000000005</v>
      </c>
      <c r="I172" s="148">
        <f t="shared" ref="I172" si="114">+I68</f>
        <v>0.55100000000000005</v>
      </c>
      <c r="J172" s="34"/>
      <c r="K172" s="34"/>
      <c r="L172" s="19"/>
      <c r="M172" s="22"/>
      <c r="N172" s="22"/>
      <c r="O172" s="22"/>
      <c r="P172" s="22"/>
      <c r="Q172" s="22"/>
      <c r="R172" s="22"/>
      <c r="S172" s="22"/>
      <c r="T172" s="22"/>
      <c r="U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19"/>
      <c r="BH172" s="19"/>
      <c r="BI172" s="19"/>
      <c r="BJ172" s="19"/>
      <c r="BK172" s="19"/>
      <c r="BL172" s="19"/>
      <c r="BM172" s="19"/>
      <c r="BN172" s="19"/>
      <c r="BO172" s="19"/>
      <c r="BP172" s="19"/>
      <c r="BQ172" s="19"/>
      <c r="BR172" s="19"/>
      <c r="BS172" s="19"/>
      <c r="BT172" s="19"/>
      <c r="BU172" s="19"/>
      <c r="BV172" s="19"/>
      <c r="BW172" s="19"/>
      <c r="BX172" s="19"/>
      <c r="BY172" s="19"/>
      <c r="BZ172" s="19"/>
      <c r="CA172" s="19"/>
      <c r="CB172" s="19"/>
      <c r="CC172" s="19"/>
      <c r="CD172" s="19"/>
      <c r="CE172" s="19"/>
      <c r="CF172" s="19"/>
      <c r="CG172" s="19"/>
      <c r="CH172" s="19"/>
      <c r="CI172" s="19"/>
      <c r="CJ172" s="19"/>
      <c r="CK172" s="19"/>
      <c r="CL172" s="19"/>
      <c r="CM172" s="19"/>
      <c r="CN172" s="19"/>
      <c r="CO172" s="19"/>
      <c r="CP172" s="19"/>
      <c r="CQ172" s="19"/>
      <c r="CR172" s="19"/>
      <c r="CS172" s="19"/>
      <c r="CT172" s="19"/>
      <c r="CU172" s="19"/>
      <c r="CV172" s="19"/>
      <c r="CW172" s="19"/>
      <c r="CX172" s="19"/>
      <c r="CY172" s="19"/>
      <c r="CZ172" s="19"/>
      <c r="DA172" s="19"/>
      <c r="DB172" s="19"/>
      <c r="DC172" s="19"/>
      <c r="DD172" s="19"/>
      <c r="DE172" s="19"/>
      <c r="DF172" s="19"/>
      <c r="DG172" s="19"/>
      <c r="DH172" s="19"/>
      <c r="DI172" s="19"/>
      <c r="DJ172" s="19"/>
      <c r="DK172" s="19"/>
      <c r="DL172" s="19"/>
      <c r="DM172" s="19"/>
      <c r="DN172" s="19"/>
      <c r="DO172" s="19"/>
      <c r="DP172" s="19"/>
      <c r="DQ172" s="19"/>
      <c r="DR172" s="19"/>
      <c r="DS172" s="19"/>
      <c r="DT172" s="19"/>
      <c r="DU172" s="19"/>
      <c r="DV172" s="19"/>
      <c r="DW172" s="19"/>
      <c r="DX172" s="19"/>
      <c r="DY172" s="19"/>
      <c r="DZ172" s="19"/>
      <c r="EA172" s="19"/>
      <c r="EB172" s="19"/>
      <c r="EC172" s="19"/>
      <c r="ED172" s="19"/>
      <c r="EE172" s="19"/>
      <c r="EF172" s="19"/>
      <c r="EG172" s="19"/>
      <c r="EH172" s="19"/>
      <c r="EI172" s="19"/>
    </row>
    <row r="173" spans="1:139" x14ac:dyDescent="0.25">
      <c r="A173" s="19"/>
      <c r="B173" s="66" t="s">
        <v>250</v>
      </c>
      <c r="C173" s="67" t="s">
        <v>251</v>
      </c>
      <c r="D173" s="382" t="s">
        <v>43</v>
      </c>
      <c r="E173" s="207">
        <v>0.4</v>
      </c>
      <c r="F173" s="147">
        <v>0.4</v>
      </c>
      <c r="G173" s="147">
        <v>0.4</v>
      </c>
      <c r="H173" s="147">
        <v>0.4</v>
      </c>
      <c r="I173" s="148">
        <v>0.4</v>
      </c>
      <c r="J173" s="34"/>
      <c r="K173" s="34"/>
      <c r="L173" s="19"/>
      <c r="M173" s="22"/>
      <c r="N173" s="22"/>
      <c r="O173" s="22"/>
      <c r="P173" s="22"/>
      <c r="Q173" s="22"/>
      <c r="R173" s="22"/>
      <c r="S173" s="22"/>
      <c r="T173" s="22"/>
      <c r="U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19"/>
      <c r="BH173" s="19"/>
      <c r="BI173" s="19"/>
      <c r="BJ173" s="19"/>
      <c r="BK173" s="19"/>
      <c r="BL173" s="19"/>
      <c r="BM173" s="19"/>
      <c r="BN173" s="19"/>
      <c r="BO173" s="19"/>
      <c r="BP173" s="19"/>
      <c r="BQ173" s="19"/>
      <c r="BR173" s="19"/>
      <c r="BS173" s="19"/>
      <c r="BT173" s="19"/>
      <c r="BU173" s="19"/>
      <c r="BV173" s="19"/>
      <c r="BW173" s="19"/>
      <c r="BX173" s="19"/>
      <c r="BY173" s="19"/>
      <c r="BZ173" s="19"/>
      <c r="CA173" s="19"/>
      <c r="CB173" s="19"/>
      <c r="CC173" s="19"/>
      <c r="CD173" s="19"/>
      <c r="CE173" s="19"/>
      <c r="CF173" s="19"/>
      <c r="CG173" s="19"/>
      <c r="CH173" s="19"/>
      <c r="CI173" s="19"/>
      <c r="CJ173" s="19"/>
      <c r="CK173" s="19"/>
      <c r="CL173" s="19"/>
      <c r="CM173" s="19"/>
      <c r="CN173" s="19"/>
      <c r="CO173" s="19"/>
      <c r="CP173" s="19"/>
      <c r="CQ173" s="19"/>
      <c r="CR173" s="19"/>
      <c r="CS173" s="19"/>
      <c r="CT173" s="19"/>
      <c r="CU173" s="19"/>
      <c r="CV173" s="19"/>
      <c r="CW173" s="19"/>
      <c r="CX173" s="19"/>
      <c r="CY173" s="19"/>
      <c r="CZ173" s="19"/>
      <c r="DA173" s="19"/>
      <c r="DB173" s="19"/>
      <c r="DC173" s="19"/>
      <c r="DD173" s="19"/>
      <c r="DE173" s="19"/>
      <c r="DF173" s="19"/>
      <c r="DG173" s="19"/>
      <c r="DH173" s="19"/>
      <c r="DI173" s="19"/>
      <c r="DJ173" s="19"/>
      <c r="DK173" s="19"/>
      <c r="DL173" s="19"/>
      <c r="DM173" s="19"/>
      <c r="DN173" s="19"/>
      <c r="DO173" s="19"/>
      <c r="DP173" s="19"/>
      <c r="DQ173" s="19"/>
      <c r="DR173" s="19"/>
      <c r="DS173" s="19"/>
      <c r="DT173" s="19"/>
      <c r="DU173" s="19"/>
      <c r="DV173" s="19"/>
      <c r="DW173" s="19"/>
      <c r="DX173" s="19"/>
      <c r="DY173" s="19"/>
      <c r="DZ173" s="19"/>
      <c r="EA173" s="19"/>
      <c r="EB173" s="19"/>
      <c r="EC173" s="19"/>
      <c r="ED173" s="19"/>
      <c r="EE173" s="19"/>
      <c r="EF173" s="19"/>
      <c r="EG173" s="19"/>
      <c r="EH173" s="19"/>
      <c r="EI173" s="19"/>
    </row>
    <row r="174" spans="1:139" x14ac:dyDescent="0.25">
      <c r="A174" s="19"/>
      <c r="B174" s="66" t="s">
        <v>252</v>
      </c>
      <c r="C174" s="67" t="s">
        <v>253</v>
      </c>
      <c r="D174" s="382" t="s">
        <v>43</v>
      </c>
      <c r="E174" s="207">
        <v>0.2</v>
      </c>
      <c r="F174" s="147">
        <v>0.2</v>
      </c>
      <c r="G174" s="147">
        <v>0.2</v>
      </c>
      <c r="H174" s="147">
        <v>0.2</v>
      </c>
      <c r="I174" s="148">
        <v>0.2</v>
      </c>
      <c r="J174" s="34"/>
      <c r="K174" s="34"/>
      <c r="L174" s="19"/>
      <c r="M174" s="19"/>
      <c r="N174" s="19"/>
      <c r="O174" s="19"/>
      <c r="P174" s="19"/>
      <c r="Q174" s="33"/>
      <c r="R174" s="19"/>
      <c r="S174" s="19"/>
      <c r="T174" s="19"/>
      <c r="U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19"/>
      <c r="BH174" s="19"/>
      <c r="BI174" s="19"/>
      <c r="BJ174" s="19"/>
      <c r="BK174" s="19"/>
      <c r="BL174" s="19"/>
      <c r="BM174" s="19"/>
      <c r="BN174" s="19"/>
      <c r="BO174" s="19"/>
      <c r="BP174" s="19"/>
      <c r="BQ174" s="19"/>
      <c r="BR174" s="19"/>
      <c r="BS174" s="19"/>
      <c r="BT174" s="19"/>
      <c r="BU174" s="19"/>
      <c r="BV174" s="19"/>
      <c r="BW174" s="19"/>
      <c r="BX174" s="19"/>
      <c r="BY174" s="19"/>
      <c r="BZ174" s="19"/>
      <c r="CA174" s="19"/>
      <c r="CB174" s="19"/>
      <c r="CC174" s="19"/>
      <c r="CD174" s="19"/>
      <c r="CE174" s="19"/>
      <c r="CF174" s="19"/>
      <c r="CG174" s="19"/>
      <c r="CH174" s="19"/>
      <c r="CI174" s="19"/>
      <c r="CJ174" s="19"/>
      <c r="CK174" s="19"/>
      <c r="CL174" s="19"/>
      <c r="CM174" s="19"/>
      <c r="CN174" s="19"/>
      <c r="CO174" s="19"/>
      <c r="CP174" s="19"/>
      <c r="CQ174" s="19"/>
      <c r="CR174" s="19"/>
      <c r="CS174" s="19"/>
      <c r="CT174" s="19"/>
      <c r="CU174" s="19"/>
      <c r="CV174" s="19"/>
      <c r="CW174" s="19"/>
      <c r="CX174" s="19"/>
      <c r="CY174" s="19"/>
      <c r="CZ174" s="19"/>
      <c r="DA174" s="19"/>
      <c r="DB174" s="19"/>
      <c r="DC174" s="19"/>
      <c r="DD174" s="19"/>
      <c r="DE174" s="19"/>
      <c r="DF174" s="19"/>
      <c r="DG174" s="19"/>
      <c r="DH174" s="19"/>
      <c r="DI174" s="19"/>
      <c r="DJ174" s="19"/>
      <c r="DK174" s="19"/>
      <c r="DL174" s="19"/>
      <c r="DM174" s="19"/>
      <c r="DN174" s="19"/>
      <c r="DO174" s="19"/>
      <c r="DP174" s="19"/>
      <c r="DQ174" s="19"/>
      <c r="DR174" s="19"/>
      <c r="DS174" s="19"/>
      <c r="DT174" s="19"/>
      <c r="DU174" s="19"/>
      <c r="DV174" s="19"/>
      <c r="DW174" s="19"/>
      <c r="DX174" s="19"/>
      <c r="DY174" s="19"/>
      <c r="DZ174" s="19"/>
      <c r="EA174" s="19"/>
      <c r="EB174" s="19"/>
      <c r="EC174" s="19"/>
      <c r="ED174" s="19"/>
      <c r="EE174" s="19"/>
      <c r="EF174" s="19"/>
      <c r="EG174" s="19"/>
      <c r="EH174" s="19"/>
      <c r="EI174" s="19"/>
    </row>
    <row r="175" spans="1:139" x14ac:dyDescent="0.25">
      <c r="A175" s="19"/>
      <c r="B175" s="114" t="s">
        <v>254</v>
      </c>
      <c r="C175" s="79" t="s">
        <v>255</v>
      </c>
      <c r="D175" s="80" t="s">
        <v>19</v>
      </c>
      <c r="E175" s="476">
        <f>2*(E166*(E164^4-E163^4)/((1-E168)/(E172*E168)+1/(E172*E173)+(1-E169)/(E170/E169)))/1000</f>
        <v>52.471386635164322</v>
      </c>
      <c r="F175" s="272">
        <f t="shared" ref="F175:H175" si="115">2*(F166*(F164^4-F163^4)/((1-F168)/(F172*F168)+1/(F172*F173)+(1-F169)/(F170/F169)))/1000</f>
        <v>26.551433565172353</v>
      </c>
      <c r="G175" s="272">
        <f t="shared" si="115"/>
        <v>10.543652227296528</v>
      </c>
      <c r="H175" s="272">
        <f t="shared" si="115"/>
        <v>5.3398828938654415</v>
      </c>
      <c r="I175" s="684">
        <f t="shared" ref="I175" si="116">2*(I166*(I164^4-I163^4)/((1-I168)/(I172*I168)+1/(I172*I173)+(1-I169)/(I170/I169)))/1000</f>
        <v>2.6081747449300186</v>
      </c>
      <c r="J175" s="34"/>
      <c r="K175" s="34"/>
      <c r="L175" s="19"/>
      <c r="M175" s="19"/>
      <c r="N175" s="19"/>
      <c r="O175" s="19"/>
      <c r="P175" s="19"/>
      <c r="Q175" s="33"/>
      <c r="R175" s="19"/>
      <c r="S175" s="19"/>
      <c r="T175" s="19"/>
      <c r="U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B175" s="19"/>
      <c r="BC175" s="19"/>
      <c r="BD175" s="19"/>
      <c r="BE175" s="19"/>
      <c r="BF175" s="19"/>
      <c r="BG175" s="19"/>
      <c r="BH175" s="19"/>
      <c r="BI175" s="19"/>
      <c r="BJ175" s="19"/>
      <c r="BK175" s="19"/>
      <c r="BL175" s="19"/>
      <c r="BM175" s="19"/>
      <c r="BN175" s="19"/>
      <c r="BO175" s="19"/>
      <c r="BP175" s="19"/>
      <c r="BQ175" s="19"/>
      <c r="BR175" s="19"/>
      <c r="BS175" s="19"/>
      <c r="BT175" s="19"/>
      <c r="BU175" s="19"/>
      <c r="BV175" s="19"/>
      <c r="BW175" s="19"/>
      <c r="BX175" s="19"/>
      <c r="BY175" s="19"/>
      <c r="BZ175" s="19"/>
      <c r="CA175" s="19"/>
      <c r="CB175" s="19"/>
      <c r="CC175" s="19"/>
      <c r="CD175" s="19"/>
      <c r="CE175" s="19"/>
      <c r="CF175" s="19"/>
      <c r="CG175" s="19"/>
      <c r="CH175" s="19"/>
      <c r="CI175" s="19"/>
      <c r="CJ175" s="19"/>
      <c r="CK175" s="19"/>
      <c r="CL175" s="19"/>
      <c r="CM175" s="19"/>
      <c r="CN175" s="19"/>
      <c r="CO175" s="19"/>
      <c r="CP175" s="19"/>
      <c r="CQ175" s="19"/>
      <c r="CR175" s="19"/>
      <c r="CS175" s="19"/>
      <c r="CT175" s="19"/>
      <c r="CU175" s="19"/>
      <c r="CV175" s="19"/>
      <c r="CW175" s="19"/>
      <c r="CX175" s="19"/>
      <c r="CY175" s="19"/>
      <c r="CZ175" s="19"/>
      <c r="DA175" s="19"/>
      <c r="DB175" s="19"/>
      <c r="DC175" s="19"/>
      <c r="DD175" s="19"/>
      <c r="DE175" s="19"/>
      <c r="DF175" s="19"/>
      <c r="DG175" s="19"/>
      <c r="DH175" s="19"/>
      <c r="DI175" s="19"/>
      <c r="DJ175" s="19"/>
      <c r="DK175" s="19"/>
      <c r="DL175" s="19"/>
      <c r="DM175" s="19"/>
      <c r="DN175" s="19"/>
      <c r="DO175" s="19"/>
      <c r="DP175" s="19"/>
      <c r="DQ175" s="19"/>
      <c r="DR175" s="19"/>
      <c r="DS175" s="19"/>
      <c r="DT175" s="19"/>
      <c r="DU175" s="19"/>
      <c r="DV175" s="19"/>
      <c r="DW175" s="19"/>
      <c r="DX175" s="19"/>
      <c r="DY175" s="19"/>
      <c r="DZ175" s="19"/>
      <c r="EA175" s="19"/>
      <c r="EB175" s="19"/>
      <c r="EC175" s="19"/>
      <c r="ED175" s="19"/>
      <c r="EE175" s="19"/>
      <c r="EF175" s="19"/>
      <c r="EG175" s="19"/>
      <c r="EH175" s="19"/>
      <c r="EI175" s="19"/>
    </row>
    <row r="176" spans="1:139" x14ac:dyDescent="0.25">
      <c r="A176" s="19"/>
      <c r="B176" s="114" t="s">
        <v>256</v>
      </c>
      <c r="C176" s="79" t="s">
        <v>257</v>
      </c>
      <c r="D176" s="80" t="s">
        <v>19</v>
      </c>
      <c r="E176" s="476">
        <f>(E166*(E165^4-E163^4)/((1-E168)/(E172*E168)+1/(E172*E174)+(1-E169)/(E171/E169)))/1000</f>
        <v>11.895398911486389</v>
      </c>
      <c r="F176" s="272">
        <f t="shared" ref="F176:H176" si="117">(F166*(F165^4-F163^4)/((1-F168)/(F172*F168)+1/(F172*F174)+(1-F169)/(F171/F169)))/1000</f>
        <v>6.8351022144931832</v>
      </c>
      <c r="G176" s="272">
        <f t="shared" si="117"/>
        <v>2.9615632524683648</v>
      </c>
      <c r="H176" s="272">
        <f t="shared" si="117"/>
        <v>1.5862684634329487</v>
      </c>
      <c r="I176" s="684">
        <f t="shared" ref="I176" si="118">(I166*(I165^4-I163^4)/((1-I168)/(I172*I168)+1/(I172*I174)+(1-I169)/(I171/I169)))/1000</f>
        <v>0.80404075039975242</v>
      </c>
      <c r="J176" s="34"/>
      <c r="K176" s="34"/>
      <c r="L176" s="19"/>
      <c r="M176" s="19"/>
      <c r="N176" s="19"/>
      <c r="O176" s="19"/>
      <c r="P176" s="19"/>
      <c r="Q176" s="33"/>
      <c r="R176" s="19"/>
      <c r="S176" s="19"/>
      <c r="T176" s="19"/>
      <c r="U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19"/>
      <c r="BH176" s="19"/>
      <c r="BI176" s="19"/>
      <c r="BJ176" s="19"/>
      <c r="BK176" s="19"/>
      <c r="BL176" s="19"/>
      <c r="BM176" s="19"/>
      <c r="BN176" s="19"/>
      <c r="BO176" s="19"/>
      <c r="BP176" s="19"/>
      <c r="BQ176" s="19"/>
      <c r="BR176" s="19"/>
      <c r="BS176" s="19"/>
      <c r="BT176" s="19"/>
      <c r="BU176" s="19"/>
      <c r="BV176" s="19"/>
      <c r="BW176" s="19"/>
      <c r="BX176" s="19"/>
      <c r="BY176" s="19"/>
      <c r="BZ176" s="19"/>
      <c r="CA176" s="19"/>
      <c r="CB176" s="19"/>
      <c r="CC176" s="19"/>
      <c r="CD176" s="19"/>
      <c r="CE176" s="19"/>
      <c r="CF176" s="19"/>
      <c r="CG176" s="19"/>
      <c r="CH176" s="19"/>
      <c r="CI176" s="19"/>
      <c r="CJ176" s="19"/>
      <c r="CK176" s="19"/>
      <c r="CL176" s="19"/>
      <c r="CM176" s="19"/>
      <c r="CN176" s="19"/>
      <c r="CO176" s="19"/>
      <c r="CP176" s="19"/>
      <c r="CQ176" s="19"/>
      <c r="CR176" s="19"/>
      <c r="CS176" s="19"/>
      <c r="CT176" s="19"/>
      <c r="CU176" s="19"/>
      <c r="CV176" s="19"/>
      <c r="CW176" s="19"/>
      <c r="CX176" s="19"/>
      <c r="CY176" s="19"/>
      <c r="CZ176" s="19"/>
      <c r="DA176" s="19"/>
      <c r="DB176" s="19"/>
      <c r="DC176" s="19"/>
      <c r="DD176" s="19"/>
      <c r="DE176" s="19"/>
      <c r="DF176" s="19"/>
      <c r="DG176" s="19"/>
      <c r="DH176" s="19"/>
      <c r="DI176" s="19"/>
      <c r="DJ176" s="19"/>
      <c r="DK176" s="19"/>
      <c r="DL176" s="19"/>
      <c r="DM176" s="19"/>
      <c r="DN176" s="19"/>
      <c r="DO176" s="19"/>
      <c r="DP176" s="19"/>
      <c r="DQ176" s="19"/>
      <c r="DR176" s="19"/>
      <c r="DS176" s="19"/>
      <c r="DT176" s="19"/>
      <c r="DU176" s="19"/>
      <c r="DV176" s="19"/>
      <c r="DW176" s="19"/>
      <c r="DX176" s="19"/>
      <c r="DY176" s="19"/>
      <c r="DZ176" s="19"/>
      <c r="EA176" s="19"/>
      <c r="EB176" s="19"/>
      <c r="EC176" s="19"/>
      <c r="ED176" s="19"/>
      <c r="EE176" s="19"/>
      <c r="EF176" s="19"/>
      <c r="EG176" s="19"/>
      <c r="EH176" s="19"/>
      <c r="EI176" s="19"/>
    </row>
    <row r="177" spans="1:139" x14ac:dyDescent="0.25">
      <c r="A177" s="19"/>
      <c r="B177" s="114" t="s">
        <v>258</v>
      </c>
      <c r="C177" s="79" t="s">
        <v>259</v>
      </c>
      <c r="D177" s="80" t="s">
        <v>19</v>
      </c>
      <c r="E177" s="207">
        <f>((E166*E172*E168*E167*(E162^4-E163^4))/(1-(1-E168)*(1-E167)))/1000</f>
        <v>23.223338275360152</v>
      </c>
      <c r="F177" s="314">
        <f t="shared" ref="F177:H177" si="119">((F166*F172*F168*F167*(F162^4-F163^4))/(1-(1-F168)*(1-F167)))/1000</f>
        <v>14.323860927087074</v>
      </c>
      <c r="G177" s="147">
        <f>((G166*G172*G168*G167*(G162^4-G163^4))/(1-(1-G168)*(1-G167)))/1000</f>
        <v>7.2508039707734442</v>
      </c>
      <c r="H177" s="147">
        <f t="shared" si="119"/>
        <v>4.2970481422983973</v>
      </c>
      <c r="I177" s="148">
        <f t="shared" ref="I177" si="120">((I166*I172*I168*I167*(I162^4-I163^4))/(1-(1-I168)*(1-I167)))/1000</f>
        <v>3.3557412738800076</v>
      </c>
      <c r="J177" s="34"/>
      <c r="K177" s="34"/>
      <c r="L177" s="19"/>
      <c r="M177" s="19"/>
      <c r="N177" s="19"/>
      <c r="O177" s="19"/>
      <c r="P177" s="19"/>
      <c r="Q177" s="33"/>
      <c r="R177" s="19"/>
      <c r="S177" s="19"/>
      <c r="T177" s="19"/>
      <c r="U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  <c r="BB177" s="19"/>
      <c r="BC177" s="19"/>
      <c r="BD177" s="19"/>
      <c r="BE177" s="19"/>
      <c r="BF177" s="19"/>
      <c r="BG177" s="19"/>
      <c r="BH177" s="19"/>
      <c r="BI177" s="19"/>
      <c r="BJ177" s="19"/>
      <c r="BK177" s="19"/>
      <c r="BL177" s="19"/>
      <c r="BM177" s="19"/>
      <c r="BN177" s="19"/>
      <c r="BO177" s="19"/>
      <c r="BP177" s="19"/>
      <c r="BQ177" s="19"/>
      <c r="BR177" s="19"/>
      <c r="BS177" s="19"/>
      <c r="BT177" s="19"/>
      <c r="BU177" s="19"/>
      <c r="BV177" s="19"/>
      <c r="BW177" s="19"/>
      <c r="BX177" s="19"/>
      <c r="BY177" s="19"/>
      <c r="BZ177" s="19"/>
      <c r="CA177" s="19"/>
      <c r="CB177" s="19"/>
      <c r="CC177" s="19"/>
      <c r="CD177" s="19"/>
      <c r="CE177" s="19"/>
      <c r="CF177" s="19"/>
      <c r="CG177" s="19"/>
      <c r="CH177" s="19"/>
      <c r="CI177" s="19"/>
      <c r="CJ177" s="19"/>
      <c r="CK177" s="19"/>
      <c r="CL177" s="19"/>
      <c r="CM177" s="19"/>
      <c r="CN177" s="19"/>
      <c r="CO177" s="19"/>
      <c r="CP177" s="19"/>
      <c r="CQ177" s="19"/>
      <c r="CR177" s="19"/>
      <c r="CS177" s="19"/>
      <c r="CT177" s="19"/>
      <c r="CU177" s="19"/>
      <c r="CV177" s="19"/>
      <c r="CW177" s="19"/>
      <c r="CX177" s="19"/>
      <c r="CY177" s="19"/>
      <c r="CZ177" s="19"/>
      <c r="DA177" s="19"/>
      <c r="DB177" s="19"/>
      <c r="DC177" s="19"/>
      <c r="DD177" s="19"/>
      <c r="DE177" s="19"/>
      <c r="DF177" s="19"/>
      <c r="DG177" s="19"/>
      <c r="DH177" s="19"/>
      <c r="DI177" s="19"/>
      <c r="DJ177" s="19"/>
      <c r="DK177" s="19"/>
      <c r="DL177" s="19"/>
      <c r="DM177" s="19"/>
      <c r="DN177" s="19"/>
      <c r="DO177" s="19"/>
      <c r="DP177" s="19"/>
      <c r="DQ177" s="19"/>
      <c r="DR177" s="19"/>
      <c r="DS177" s="19"/>
      <c r="DT177" s="19"/>
      <c r="DU177" s="19"/>
      <c r="DV177" s="19"/>
      <c r="DW177" s="19"/>
      <c r="DX177" s="19"/>
      <c r="DY177" s="19"/>
      <c r="DZ177" s="19"/>
      <c r="EA177" s="19"/>
      <c r="EB177" s="19"/>
      <c r="EC177" s="19"/>
      <c r="ED177" s="19"/>
      <c r="EE177" s="19"/>
      <c r="EF177" s="19"/>
      <c r="EG177" s="19"/>
      <c r="EH177" s="19"/>
      <c r="EI177" s="19"/>
    </row>
    <row r="178" spans="1:139" ht="15.75" thickBot="1" x14ac:dyDescent="0.3">
      <c r="A178" s="19"/>
      <c r="B178" s="360" t="s">
        <v>260</v>
      </c>
      <c r="C178" s="361" t="s">
        <v>261</v>
      </c>
      <c r="D178" s="94" t="s">
        <v>19</v>
      </c>
      <c r="E178" s="543">
        <f>SUM(E175:E177)</f>
        <v>87.590123822010852</v>
      </c>
      <c r="F178" s="544">
        <f t="shared" ref="F178:H178" si="121">SUM(F175:F177)</f>
        <v>47.710396706752611</v>
      </c>
      <c r="G178" s="544">
        <f t="shared" si="121"/>
        <v>20.756019450538336</v>
      </c>
      <c r="H178" s="544">
        <f t="shared" si="121"/>
        <v>11.223199499596788</v>
      </c>
      <c r="I178" s="685">
        <f t="shared" ref="I178" si="122">SUM(I175:I177)</f>
        <v>6.7679567692097784</v>
      </c>
      <c r="J178" s="34"/>
      <c r="K178" s="34"/>
      <c r="L178" s="19"/>
      <c r="M178" s="19"/>
      <c r="N178" s="19"/>
      <c r="O178" s="19"/>
      <c r="P178" s="19"/>
      <c r="Q178" s="33"/>
      <c r="R178" s="19"/>
      <c r="S178" s="19"/>
      <c r="T178" s="19"/>
      <c r="U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19"/>
      <c r="BH178" s="19"/>
      <c r="BI178" s="19"/>
      <c r="BJ178" s="19"/>
      <c r="BK178" s="19"/>
      <c r="BL178" s="19"/>
      <c r="BM178" s="19"/>
      <c r="BN178" s="19"/>
      <c r="BO178" s="19"/>
      <c r="BP178" s="19"/>
      <c r="BQ178" s="19"/>
      <c r="BR178" s="19"/>
      <c r="BS178" s="19"/>
      <c r="BT178" s="19"/>
      <c r="BU178" s="19"/>
      <c r="BV178" s="19"/>
      <c r="BW178" s="19"/>
      <c r="BX178" s="19"/>
      <c r="BY178" s="19"/>
      <c r="BZ178" s="19"/>
      <c r="CA178" s="19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  <c r="CU178" s="19"/>
      <c r="CV178" s="19"/>
      <c r="CW178" s="19"/>
      <c r="CX178" s="19"/>
      <c r="CY178" s="19"/>
      <c r="CZ178" s="19"/>
      <c r="DA178" s="19"/>
      <c r="DB178" s="19"/>
      <c r="DC178" s="19"/>
      <c r="DD178" s="19"/>
      <c r="DE178" s="19"/>
      <c r="DF178" s="19"/>
      <c r="DG178" s="19"/>
      <c r="DH178" s="19"/>
      <c r="DI178" s="19"/>
      <c r="DJ178" s="19"/>
      <c r="DK178" s="19"/>
      <c r="DL178" s="19"/>
      <c r="DM178" s="19"/>
      <c r="DN178" s="19"/>
      <c r="DO178" s="19"/>
      <c r="DP178" s="19"/>
      <c r="DQ178" s="19"/>
      <c r="DR178" s="19"/>
      <c r="DS178" s="19"/>
      <c r="DT178" s="19"/>
      <c r="DU178" s="19"/>
      <c r="DV178" s="19"/>
      <c r="DW178" s="19"/>
      <c r="DX178" s="19"/>
      <c r="DY178" s="19"/>
      <c r="DZ178" s="19"/>
      <c r="EA178" s="19"/>
      <c r="EB178" s="19"/>
      <c r="EC178" s="19"/>
      <c r="ED178" s="19"/>
      <c r="EE178" s="19"/>
      <c r="EF178" s="19"/>
      <c r="EG178" s="19"/>
      <c r="EH178" s="19"/>
      <c r="EI178" s="19"/>
    </row>
    <row r="179" spans="1:139" ht="15.75" thickBot="1" x14ac:dyDescent="0.3">
      <c r="A179" s="19"/>
      <c r="E179" s="29">
        <f>52010/1000</f>
        <v>52.01</v>
      </c>
      <c r="F179" s="541">
        <f>18687.7/1000</f>
        <v>18.6877</v>
      </c>
      <c r="G179" s="541">
        <f>51227.9/1000</f>
        <v>51.227899999999998</v>
      </c>
      <c r="H179" s="29">
        <f>38455.3/1000</f>
        <v>38.455300000000001</v>
      </c>
      <c r="I179" s="578">
        <f>38455.3/1000</f>
        <v>38.455300000000001</v>
      </c>
      <c r="J179" s="34"/>
      <c r="K179" s="34"/>
      <c r="L179" s="19"/>
      <c r="M179" s="19"/>
      <c r="N179" s="19"/>
      <c r="O179" s="19"/>
      <c r="P179" s="19"/>
      <c r="Q179" s="33"/>
      <c r="R179" s="19"/>
      <c r="S179" s="19"/>
      <c r="T179" s="19"/>
      <c r="U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19"/>
      <c r="BH179" s="19"/>
      <c r="BI179" s="19"/>
      <c r="BJ179" s="19"/>
      <c r="BK179" s="19"/>
      <c r="BL179" s="19"/>
      <c r="BM179" s="19"/>
      <c r="BN179" s="19"/>
      <c r="BO179" s="19"/>
      <c r="BP179" s="19"/>
      <c r="BQ179" s="19"/>
      <c r="BR179" s="19"/>
      <c r="BS179" s="19"/>
      <c r="BT179" s="19"/>
      <c r="BU179" s="19"/>
      <c r="BV179" s="19"/>
      <c r="BW179" s="19"/>
      <c r="BX179" s="19"/>
      <c r="BY179" s="19"/>
      <c r="BZ179" s="19"/>
      <c r="CA179" s="19"/>
      <c r="CB179" s="19"/>
      <c r="CC179" s="19"/>
      <c r="CD179" s="19"/>
      <c r="CE179" s="19"/>
      <c r="CF179" s="19"/>
      <c r="CG179" s="19"/>
      <c r="CH179" s="19"/>
      <c r="CI179" s="19"/>
      <c r="CJ179" s="19"/>
      <c r="CK179" s="19"/>
      <c r="CL179" s="19"/>
      <c r="CM179" s="19"/>
      <c r="CN179" s="19"/>
      <c r="CO179" s="19"/>
      <c r="CP179" s="19"/>
      <c r="CQ179" s="19"/>
      <c r="CR179" s="19"/>
      <c r="CS179" s="19"/>
      <c r="CT179" s="19"/>
      <c r="CU179" s="19"/>
      <c r="CV179" s="19"/>
      <c r="CW179" s="19"/>
      <c r="CX179" s="19"/>
      <c r="CY179" s="19"/>
      <c r="CZ179" s="19"/>
      <c r="DA179" s="19"/>
      <c r="DB179" s="19"/>
      <c r="DC179" s="19"/>
      <c r="DD179" s="19"/>
      <c r="DE179" s="19"/>
      <c r="DF179" s="19"/>
      <c r="DG179" s="19"/>
      <c r="DH179" s="19"/>
      <c r="DI179" s="19"/>
      <c r="DJ179" s="19"/>
      <c r="DK179" s="19"/>
      <c r="DL179" s="19"/>
      <c r="DM179" s="19"/>
      <c r="DN179" s="19"/>
      <c r="DO179" s="19"/>
      <c r="DP179" s="19"/>
      <c r="DQ179" s="19"/>
      <c r="DR179" s="19"/>
      <c r="DS179" s="19"/>
      <c r="DT179" s="19"/>
      <c r="DU179" s="19"/>
      <c r="DV179" s="19"/>
      <c r="DW179" s="19"/>
      <c r="DX179" s="19"/>
      <c r="DY179" s="19"/>
      <c r="DZ179" s="19"/>
      <c r="EA179" s="19"/>
      <c r="EB179" s="19"/>
      <c r="EC179" s="19"/>
      <c r="ED179" s="19"/>
      <c r="EE179" s="19"/>
      <c r="EF179" s="19"/>
      <c r="EG179" s="19"/>
      <c r="EH179" s="19"/>
      <c r="EI179" s="19"/>
    </row>
    <row r="180" spans="1:139" x14ac:dyDescent="0.25">
      <c r="A180" s="19"/>
      <c r="B180" s="99" t="s">
        <v>267</v>
      </c>
      <c r="C180" s="100" t="s">
        <v>68</v>
      </c>
      <c r="D180" s="422" t="s">
        <v>188</v>
      </c>
      <c r="E180" s="236">
        <f>ABS(E178+E152)</f>
        <v>94.779244223216978</v>
      </c>
      <c r="F180" s="236">
        <f t="shared" ref="F180:H180" si="123">ABS(F178+F152)</f>
        <v>54.567125922666705</v>
      </c>
      <c r="G180" s="236">
        <f t="shared" si="123"/>
        <v>23.736163049980721</v>
      </c>
      <c r="H180" s="236">
        <f t="shared" si="123"/>
        <v>13.356307524230019</v>
      </c>
      <c r="I180" s="236">
        <f t="shared" ref="I180" si="124">ABS(I178+I152)</f>
        <v>8.9216289055230735</v>
      </c>
      <c r="J180" s="34"/>
      <c r="K180" s="34"/>
      <c r="L180" s="19"/>
      <c r="M180" s="325">
        <f>+SUM(E180:I180)</f>
        <v>195.36046962561747</v>
      </c>
      <c r="N180" s="19"/>
      <c r="O180" s="19"/>
      <c r="P180" s="19"/>
      <c r="Q180" s="33"/>
      <c r="R180" s="19"/>
      <c r="S180" s="19"/>
      <c r="T180" s="19"/>
      <c r="U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19"/>
      <c r="BH180" s="19"/>
      <c r="BI180" s="19"/>
      <c r="BJ180" s="19"/>
      <c r="BK180" s="19"/>
      <c r="BL180" s="19"/>
      <c r="BM180" s="19"/>
      <c r="BN180" s="19"/>
      <c r="BO180" s="19"/>
      <c r="BP180" s="19"/>
      <c r="BQ180" s="19"/>
      <c r="BR180" s="19"/>
      <c r="BS180" s="19"/>
      <c r="BT180" s="19"/>
      <c r="BU180" s="19"/>
      <c r="BV180" s="19"/>
      <c r="BW180" s="19"/>
      <c r="BX180" s="19"/>
      <c r="BY180" s="19"/>
      <c r="BZ180" s="19"/>
      <c r="CA180" s="19"/>
      <c r="CB180" s="19"/>
      <c r="CC180" s="19"/>
      <c r="CD180" s="19"/>
      <c r="CE180" s="19"/>
      <c r="CF180" s="19"/>
      <c r="CG180" s="19"/>
      <c r="CH180" s="19"/>
      <c r="CI180" s="19"/>
      <c r="CJ180" s="19"/>
      <c r="CK180" s="19"/>
      <c r="CL180" s="19"/>
      <c r="CM180" s="19"/>
      <c r="CN180" s="19"/>
      <c r="CO180" s="19"/>
      <c r="CP180" s="19"/>
      <c r="CQ180" s="19"/>
      <c r="CR180" s="19"/>
      <c r="CS180" s="19"/>
      <c r="CT180" s="19"/>
      <c r="CU180" s="19"/>
      <c r="CV180" s="19"/>
      <c r="CW180" s="19"/>
      <c r="CX180" s="19"/>
      <c r="CY180" s="19"/>
      <c r="CZ180" s="19"/>
      <c r="DA180" s="19"/>
      <c r="DB180" s="19"/>
      <c r="DC180" s="19"/>
      <c r="DD180" s="19"/>
      <c r="DE180" s="19"/>
      <c r="DF180" s="19"/>
      <c r="DG180" s="19"/>
      <c r="DH180" s="19"/>
      <c r="DI180" s="19"/>
      <c r="DJ180" s="19"/>
      <c r="DK180" s="19"/>
      <c r="DL180" s="19"/>
      <c r="DM180" s="19"/>
      <c r="DN180" s="19"/>
      <c r="DO180" s="19"/>
      <c r="DP180" s="19"/>
      <c r="DQ180" s="19"/>
      <c r="DR180" s="19"/>
      <c r="DS180" s="19"/>
      <c r="DT180" s="19"/>
      <c r="DU180" s="19"/>
      <c r="DV180" s="19"/>
      <c r="DW180" s="19"/>
      <c r="DX180" s="19"/>
      <c r="DY180" s="19"/>
      <c r="DZ180" s="19"/>
      <c r="EA180" s="19"/>
      <c r="EB180" s="19"/>
      <c r="EC180" s="19"/>
      <c r="ED180" s="19"/>
      <c r="EE180" s="19"/>
      <c r="EF180" s="19"/>
      <c r="EG180" s="19"/>
      <c r="EH180" s="19"/>
      <c r="EI180" s="19"/>
    </row>
    <row r="181" spans="1:139" ht="15.75" thickBot="1" x14ac:dyDescent="0.3">
      <c r="A181" s="19"/>
      <c r="B181" s="54" t="s">
        <v>320</v>
      </c>
      <c r="C181" s="55" t="s">
        <v>321</v>
      </c>
      <c r="D181" s="234" t="s">
        <v>188</v>
      </c>
      <c r="E181" s="237">
        <f>+E74</f>
        <v>94.779244218559427</v>
      </c>
      <c r="F181" s="131">
        <f t="shared" ref="F181:H181" si="125">+F74</f>
        <v>54.567125926793025</v>
      </c>
      <c r="G181" s="47">
        <f t="shared" si="125"/>
        <v>23.736163049808454</v>
      </c>
      <c r="H181" s="47">
        <f t="shared" si="125"/>
        <v>13.356307524061549</v>
      </c>
      <c r="I181" s="47">
        <f t="shared" ref="I181" si="126">+I74</f>
        <v>8.9216295658184173</v>
      </c>
      <c r="J181" s="34"/>
      <c r="K181" s="34"/>
      <c r="L181" s="19"/>
      <c r="M181" s="325">
        <f>+SUM(E181:J181)</f>
        <v>195.36047028504089</v>
      </c>
      <c r="N181" s="19"/>
      <c r="O181" s="19"/>
      <c r="P181" s="19"/>
      <c r="Q181" s="33"/>
      <c r="R181" s="19"/>
      <c r="S181" s="19"/>
      <c r="T181" s="19"/>
      <c r="U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19"/>
      <c r="AY181" s="19"/>
      <c r="AZ181" s="19"/>
      <c r="BA181" s="19"/>
      <c r="BB181" s="19"/>
      <c r="BC181" s="19"/>
      <c r="BD181" s="19"/>
      <c r="BE181" s="19"/>
      <c r="BF181" s="19"/>
      <c r="BG181" s="19"/>
      <c r="BH181" s="19"/>
      <c r="BI181" s="19"/>
      <c r="BJ181" s="19"/>
      <c r="BK181" s="19"/>
      <c r="BL181" s="19"/>
      <c r="BM181" s="19"/>
      <c r="BN181" s="19"/>
      <c r="BO181" s="19"/>
      <c r="BP181" s="19"/>
      <c r="BQ181" s="19"/>
      <c r="BR181" s="19"/>
      <c r="BS181" s="19"/>
      <c r="BT181" s="19"/>
      <c r="BU181" s="19"/>
      <c r="BV181" s="19"/>
      <c r="BW181" s="19"/>
      <c r="BX181" s="19"/>
      <c r="BY181" s="19"/>
      <c r="BZ181" s="19"/>
      <c r="CA181" s="19"/>
      <c r="CB181" s="19"/>
      <c r="CC181" s="19"/>
      <c r="CD181" s="19"/>
      <c r="CE181" s="19"/>
      <c r="CF181" s="19"/>
      <c r="CG181" s="19"/>
      <c r="CH181" s="19"/>
      <c r="CI181" s="19"/>
      <c r="CJ181" s="19"/>
      <c r="CK181" s="19"/>
      <c r="CL181" s="19"/>
      <c r="CM181" s="19"/>
      <c r="CN181" s="19"/>
      <c r="CO181" s="19"/>
      <c r="CP181" s="19"/>
      <c r="CQ181" s="19"/>
      <c r="CR181" s="19"/>
      <c r="CS181" s="19"/>
      <c r="CT181" s="19"/>
      <c r="CU181" s="19"/>
      <c r="CV181" s="19"/>
      <c r="CW181" s="19"/>
      <c r="CX181" s="19"/>
      <c r="CY181" s="19"/>
      <c r="CZ181" s="19"/>
      <c r="DA181" s="19"/>
      <c r="DB181" s="19"/>
      <c r="DC181" s="19"/>
      <c r="DD181" s="19"/>
      <c r="DE181" s="19"/>
      <c r="DF181" s="19"/>
      <c r="DG181" s="19"/>
      <c r="DH181" s="19"/>
      <c r="DI181" s="19"/>
      <c r="DJ181" s="19"/>
      <c r="DK181" s="19"/>
      <c r="DL181" s="19"/>
      <c r="DM181" s="19"/>
      <c r="DN181" s="19"/>
      <c r="DO181" s="19"/>
      <c r="DP181" s="19"/>
      <c r="DQ181" s="19"/>
      <c r="DR181" s="19"/>
      <c r="DS181" s="19"/>
      <c r="DT181" s="19"/>
      <c r="DU181" s="19"/>
      <c r="DV181" s="19"/>
      <c r="DW181" s="19"/>
      <c r="DX181" s="19"/>
      <c r="DY181" s="19"/>
      <c r="DZ181" s="19"/>
      <c r="EA181" s="19"/>
      <c r="EB181" s="19"/>
      <c r="EC181" s="19"/>
      <c r="ED181" s="19"/>
      <c r="EE181" s="19"/>
      <c r="EF181" s="19"/>
      <c r="EG181" s="19"/>
      <c r="EH181" s="19"/>
      <c r="EI181" s="19"/>
    </row>
    <row r="182" spans="1:139" ht="15.75" thickBot="1" x14ac:dyDescent="0.3">
      <c r="A182" s="19"/>
      <c r="B182" s="101" t="s">
        <v>322</v>
      </c>
      <c r="C182" s="102"/>
      <c r="D182" s="423"/>
      <c r="E182" s="238">
        <f>ABS(E180-E181)</f>
        <v>4.6575507894885959E-9</v>
      </c>
      <c r="F182" s="44">
        <f t="shared" ref="F182:H182" si="127">ABS(F180-F181)</f>
        <v>4.1263206185249146E-9</v>
      </c>
      <c r="G182" s="44">
        <f t="shared" si="127"/>
        <v>1.7226753357135749E-10</v>
      </c>
      <c r="H182" s="44">
        <f t="shared" si="127"/>
        <v>1.6846968264871975E-10</v>
      </c>
      <c r="I182" s="44">
        <f>ABS(I180-I181)</f>
        <v>6.6029534373512888E-7</v>
      </c>
      <c r="J182" s="34"/>
      <c r="K182" s="34"/>
      <c r="L182" s="19"/>
      <c r="M182" s="540">
        <f>+SUM(E182:J182)</f>
        <v>6.6941995235936247E-7</v>
      </c>
      <c r="N182" s="19"/>
      <c r="O182" s="19"/>
      <c r="P182" s="19"/>
      <c r="Q182" s="33"/>
      <c r="R182" s="19"/>
      <c r="S182" s="19"/>
      <c r="T182" s="19"/>
      <c r="U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19"/>
      <c r="BH182" s="19"/>
      <c r="BI182" s="19"/>
      <c r="BJ182" s="19"/>
      <c r="BK182" s="19"/>
      <c r="BL182" s="19"/>
      <c r="BM182" s="19"/>
      <c r="BN182" s="19"/>
      <c r="BO182" s="19"/>
      <c r="BP182" s="19"/>
      <c r="BQ182" s="19"/>
      <c r="BR182" s="19"/>
      <c r="BS182" s="19"/>
      <c r="BT182" s="19"/>
      <c r="BU182" s="19"/>
      <c r="BV182" s="19"/>
      <c r="BW182" s="19"/>
      <c r="BX182" s="19"/>
      <c r="BY182" s="19"/>
      <c r="BZ182" s="19"/>
      <c r="CA182" s="19"/>
      <c r="CB182" s="19"/>
      <c r="CC182" s="19"/>
      <c r="CD182" s="19"/>
      <c r="CE182" s="19"/>
      <c r="CF182" s="19"/>
      <c r="CG182" s="19"/>
      <c r="CH182" s="19"/>
      <c r="CI182" s="19"/>
      <c r="CJ182" s="19"/>
      <c r="CK182" s="19"/>
      <c r="CL182" s="19"/>
      <c r="CM182" s="19"/>
      <c r="CN182" s="19"/>
      <c r="CO182" s="19"/>
      <c r="CP182" s="19"/>
      <c r="CQ182" s="19"/>
      <c r="CR182" s="19"/>
      <c r="CS182" s="19"/>
      <c r="CT182" s="19"/>
      <c r="CU182" s="19"/>
      <c r="CV182" s="19"/>
      <c r="CW182" s="19"/>
      <c r="CX182" s="19"/>
      <c r="CY182" s="19"/>
      <c r="CZ182" s="19"/>
      <c r="DA182" s="19"/>
      <c r="DB182" s="19"/>
      <c r="DC182" s="19"/>
      <c r="DD182" s="19"/>
      <c r="DE182" s="19"/>
      <c r="DF182" s="19"/>
      <c r="DG182" s="19"/>
      <c r="DH182" s="19"/>
      <c r="DI182" s="19"/>
      <c r="DJ182" s="19"/>
      <c r="DK182" s="19"/>
      <c r="DL182" s="19"/>
      <c r="DM182" s="19"/>
      <c r="DN182" s="19"/>
      <c r="DO182" s="19"/>
      <c r="DP182" s="19"/>
      <c r="DQ182" s="19"/>
      <c r="DR182" s="19"/>
      <c r="DS182" s="19"/>
      <c r="DT182" s="19"/>
      <c r="DU182" s="19"/>
      <c r="DV182" s="19"/>
      <c r="DW182" s="19"/>
      <c r="DX182" s="19"/>
      <c r="DY182" s="19"/>
      <c r="DZ182" s="19"/>
      <c r="EA182" s="19"/>
      <c r="EB182" s="19"/>
      <c r="EC182" s="19"/>
      <c r="ED182" s="19"/>
      <c r="EE182" s="19"/>
      <c r="EF182" s="19"/>
      <c r="EG182" s="19"/>
      <c r="EH182" s="19"/>
      <c r="EI182" s="19"/>
    </row>
    <row r="183" spans="1:139" ht="15.75" thickBot="1" x14ac:dyDescent="0.3">
      <c r="A183" s="19"/>
      <c r="B183" s="19"/>
      <c r="C183" s="19"/>
      <c r="D183" s="27"/>
      <c r="E183" s="19"/>
      <c r="F183" s="34"/>
      <c r="G183" s="19"/>
      <c r="H183" s="19"/>
      <c r="I183" s="19"/>
      <c r="J183" s="617"/>
      <c r="K183" s="617"/>
      <c r="L183" s="247">
        <v>4</v>
      </c>
      <c r="M183" s="19">
        <v>1</v>
      </c>
      <c r="N183" s="19"/>
      <c r="O183" s="19"/>
      <c r="P183" s="19"/>
      <c r="Q183" s="33"/>
      <c r="R183" s="19"/>
      <c r="S183" s="19"/>
      <c r="T183" s="19"/>
      <c r="U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19"/>
      <c r="BH183" s="19"/>
      <c r="BI183" s="19"/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</row>
    <row r="184" spans="1:139" s="205" customFormat="1" ht="15.75" thickBot="1" x14ac:dyDescent="0.3">
      <c r="A184" s="710" t="s">
        <v>323</v>
      </c>
      <c r="B184" s="814"/>
      <c r="C184" s="814"/>
      <c r="D184" s="814"/>
      <c r="E184" s="814"/>
      <c r="F184" s="814"/>
      <c r="G184" s="814"/>
      <c r="H184" s="814"/>
      <c r="I184" s="814"/>
      <c r="J184" s="814"/>
      <c r="K184" s="814"/>
      <c r="L184" s="814"/>
      <c r="M184" s="814"/>
      <c r="N184" s="814"/>
      <c r="O184" s="814"/>
      <c r="P184" s="814"/>
      <c r="Q184" s="814"/>
      <c r="R184" s="814"/>
      <c r="S184" s="814"/>
      <c r="T184" s="814"/>
      <c r="U184" s="815"/>
      <c r="V184" s="474"/>
    </row>
    <row r="185" spans="1:139" ht="15.75" thickBot="1" x14ac:dyDescent="0.3">
      <c r="A185" s="19"/>
      <c r="B185" s="19"/>
      <c r="C185" s="19"/>
      <c r="D185" s="27"/>
      <c r="E185" s="19"/>
      <c r="F185" s="34"/>
      <c r="G185" s="19"/>
      <c r="H185" s="19"/>
      <c r="I185" s="19"/>
      <c r="J185" s="34"/>
      <c r="K185" s="19"/>
      <c r="L185" s="19"/>
      <c r="M185" s="19"/>
      <c r="N185" s="19"/>
      <c r="O185" s="19"/>
      <c r="P185" s="19"/>
      <c r="R185" s="19"/>
      <c r="S185" s="19"/>
      <c r="T185" s="19"/>
      <c r="U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  <c r="BB185" s="19"/>
      <c r="BC185" s="19"/>
      <c r="BD185" s="19"/>
    </row>
    <row r="186" spans="1:139" ht="15.75" thickBot="1" x14ac:dyDescent="0.3">
      <c r="A186" s="816" t="s">
        <v>324</v>
      </c>
      <c r="B186" s="817"/>
      <c r="C186" s="817"/>
      <c r="D186" s="817"/>
      <c r="E186" s="817"/>
      <c r="F186" s="817"/>
      <c r="G186" s="817"/>
      <c r="H186" s="817"/>
      <c r="I186" s="817"/>
      <c r="J186" s="817"/>
      <c r="K186" s="817"/>
      <c r="L186" s="817"/>
      <c r="M186" s="817"/>
      <c r="N186" s="817"/>
      <c r="O186" s="817"/>
      <c r="P186" s="817"/>
      <c r="Q186" s="817"/>
      <c r="R186" s="817"/>
      <c r="S186" s="817"/>
      <c r="T186" s="817"/>
      <c r="U186" s="818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  <c r="BB186" s="19"/>
      <c r="BC186" s="19"/>
      <c r="BD186" s="19"/>
    </row>
    <row r="187" spans="1:139" ht="15.75" thickBot="1" x14ac:dyDescent="0.3">
      <c r="A187" s="19"/>
      <c r="B187" s="19"/>
      <c r="C187" s="19"/>
      <c r="D187" s="27"/>
      <c r="E187" s="19"/>
      <c r="F187" s="34"/>
      <c r="G187" s="19"/>
      <c r="H187" s="19"/>
      <c r="I187" s="19"/>
      <c r="J187" s="616"/>
      <c r="K187" s="616"/>
      <c r="L187" s="616"/>
      <c r="M187" s="19"/>
      <c r="N187" s="19"/>
      <c r="O187" s="19"/>
      <c r="P187" s="19"/>
      <c r="Q187" s="33"/>
      <c r="R187" s="19"/>
      <c r="S187" s="19"/>
      <c r="T187" s="19"/>
      <c r="U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D187" s="19"/>
    </row>
    <row r="188" spans="1:139" ht="15.75" thickBot="1" x14ac:dyDescent="0.3">
      <c r="A188" s="19"/>
      <c r="B188" s="37" t="s">
        <v>222</v>
      </c>
      <c r="C188" s="38" t="s">
        <v>223</v>
      </c>
      <c r="D188" s="231" t="s">
        <v>28</v>
      </c>
      <c r="E188" s="62">
        <f>+E149</f>
        <v>1.2629999999999999</v>
      </c>
      <c r="F188" s="133">
        <f t="shared" ref="F188:H188" si="128">+F149</f>
        <v>1.2629999999999999</v>
      </c>
      <c r="G188" s="62">
        <f t="shared" si="128"/>
        <v>0.78500000000000003</v>
      </c>
      <c r="H188" s="62">
        <f t="shared" si="128"/>
        <v>0.55100000000000005</v>
      </c>
      <c r="I188" s="62"/>
      <c r="J188" s="34"/>
      <c r="K188" s="34"/>
      <c r="L188" s="34"/>
      <c r="M188" s="19"/>
      <c r="N188" s="19"/>
      <c r="O188" s="19"/>
      <c r="P188" s="19"/>
      <c r="Q188" s="33"/>
      <c r="R188" s="19"/>
      <c r="S188" s="19"/>
      <c r="T188" s="19"/>
      <c r="U188" s="19"/>
      <c r="W188" s="19"/>
      <c r="X188" s="19"/>
      <c r="Y188" s="23"/>
      <c r="Z188" s="23"/>
      <c r="AA188" s="23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  <c r="BB188" s="19"/>
      <c r="BC188" s="19"/>
      <c r="BD188" s="19"/>
    </row>
    <row r="189" spans="1:139" x14ac:dyDescent="0.25">
      <c r="A189" s="19"/>
      <c r="B189" s="39" t="s">
        <v>316</v>
      </c>
      <c r="C189" s="40" t="s">
        <v>317</v>
      </c>
      <c r="D189" s="232" t="s">
        <v>131</v>
      </c>
      <c r="E189" s="63">
        <f>+E79</f>
        <v>97.041833543936747</v>
      </c>
      <c r="F189" s="130">
        <f t="shared" ref="F189:H189" si="129">+F79</f>
        <v>97.991063678044981</v>
      </c>
      <c r="G189" s="63">
        <f t="shared" si="129"/>
        <v>101.7936528947712</v>
      </c>
      <c r="H189" s="63">
        <f t="shared" si="129"/>
        <v>111.55228956122929</v>
      </c>
      <c r="I189" s="63"/>
      <c r="J189" s="34"/>
      <c r="K189" s="34"/>
      <c r="L189" s="34"/>
      <c r="M189" s="478" t="s">
        <v>532</v>
      </c>
      <c r="N189" s="431"/>
      <c r="O189" s="431" t="s">
        <v>533</v>
      </c>
      <c r="P189" s="479"/>
      <c r="Q189" s="480" t="s">
        <v>539</v>
      </c>
      <c r="R189" s="479"/>
      <c r="S189" s="431" t="s">
        <v>541</v>
      </c>
      <c r="T189" s="479"/>
      <c r="U189" s="530" t="s">
        <v>542</v>
      </c>
      <c r="V189" s="537"/>
      <c r="W189" s="533" t="s">
        <v>543</v>
      </c>
      <c r="X189" s="432"/>
      <c r="Y189" s="23"/>
      <c r="Z189" s="23"/>
      <c r="AA189" s="23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  <c r="BB189" s="19"/>
      <c r="BC189" s="19"/>
      <c r="BD189" s="19"/>
    </row>
    <row r="190" spans="1:139" ht="15.75" thickBot="1" x14ac:dyDescent="0.3">
      <c r="A190" s="19"/>
      <c r="B190" s="42" t="s">
        <v>311</v>
      </c>
      <c r="C190" s="43" t="s">
        <v>312</v>
      </c>
      <c r="D190" s="235" t="s">
        <v>188</v>
      </c>
      <c r="E190" s="44">
        <f>+E180</f>
        <v>94.779244223216978</v>
      </c>
      <c r="F190" s="132">
        <f t="shared" ref="F190:H190" si="130">+F180</f>
        <v>54.567125922666705</v>
      </c>
      <c r="G190" s="44">
        <f t="shared" si="130"/>
        <v>23.736163049980721</v>
      </c>
      <c r="H190" s="44">
        <f t="shared" si="130"/>
        <v>13.356307524230019</v>
      </c>
      <c r="I190" s="44"/>
      <c r="J190" s="34"/>
      <c r="K190" s="34"/>
      <c r="L190" s="34"/>
      <c r="M190" s="481" t="s">
        <v>527</v>
      </c>
      <c r="N190" s="430"/>
      <c r="O190" s="430" t="s">
        <v>534</v>
      </c>
      <c r="P190" s="319"/>
      <c r="Q190" s="477" t="s">
        <v>540</v>
      </c>
      <c r="R190" s="319"/>
      <c r="S190" s="430" t="s">
        <v>548</v>
      </c>
      <c r="T190" s="319"/>
      <c r="U190" s="531" t="s">
        <v>553</v>
      </c>
      <c r="V190" s="538"/>
      <c r="W190" s="534" t="s">
        <v>558</v>
      </c>
      <c r="X190" s="433"/>
      <c r="Y190" s="23"/>
      <c r="Z190" s="23"/>
      <c r="AA190" s="23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  <c r="BB190" s="19"/>
      <c r="BC190" s="19"/>
      <c r="BD190" s="19"/>
    </row>
    <row r="191" spans="1:139" x14ac:dyDescent="0.25">
      <c r="A191" s="19"/>
      <c r="B191" s="64" t="s">
        <v>298</v>
      </c>
      <c r="C191" s="41" t="s">
        <v>307</v>
      </c>
      <c r="D191" s="232" t="s">
        <v>131</v>
      </c>
      <c r="E191" s="63">
        <f>+E119</f>
        <v>965.21325755586111</v>
      </c>
      <c r="F191" s="130">
        <f>+F119</f>
        <v>841.38075791856318</v>
      </c>
      <c r="G191" s="63">
        <f>+G119</f>
        <v>782.37567021235486</v>
      </c>
      <c r="H191" s="63">
        <f>+H119</f>
        <v>749.10806504346033</v>
      </c>
      <c r="I191" s="63"/>
      <c r="J191" s="34"/>
      <c r="K191" s="34"/>
      <c r="L191" s="34"/>
      <c r="M191" s="481" t="s">
        <v>528</v>
      </c>
      <c r="N191" s="430"/>
      <c r="O191" s="430" t="s">
        <v>535</v>
      </c>
      <c r="P191" s="319"/>
      <c r="Q191" s="477" t="s">
        <v>544</v>
      </c>
      <c r="R191" s="319"/>
      <c r="S191" s="430" t="s">
        <v>549</v>
      </c>
      <c r="T191" s="319"/>
      <c r="U191" s="531" t="s">
        <v>554</v>
      </c>
      <c r="V191" s="538"/>
      <c r="W191" s="534" t="s">
        <v>559</v>
      </c>
      <c r="X191" s="433"/>
      <c r="Y191" s="23"/>
      <c r="Z191" s="23"/>
      <c r="AA191" s="23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19"/>
      <c r="AY191" s="19"/>
      <c r="AZ191" s="19"/>
      <c r="BA191" s="19"/>
      <c r="BB191" s="19"/>
      <c r="BC191" s="19"/>
      <c r="BD191" s="19"/>
    </row>
    <row r="192" spans="1:139" x14ac:dyDescent="0.25">
      <c r="A192" s="19"/>
      <c r="B192" s="45" t="s">
        <v>226</v>
      </c>
      <c r="C192" s="46" t="s">
        <v>227</v>
      </c>
      <c r="D192" s="233" t="s">
        <v>19</v>
      </c>
      <c r="E192" s="47">
        <f>+E152</f>
        <v>7.1891204012061305</v>
      </c>
      <c r="F192" s="131">
        <f>+F152</f>
        <v>6.8567292159140969</v>
      </c>
      <c r="G192" s="47">
        <f>+G152</f>
        <v>2.9801435994423868</v>
      </c>
      <c r="H192" s="47">
        <f>+H152</f>
        <v>2.1331080246332306</v>
      </c>
      <c r="I192" s="47"/>
      <c r="J192" s="34"/>
      <c r="K192" s="34"/>
      <c r="L192" s="34"/>
      <c r="M192" s="481" t="s">
        <v>529</v>
      </c>
      <c r="N192" s="430"/>
      <c r="O192" s="430" t="s">
        <v>536</v>
      </c>
      <c r="P192" s="319"/>
      <c r="Q192" s="477" t="s">
        <v>545</v>
      </c>
      <c r="R192" s="319"/>
      <c r="S192" s="430" t="s">
        <v>550</v>
      </c>
      <c r="T192" s="319"/>
      <c r="U192" s="531" t="s">
        <v>555</v>
      </c>
      <c r="V192" s="538"/>
      <c r="W192" s="534" t="s">
        <v>560</v>
      </c>
      <c r="X192" s="433"/>
      <c r="Y192" s="23"/>
      <c r="Z192" s="23"/>
      <c r="AA192" s="23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9"/>
      <c r="BC192" s="19"/>
      <c r="BD192" s="19"/>
    </row>
    <row r="193" spans="1:56" x14ac:dyDescent="0.25">
      <c r="A193" s="19"/>
      <c r="B193" s="45" t="s">
        <v>325</v>
      </c>
      <c r="C193" s="46" t="s">
        <v>261</v>
      </c>
      <c r="D193" s="233" t="s">
        <v>19</v>
      </c>
      <c r="E193" s="47">
        <f>+E178</f>
        <v>87.590123822010852</v>
      </c>
      <c r="F193" s="131">
        <f t="shared" ref="F193:H193" si="131">+F178</f>
        <v>47.710396706752611</v>
      </c>
      <c r="G193" s="47">
        <f t="shared" si="131"/>
        <v>20.756019450538336</v>
      </c>
      <c r="H193" s="47">
        <f t="shared" si="131"/>
        <v>11.223199499596788</v>
      </c>
      <c r="I193" s="47"/>
      <c r="J193" s="34"/>
      <c r="K193" s="34"/>
      <c r="L193" s="34"/>
      <c r="M193" s="481" t="s">
        <v>530</v>
      </c>
      <c r="N193" s="430"/>
      <c r="O193" s="430" t="s">
        <v>537</v>
      </c>
      <c r="P193" s="319"/>
      <c r="Q193" s="477" t="s">
        <v>546</v>
      </c>
      <c r="R193" s="319"/>
      <c r="S193" s="430" t="s">
        <v>551</v>
      </c>
      <c r="T193" s="319"/>
      <c r="U193" s="531" t="s">
        <v>556</v>
      </c>
      <c r="V193" s="538"/>
      <c r="W193" s="534" t="s">
        <v>561</v>
      </c>
      <c r="X193" s="433"/>
      <c r="Y193" s="23"/>
      <c r="Z193" s="23"/>
      <c r="AA193" s="23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  <c r="BB193" s="19"/>
      <c r="BC193" s="19"/>
      <c r="BD193" s="19"/>
    </row>
    <row r="194" spans="1:56" ht="15.75" thickBot="1" x14ac:dyDescent="0.3">
      <c r="A194" s="19"/>
      <c r="B194" s="65" t="s">
        <v>301</v>
      </c>
      <c r="C194" s="48" t="s">
        <v>305</v>
      </c>
      <c r="D194" s="234" t="s">
        <v>188</v>
      </c>
      <c r="E194" s="47">
        <f>+E117</f>
        <v>403.3119777221761</v>
      </c>
      <c r="F194" s="131">
        <f>+F117</f>
        <v>345.51610803768153</v>
      </c>
      <c r="G194" s="47">
        <f>+G117</f>
        <v>318.37596288786659</v>
      </c>
      <c r="H194" s="47">
        <f>+H117</f>
        <v>303.19463428591411</v>
      </c>
      <c r="I194" s="47"/>
      <c r="J194" s="34"/>
      <c r="K194" s="34"/>
      <c r="L194" s="34"/>
      <c r="M194" s="482" t="s">
        <v>531</v>
      </c>
      <c r="N194" s="434"/>
      <c r="O194" s="434" t="s">
        <v>538</v>
      </c>
      <c r="P194" s="483"/>
      <c r="Q194" s="484" t="s">
        <v>547</v>
      </c>
      <c r="R194" s="483"/>
      <c r="S194" s="434" t="s">
        <v>552</v>
      </c>
      <c r="T194" s="483"/>
      <c r="U194" s="532" t="s">
        <v>557</v>
      </c>
      <c r="V194" s="539"/>
      <c r="W194" s="535" t="s">
        <v>562</v>
      </c>
      <c r="X194" s="435"/>
      <c r="Y194" s="23"/>
      <c r="Z194" s="23"/>
      <c r="AA194" s="23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9"/>
      <c r="BC194" s="19"/>
      <c r="BD194" s="19"/>
    </row>
    <row r="195" spans="1:56" x14ac:dyDescent="0.25">
      <c r="A195" s="19"/>
      <c r="B195" s="65" t="s">
        <v>336</v>
      </c>
      <c r="C195" s="48" t="s">
        <v>337</v>
      </c>
      <c r="D195" s="234" t="s">
        <v>38</v>
      </c>
      <c r="E195" s="47">
        <f>+E78-F78</f>
        <v>125.51923186146416</v>
      </c>
      <c r="F195" s="131">
        <f>+F78-D3</f>
        <v>143.77987687293876</v>
      </c>
      <c r="G195" s="47">
        <f>+G78-F78</f>
        <v>-86.451406690598375</v>
      </c>
      <c r="H195" s="47">
        <f>+H78-G78</f>
        <v>0</v>
      </c>
      <c r="I195" s="47"/>
      <c r="J195" s="34"/>
      <c r="K195" s="34"/>
      <c r="L195" s="34"/>
      <c r="M195" s="19"/>
      <c r="N195" s="19"/>
      <c r="O195" s="19"/>
      <c r="P195" s="19"/>
      <c r="Q195" s="33"/>
      <c r="R195" s="19"/>
      <c r="S195" s="19"/>
      <c r="T195" s="19"/>
      <c r="U195" s="19"/>
      <c r="W195" s="19"/>
      <c r="X195" s="19"/>
      <c r="Y195" s="23"/>
      <c r="Z195" s="23"/>
      <c r="AA195" s="23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  <c r="BB195" s="19"/>
      <c r="BC195" s="19"/>
      <c r="BD195" s="19"/>
    </row>
    <row r="196" spans="1:56" ht="15.75" thickBot="1" x14ac:dyDescent="0.3">
      <c r="A196" s="19"/>
      <c r="B196" s="42" t="s">
        <v>278</v>
      </c>
      <c r="C196" s="43" t="s">
        <v>279</v>
      </c>
      <c r="D196" s="235" t="s">
        <v>131</v>
      </c>
      <c r="E196" s="44">
        <f>+E88</f>
        <v>102.27645766787815</v>
      </c>
      <c r="F196" s="44">
        <f t="shared" ref="F196:H196" si="132">+F88</f>
        <v>108.67800813645503</v>
      </c>
      <c r="G196" s="44">
        <f t="shared" si="132"/>
        <v>136.65284842562352</v>
      </c>
      <c r="H196" s="44">
        <f t="shared" si="132"/>
        <v>206.62691511881633</v>
      </c>
      <c r="I196" s="44"/>
      <c r="J196" s="34"/>
      <c r="K196" s="34"/>
      <c r="L196" s="34"/>
      <c r="M196" s="19"/>
      <c r="N196" s="19"/>
      <c r="O196" s="19"/>
      <c r="P196" s="19"/>
      <c r="Q196" s="33"/>
      <c r="R196" s="19"/>
      <c r="S196" s="19"/>
      <c r="T196" s="19"/>
      <c r="U196" s="19"/>
      <c r="W196" s="19"/>
      <c r="X196" s="19"/>
      <c r="Y196" s="23"/>
      <c r="Z196" s="23"/>
      <c r="AA196" s="23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9"/>
      <c r="BC196" s="19"/>
      <c r="BD196" s="19"/>
    </row>
    <row r="197" spans="1:56" ht="15.75" thickBot="1" x14ac:dyDescent="0.3">
      <c r="A197" s="19"/>
      <c r="B197" s="19"/>
      <c r="C197" s="19"/>
      <c r="D197" s="27"/>
      <c r="E197" s="19"/>
      <c r="F197" s="34"/>
      <c r="G197" s="19"/>
      <c r="H197" s="19"/>
      <c r="I197" s="19"/>
      <c r="J197" s="34"/>
      <c r="K197" s="34"/>
      <c r="L197" s="34"/>
      <c r="M197" s="19"/>
      <c r="N197" s="19"/>
      <c r="O197" s="19"/>
      <c r="P197" s="19"/>
      <c r="Q197" s="33"/>
      <c r="R197" s="19"/>
      <c r="S197" s="19"/>
      <c r="T197" s="19"/>
      <c r="U197" s="19"/>
      <c r="W197" s="19"/>
      <c r="X197" s="19"/>
      <c r="Y197" s="23"/>
      <c r="Z197" s="23"/>
      <c r="AA197" s="23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9"/>
      <c r="BC197" s="19"/>
      <c r="BD197" s="19"/>
    </row>
    <row r="198" spans="1:56" x14ac:dyDescent="0.25">
      <c r="A198" s="19"/>
      <c r="B198" s="49" t="s">
        <v>2</v>
      </c>
      <c r="C198" s="50" t="s">
        <v>3</v>
      </c>
      <c r="D198" s="50">
        <v>258</v>
      </c>
      <c r="E198" s="51" t="s">
        <v>4</v>
      </c>
      <c r="F198" s="485">
        <f>+K99</f>
        <v>0.36211029447437032</v>
      </c>
      <c r="G198" s="19"/>
      <c r="H198" s="19"/>
      <c r="I198" s="19"/>
      <c r="J198" s="34"/>
      <c r="K198" s="34"/>
      <c r="L198" s="34"/>
      <c r="M198" s="19"/>
      <c r="N198" s="19"/>
      <c r="O198" s="19"/>
      <c r="P198" s="19"/>
      <c r="Q198" s="33"/>
      <c r="R198" s="19"/>
      <c r="S198" s="19"/>
      <c r="T198" s="19"/>
      <c r="U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9"/>
      <c r="BC198" s="19"/>
      <c r="BD198" s="19"/>
    </row>
    <row r="199" spans="1:56" x14ac:dyDescent="0.25">
      <c r="A199" s="19"/>
      <c r="B199" s="52" t="s">
        <v>74</v>
      </c>
      <c r="C199" s="46" t="s">
        <v>75</v>
      </c>
      <c r="D199" s="46">
        <f>+D4*D3</f>
        <v>141.76248252285492</v>
      </c>
      <c r="E199" s="53" t="s">
        <v>4</v>
      </c>
      <c r="F199" s="34"/>
      <c r="G199" s="19"/>
      <c r="H199" s="19"/>
      <c r="I199" s="19"/>
      <c r="J199" s="34"/>
      <c r="K199" s="34"/>
      <c r="L199" s="34"/>
      <c r="M199" s="19"/>
      <c r="N199" s="19"/>
      <c r="O199" s="19"/>
      <c r="P199" s="19"/>
      <c r="Q199" s="33"/>
      <c r="R199" s="19"/>
      <c r="S199" s="19"/>
      <c r="T199" s="19"/>
      <c r="U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  <c r="BB199" s="19"/>
      <c r="BC199" s="19"/>
      <c r="BD199" s="19"/>
    </row>
    <row r="200" spans="1:56" x14ac:dyDescent="0.25">
      <c r="A200" s="19"/>
      <c r="B200" s="54" t="s">
        <v>144</v>
      </c>
      <c r="C200" s="55"/>
      <c r="D200" s="56">
        <f>+D14</f>
        <v>0.2</v>
      </c>
      <c r="E200" s="57" t="s">
        <v>6</v>
      </c>
      <c r="F200" s="34"/>
      <c r="G200" s="19"/>
      <c r="H200" s="19"/>
      <c r="I200" s="19"/>
      <c r="J200" s="34"/>
      <c r="K200" s="34"/>
      <c r="L200" s="34"/>
      <c r="M200" s="19"/>
      <c r="N200" s="19"/>
      <c r="O200" s="19"/>
      <c r="P200" s="19"/>
      <c r="Q200" s="33"/>
      <c r="R200" s="19"/>
      <c r="S200" s="19"/>
      <c r="T200" s="19"/>
      <c r="U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</row>
    <row r="201" spans="1:56" ht="15.75" thickBot="1" x14ac:dyDescent="0.3">
      <c r="A201" s="19"/>
      <c r="B201" s="58" t="s">
        <v>326</v>
      </c>
      <c r="C201" s="59" t="s">
        <v>5</v>
      </c>
      <c r="D201" s="60">
        <f>M180/K110</f>
        <v>0.37247710628141978</v>
      </c>
      <c r="E201" s="61" t="s">
        <v>6</v>
      </c>
      <c r="F201" s="34"/>
      <c r="G201" s="19"/>
      <c r="H201" s="19"/>
      <c r="I201" s="19"/>
      <c r="J201" s="34"/>
      <c r="K201" s="19"/>
      <c r="L201" s="19"/>
      <c r="M201" s="19"/>
      <c r="N201" s="19"/>
      <c r="O201" s="19"/>
      <c r="P201" s="19"/>
      <c r="Q201" s="33"/>
      <c r="R201" s="19"/>
      <c r="S201" s="19"/>
      <c r="T201" s="19"/>
      <c r="U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</row>
    <row r="202" spans="1:56" x14ac:dyDescent="0.25">
      <c r="A202" s="19"/>
      <c r="B202" s="19"/>
      <c r="C202" s="19"/>
      <c r="D202" s="472">
        <f>+D6</f>
        <v>0.36483257043013434</v>
      </c>
      <c r="E202" s="472">
        <f>+SUM(E180:K180)/Q21</f>
        <v>0.36002168806480173</v>
      </c>
      <c r="F202" s="34"/>
      <c r="G202" s="19"/>
      <c r="H202" s="19"/>
      <c r="I202" s="19"/>
      <c r="J202" s="34"/>
      <c r="K202" s="19"/>
      <c r="L202" s="19"/>
      <c r="M202" s="19"/>
      <c r="N202" s="19"/>
      <c r="O202" s="19"/>
      <c r="P202" s="19"/>
      <c r="Q202" s="33"/>
      <c r="R202" s="19"/>
      <c r="S202" s="19"/>
      <c r="T202" s="19"/>
      <c r="U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</row>
    <row r="203" spans="1:56" ht="15.75" thickBot="1" x14ac:dyDescent="0.3">
      <c r="A203" s="819"/>
      <c r="B203" s="820"/>
      <c r="C203" s="820"/>
      <c r="D203" s="820"/>
      <c r="E203" s="820"/>
      <c r="F203" s="820"/>
      <c r="G203" s="820"/>
      <c r="H203" s="820"/>
      <c r="I203" s="820"/>
      <c r="J203" s="820"/>
      <c r="K203" s="820"/>
      <c r="L203" s="820"/>
      <c r="M203" s="820"/>
      <c r="N203" s="820"/>
      <c r="O203" s="820"/>
      <c r="P203" s="820"/>
      <c r="Q203" s="820"/>
      <c r="R203" s="820"/>
      <c r="S203" s="820"/>
      <c r="T203" s="820"/>
      <c r="U203" s="821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9"/>
      <c r="BC203" s="19"/>
      <c r="BD203" s="19"/>
    </row>
    <row r="204" spans="1:56" ht="15.75" thickBot="1" x14ac:dyDescent="0.3">
      <c r="A204" s="390"/>
      <c r="B204" s="274"/>
      <c r="C204" s="274"/>
      <c r="D204" s="274"/>
      <c r="E204" s="274"/>
      <c r="F204" s="387"/>
      <c r="G204" s="274"/>
      <c r="H204" s="274"/>
      <c r="I204" s="274"/>
      <c r="J204" s="387"/>
      <c r="K204" s="274"/>
      <c r="L204" s="388"/>
      <c r="M204" s="388"/>
      <c r="N204" s="391"/>
      <c r="O204" s="391"/>
      <c r="P204" s="391"/>
      <c r="Q204" s="103"/>
      <c r="R204" s="391"/>
      <c r="S204" s="391"/>
      <c r="T204" s="391"/>
      <c r="U204" s="391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D204" s="19"/>
    </row>
    <row r="205" spans="1:56" ht="15.75" thickBot="1" x14ac:dyDescent="0.3">
      <c r="A205" s="389"/>
      <c r="B205" s="803" t="s">
        <v>339</v>
      </c>
      <c r="C205" s="804"/>
      <c r="D205" s="804"/>
      <c r="E205" s="804"/>
      <c r="F205" s="804"/>
      <c r="G205" s="804"/>
      <c r="H205" s="804"/>
      <c r="I205" s="804"/>
      <c r="J205" s="804"/>
      <c r="K205" s="804"/>
      <c r="L205" s="804"/>
      <c r="M205" s="805"/>
      <c r="N205" s="23"/>
      <c r="O205" s="23"/>
      <c r="P205" s="23"/>
      <c r="Q205" s="33"/>
      <c r="R205" s="23"/>
      <c r="S205" s="23"/>
      <c r="T205" s="23"/>
      <c r="U205" s="23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D205" s="19"/>
    </row>
    <row r="206" spans="1:56" ht="39.6" customHeight="1" x14ac:dyDescent="0.25">
      <c r="A206" s="33"/>
      <c r="B206" s="397" t="s">
        <v>327</v>
      </c>
      <c r="C206" s="398" t="s">
        <v>328</v>
      </c>
      <c r="D206" s="806" t="s">
        <v>329</v>
      </c>
      <c r="E206" s="806"/>
      <c r="F206" s="806"/>
      <c r="G206" s="807" t="s">
        <v>330</v>
      </c>
      <c r="H206" s="807"/>
      <c r="I206" s="807"/>
      <c r="J206" s="807"/>
      <c r="K206" s="807"/>
      <c r="L206" s="807"/>
      <c r="M206" s="808"/>
      <c r="N206" s="19"/>
      <c r="O206" s="19"/>
      <c r="P206" s="19"/>
      <c r="Q206" s="33"/>
      <c r="R206" s="19"/>
      <c r="S206" s="19"/>
      <c r="T206" s="19"/>
      <c r="U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</row>
    <row r="207" spans="1:56" ht="60" x14ac:dyDescent="0.25">
      <c r="A207" s="33"/>
      <c r="B207" s="393"/>
      <c r="C207" s="105"/>
      <c r="D207" s="204" t="s">
        <v>340</v>
      </c>
      <c r="E207" s="214" t="s">
        <v>352</v>
      </c>
      <c r="F207" s="105" t="s">
        <v>338</v>
      </c>
      <c r="G207" s="105" t="s">
        <v>331</v>
      </c>
      <c r="H207" s="105" t="s">
        <v>332</v>
      </c>
      <c r="I207" s="204" t="s">
        <v>333</v>
      </c>
      <c r="J207" s="105" t="s">
        <v>334</v>
      </c>
      <c r="K207" s="204" t="s">
        <v>335</v>
      </c>
      <c r="L207" s="204" t="s">
        <v>349</v>
      </c>
      <c r="M207" s="213" t="s">
        <v>350</v>
      </c>
      <c r="N207" s="19"/>
      <c r="O207" s="19"/>
      <c r="P207" s="19"/>
      <c r="Q207" s="33"/>
      <c r="R207" s="19"/>
      <c r="S207" s="19"/>
      <c r="T207" s="19"/>
      <c r="U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9"/>
      <c r="BC207" s="19"/>
      <c r="BD207" s="19"/>
    </row>
    <row r="208" spans="1:56" x14ac:dyDescent="0.25">
      <c r="A208" s="33"/>
      <c r="B208" s="394">
        <v>1</v>
      </c>
      <c r="C208" s="106">
        <f>+E188</f>
        <v>1.2629999999999999</v>
      </c>
      <c r="D208" s="392">
        <f>+E79</f>
        <v>97.041833543936747</v>
      </c>
      <c r="E208" s="134">
        <f>+E196</f>
        <v>102.27645766787815</v>
      </c>
      <c r="F208" s="106">
        <f>+E195</f>
        <v>125.51923186146416</v>
      </c>
      <c r="G208" s="106">
        <f>+E190</f>
        <v>94.779244223216978</v>
      </c>
      <c r="H208" s="106">
        <f>+E191</f>
        <v>965.21325755586111</v>
      </c>
      <c r="I208" s="134">
        <f>+E192</f>
        <v>7.1891204012061305</v>
      </c>
      <c r="J208" s="106">
        <f>+E193</f>
        <v>87.590123822010852</v>
      </c>
      <c r="K208" s="134">
        <f>+E194</f>
        <v>403.3119777221761</v>
      </c>
      <c r="L208" s="215">
        <f>+I208/C208</f>
        <v>5.6920984966002619</v>
      </c>
      <c r="M208" s="216">
        <f>+J208/C208</f>
        <v>69.350850215368851</v>
      </c>
      <c r="N208" s="19"/>
      <c r="O208" s="19"/>
      <c r="P208" s="19"/>
      <c r="Q208" s="33"/>
      <c r="R208" s="19"/>
      <c r="S208" s="19"/>
      <c r="T208" s="19"/>
      <c r="U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9"/>
      <c r="BC208" s="19"/>
      <c r="BD208" s="19"/>
    </row>
    <row r="209" spans="1:56" x14ac:dyDescent="0.25">
      <c r="A209" s="33"/>
      <c r="B209" s="394">
        <v>2</v>
      </c>
      <c r="C209" s="106">
        <f>+F188</f>
        <v>1.2629999999999999</v>
      </c>
      <c r="D209" s="392">
        <f>+F79</f>
        <v>97.991063678044981</v>
      </c>
      <c r="E209" s="134">
        <f>+F196</f>
        <v>108.67800813645503</v>
      </c>
      <c r="F209" s="106">
        <f>+F195</f>
        <v>143.77987687293876</v>
      </c>
      <c r="G209" s="106">
        <f>+F190</f>
        <v>54.567125922666705</v>
      </c>
      <c r="H209" s="106">
        <f>+F191</f>
        <v>841.38075791856318</v>
      </c>
      <c r="I209" s="134">
        <f>+F192</f>
        <v>6.8567292159140969</v>
      </c>
      <c r="J209" s="106">
        <f>+F193</f>
        <v>47.710396706752611</v>
      </c>
      <c r="K209" s="134">
        <f>+F194</f>
        <v>345.51610803768153</v>
      </c>
      <c r="L209" s="215">
        <f>+I209/C209</f>
        <v>5.4289225779209005</v>
      </c>
      <c r="M209" s="216">
        <f>+J209/C209</f>
        <v>37.77545265776137</v>
      </c>
      <c r="N209" s="19"/>
      <c r="O209" s="19"/>
      <c r="P209" s="19"/>
      <c r="Q209" s="33"/>
      <c r="R209" s="19"/>
      <c r="S209" s="19"/>
      <c r="T209" s="19"/>
      <c r="U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19"/>
      <c r="AY209" s="19"/>
      <c r="AZ209" s="19"/>
      <c r="BA209" s="19"/>
      <c r="BB209" s="19"/>
      <c r="BC209" s="19"/>
      <c r="BD209" s="19"/>
    </row>
    <row r="210" spans="1:56" ht="15" customHeight="1" x14ac:dyDescent="0.25">
      <c r="A210" s="33"/>
      <c r="B210" s="394">
        <v>3</v>
      </c>
      <c r="C210" s="106">
        <f>+AF113</f>
        <v>0</v>
      </c>
      <c r="D210" s="392">
        <f>+G79</f>
        <v>101.7936528947712</v>
      </c>
      <c r="E210" s="134">
        <f>+G196</f>
        <v>136.65284842562352</v>
      </c>
      <c r="F210" s="106">
        <f>+G195</f>
        <v>-86.451406690598375</v>
      </c>
      <c r="G210" s="106">
        <f>+G190</f>
        <v>23.736163049980721</v>
      </c>
      <c r="H210" s="106">
        <f>+G191</f>
        <v>782.37567021235486</v>
      </c>
      <c r="I210" s="134">
        <f>+G192</f>
        <v>2.9801435994423868</v>
      </c>
      <c r="J210" s="106">
        <f>+G193</f>
        <v>20.756019450538336</v>
      </c>
      <c r="K210" s="134">
        <f>+G194</f>
        <v>318.37596288786659</v>
      </c>
      <c r="L210" s="215" t="e">
        <f>+I210/C210</f>
        <v>#DIV/0!</v>
      </c>
      <c r="M210" s="216" t="e">
        <f>+J210/C210</f>
        <v>#DIV/0!</v>
      </c>
      <c r="N210" s="19"/>
      <c r="O210" s="19"/>
      <c r="P210" s="19"/>
      <c r="Q210" s="33"/>
      <c r="R210" s="19"/>
      <c r="S210" s="19"/>
      <c r="T210" s="19"/>
      <c r="U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</row>
    <row r="211" spans="1:56" x14ac:dyDescent="0.25">
      <c r="A211" s="33"/>
      <c r="B211" s="394">
        <v>4</v>
      </c>
      <c r="C211" s="106">
        <f>+AG113</f>
        <v>0</v>
      </c>
      <c r="D211" s="392">
        <f>+H79</f>
        <v>111.55228956122929</v>
      </c>
      <c r="E211" s="134">
        <f>+H196</f>
        <v>206.62691511881633</v>
      </c>
      <c r="F211" s="106">
        <f>+H195</f>
        <v>0</v>
      </c>
      <c r="G211" s="106">
        <f>+H190</f>
        <v>13.356307524230019</v>
      </c>
      <c r="H211" s="106">
        <f>+H191</f>
        <v>749.10806504346033</v>
      </c>
      <c r="I211" s="134">
        <f>+H192</f>
        <v>2.1331080246332306</v>
      </c>
      <c r="J211" s="106">
        <f>+H193</f>
        <v>11.223199499596788</v>
      </c>
      <c r="K211" s="134">
        <f>+H194</f>
        <v>303.19463428591411</v>
      </c>
      <c r="L211" s="215" t="e">
        <f>+I211/C211</f>
        <v>#DIV/0!</v>
      </c>
      <c r="M211" s="216" t="e">
        <f>+J211/C211</f>
        <v>#DIV/0!</v>
      </c>
      <c r="N211" s="19"/>
      <c r="O211" s="19"/>
      <c r="P211" s="19"/>
      <c r="Q211" s="33"/>
      <c r="R211" s="19"/>
      <c r="S211" s="19"/>
      <c r="T211" s="19"/>
      <c r="U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19"/>
      <c r="AY211" s="19"/>
      <c r="AZ211" s="19"/>
      <c r="BA211" s="19"/>
      <c r="BB211" s="19"/>
      <c r="BC211" s="19"/>
      <c r="BD211" s="19"/>
    </row>
    <row r="212" spans="1:56" x14ac:dyDescent="0.25">
      <c r="A212" s="33"/>
      <c r="B212" s="394">
        <v>5</v>
      </c>
      <c r="C212" s="106">
        <f>+AH113</f>
        <v>0</v>
      </c>
      <c r="D212" s="392">
        <f>+I79</f>
        <v>126.54330863783881</v>
      </c>
      <c r="E212" s="134">
        <f>+I196</f>
        <v>0</v>
      </c>
      <c r="F212" s="106">
        <f>+I195</f>
        <v>0</v>
      </c>
      <c r="G212" s="106">
        <f>+I190</f>
        <v>0</v>
      </c>
      <c r="H212" s="106">
        <f>+I191</f>
        <v>0</v>
      </c>
      <c r="I212" s="134">
        <f>+I192</f>
        <v>0</v>
      </c>
      <c r="J212" s="106">
        <f>+I193</f>
        <v>0</v>
      </c>
      <c r="K212" s="134">
        <f>+I194</f>
        <v>0</v>
      </c>
      <c r="L212" s="215" t="e">
        <f>+I212/C212</f>
        <v>#DIV/0!</v>
      </c>
      <c r="M212" s="216" t="e">
        <f>+J212/C212</f>
        <v>#DIV/0!</v>
      </c>
      <c r="N212" s="19"/>
      <c r="O212" s="19"/>
      <c r="P212" s="19"/>
      <c r="Q212" s="33"/>
      <c r="R212" s="19"/>
      <c r="S212" s="19"/>
      <c r="T212" s="19"/>
      <c r="U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</row>
    <row r="213" spans="1:56" x14ac:dyDescent="0.25">
      <c r="A213" s="33"/>
      <c r="B213" s="394">
        <v>6</v>
      </c>
      <c r="C213" s="106">
        <f t="shared" ref="C213:C214" si="133">+AH114</f>
        <v>0</v>
      </c>
      <c r="D213" s="392">
        <f t="shared" ref="D213:D214" si="134">+I80</f>
        <v>3.6909543873730369E-2</v>
      </c>
      <c r="E213" s="134">
        <f t="shared" ref="E213:E214" si="135">+I197</f>
        <v>0</v>
      </c>
      <c r="F213" s="106">
        <f t="shared" ref="F213:F214" si="136">+I196</f>
        <v>0</v>
      </c>
      <c r="G213" s="106">
        <f t="shared" ref="G213:G214" si="137">+I191</f>
        <v>0</v>
      </c>
      <c r="H213" s="106">
        <f t="shared" ref="H213:H214" si="138">+I192</f>
        <v>0</v>
      </c>
      <c r="I213" s="134">
        <f t="shared" ref="I213:I214" si="139">+I193</f>
        <v>0</v>
      </c>
      <c r="J213" s="106">
        <f t="shared" ref="J213:J214" si="140">+I194</f>
        <v>0</v>
      </c>
      <c r="K213" s="134">
        <f t="shared" ref="K213:K214" si="141">+I195</f>
        <v>0</v>
      </c>
      <c r="L213" s="215" t="e">
        <f t="shared" ref="L213:L214" si="142">+I213/C213</f>
        <v>#DIV/0!</v>
      </c>
      <c r="M213" s="216" t="e">
        <f t="shared" ref="M213:M214" si="143">+J213/C213</f>
        <v>#DIV/0!</v>
      </c>
      <c r="N213" s="23"/>
      <c r="O213" s="23"/>
      <c r="P213" s="23"/>
      <c r="Q213" s="33"/>
      <c r="R213" s="23"/>
      <c r="S213" s="23"/>
      <c r="T213" s="19"/>
      <c r="U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</row>
    <row r="214" spans="1:56" ht="15.75" thickBot="1" x14ac:dyDescent="0.3">
      <c r="A214" s="389"/>
      <c r="B214" s="395">
        <v>7</v>
      </c>
      <c r="C214" s="107">
        <f t="shared" si="133"/>
        <v>0</v>
      </c>
      <c r="D214" s="396">
        <f t="shared" si="134"/>
        <v>1.0554600000000001</v>
      </c>
      <c r="E214" s="135">
        <f t="shared" si="135"/>
        <v>0</v>
      </c>
      <c r="F214" s="107">
        <f t="shared" si="136"/>
        <v>0</v>
      </c>
      <c r="G214" s="107">
        <f t="shared" si="137"/>
        <v>0</v>
      </c>
      <c r="H214" s="107">
        <f t="shared" si="138"/>
        <v>0</v>
      </c>
      <c r="I214" s="135">
        <f t="shared" si="139"/>
        <v>0</v>
      </c>
      <c r="J214" s="107">
        <f t="shared" si="140"/>
        <v>0</v>
      </c>
      <c r="K214" s="135">
        <f t="shared" si="141"/>
        <v>0</v>
      </c>
      <c r="L214" s="217" t="e">
        <f t="shared" si="142"/>
        <v>#DIV/0!</v>
      </c>
      <c r="M214" s="218" t="e">
        <f t="shared" si="143"/>
        <v>#DIV/0!</v>
      </c>
      <c r="N214" s="28"/>
      <c r="O214" s="28"/>
      <c r="P214" s="28"/>
      <c r="Q214" s="33"/>
      <c r="R214" s="23"/>
      <c r="S214" s="23"/>
      <c r="T214" s="19"/>
      <c r="U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</row>
    <row r="215" spans="1:56" x14ac:dyDescent="0.25">
      <c r="A215" s="33"/>
      <c r="B215" s="33"/>
      <c r="C215" s="33"/>
      <c r="D215" s="27"/>
      <c r="E215" s="19"/>
      <c r="F215" s="34"/>
      <c r="G215" s="19"/>
      <c r="H215" s="19"/>
      <c r="I215" s="19"/>
      <c r="J215" s="34"/>
      <c r="K215" s="19"/>
      <c r="L215" s="19"/>
      <c r="M215" s="19"/>
      <c r="N215" s="23"/>
      <c r="O215" s="23"/>
      <c r="P215" s="23"/>
      <c r="Q215" s="33"/>
      <c r="R215" s="23"/>
      <c r="S215" s="23"/>
      <c r="T215" s="19"/>
      <c r="U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9"/>
      <c r="BC215" s="19"/>
      <c r="BD215" s="19"/>
    </row>
    <row r="216" spans="1:56" x14ac:dyDescent="0.25">
      <c r="A216" s="33"/>
      <c r="B216" s="33"/>
      <c r="C216" s="33"/>
      <c r="D216" s="27"/>
      <c r="E216" s="19"/>
      <c r="F216" s="34"/>
      <c r="G216" s="19"/>
      <c r="H216" s="19"/>
      <c r="I216" s="19"/>
      <c r="J216" s="34"/>
      <c r="K216" s="19"/>
      <c r="L216" s="19"/>
      <c r="M216" s="19"/>
      <c r="N216" s="23"/>
      <c r="O216" s="23"/>
      <c r="P216" s="23"/>
      <c r="Q216" s="33"/>
      <c r="R216" s="23"/>
      <c r="S216" s="23"/>
      <c r="T216" s="19"/>
      <c r="U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</row>
    <row r="217" spans="1:56" x14ac:dyDescent="0.25">
      <c r="A217" s="33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9"/>
      <c r="BC217" s="19"/>
      <c r="BD217" s="19"/>
    </row>
    <row r="218" spans="1:56" x14ac:dyDescent="0.25">
      <c r="A218" s="33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23"/>
      <c r="P218" s="23"/>
      <c r="Q218" s="33"/>
      <c r="R218" s="23"/>
      <c r="S218" s="23"/>
      <c r="T218" s="19"/>
      <c r="U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  <c r="BB218" s="19"/>
      <c r="BC218" s="19"/>
      <c r="BD218" s="19"/>
    </row>
    <row r="219" spans="1:56" x14ac:dyDescent="0.25">
      <c r="A219" s="33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23"/>
      <c r="P219" s="23"/>
      <c r="Q219" s="33"/>
      <c r="R219" s="23"/>
      <c r="S219" s="23"/>
      <c r="T219" s="19"/>
      <c r="U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  <c r="BB219" s="19"/>
      <c r="BC219" s="19"/>
      <c r="BD219" s="19"/>
    </row>
    <row r="220" spans="1:56" x14ac:dyDescent="0.25">
      <c r="A220" s="33"/>
      <c r="B220" s="33"/>
      <c r="C220" s="33"/>
      <c r="D220" s="33"/>
      <c r="E220" s="33"/>
      <c r="F220" s="118"/>
      <c r="G220" s="33"/>
      <c r="H220" s="33"/>
      <c r="I220" s="33"/>
      <c r="J220" s="118"/>
      <c r="K220" s="33"/>
      <c r="L220" s="19"/>
      <c r="M220" s="19"/>
      <c r="N220" s="23"/>
      <c r="O220" s="23"/>
      <c r="P220" s="23"/>
      <c r="Q220" s="33"/>
      <c r="R220" s="23"/>
      <c r="S220" s="23"/>
      <c r="T220" s="19"/>
      <c r="U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9"/>
      <c r="BC220" s="19"/>
      <c r="BD220" s="19"/>
    </row>
    <row r="221" spans="1:56" x14ac:dyDescent="0.25">
      <c r="A221" s="33"/>
      <c r="B221" s="33"/>
      <c r="C221" s="33"/>
      <c r="D221" s="27"/>
      <c r="E221" s="33"/>
      <c r="F221" s="118"/>
      <c r="G221" s="33"/>
      <c r="H221" s="33"/>
      <c r="I221" s="33"/>
      <c r="J221" s="118"/>
      <c r="K221" s="33"/>
      <c r="L221" s="19"/>
      <c r="M221" s="19"/>
      <c r="N221" s="19"/>
      <c r="O221" s="19"/>
      <c r="P221" s="19"/>
      <c r="Q221" s="33"/>
      <c r="R221" s="19"/>
      <c r="S221" s="19"/>
      <c r="T221" s="19"/>
      <c r="U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/>
      <c r="AY221" s="19"/>
      <c r="AZ221" s="19"/>
      <c r="BA221" s="19"/>
      <c r="BB221" s="19"/>
      <c r="BC221" s="19"/>
      <c r="BD221" s="19"/>
    </row>
    <row r="222" spans="1:56" x14ac:dyDescent="0.25">
      <c r="A222" s="33"/>
      <c r="B222" s="33"/>
      <c r="C222" s="33"/>
      <c r="D222" s="27"/>
      <c r="E222" s="33"/>
      <c r="F222" s="118"/>
      <c r="G222" s="33"/>
      <c r="H222" s="33"/>
      <c r="I222" s="33"/>
      <c r="J222" s="118"/>
      <c r="K222" s="33"/>
      <c r="L222" s="19"/>
      <c r="M222" s="19"/>
      <c r="N222" s="19"/>
      <c r="O222" s="19"/>
      <c r="P222" s="19"/>
      <c r="Q222" s="33"/>
      <c r="R222" s="19"/>
      <c r="S222" s="19"/>
      <c r="T222" s="19"/>
      <c r="U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</row>
    <row r="223" spans="1:56" x14ac:dyDescent="0.25">
      <c r="A223" s="33"/>
      <c r="B223" s="33"/>
      <c r="C223" s="33"/>
      <c r="D223" s="27"/>
      <c r="E223" s="33"/>
      <c r="F223" s="118"/>
      <c r="G223" s="33"/>
      <c r="H223" s="33"/>
      <c r="I223" s="33"/>
      <c r="J223" s="118"/>
      <c r="K223" s="33"/>
      <c r="L223" s="19"/>
      <c r="M223" s="19"/>
      <c r="N223" s="19"/>
      <c r="O223" s="19"/>
      <c r="P223" s="19"/>
      <c r="Q223" s="33"/>
      <c r="R223" s="19"/>
      <c r="S223" s="19"/>
      <c r="T223" s="19"/>
      <c r="U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9"/>
      <c r="BC223" s="19"/>
      <c r="BD223" s="19"/>
    </row>
    <row r="224" spans="1:56" x14ac:dyDescent="0.25">
      <c r="A224" s="19"/>
      <c r="B224" s="19"/>
      <c r="C224" s="19"/>
      <c r="D224" s="27"/>
      <c r="E224" s="19"/>
      <c r="F224" s="34"/>
      <c r="G224" s="19"/>
      <c r="H224" s="19"/>
      <c r="I224" s="19"/>
      <c r="J224" s="34"/>
      <c r="K224" s="19"/>
      <c r="L224" s="19"/>
      <c r="M224" s="19"/>
      <c r="N224" s="19"/>
      <c r="O224" s="19"/>
      <c r="P224" s="19"/>
      <c r="Q224" s="33"/>
      <c r="R224" s="19"/>
      <c r="S224" s="19"/>
      <c r="T224" s="19"/>
      <c r="U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</row>
    <row r="225" spans="1:21" x14ac:dyDescent="0.25">
      <c r="A225" s="19"/>
      <c r="B225" s="19"/>
      <c r="C225" s="19"/>
      <c r="D225" s="27"/>
      <c r="E225" s="19"/>
      <c r="F225" s="34"/>
      <c r="G225" s="19"/>
      <c r="H225" s="19"/>
      <c r="I225" s="19"/>
      <c r="J225" s="34"/>
      <c r="K225" s="19"/>
      <c r="L225" s="19"/>
      <c r="M225" s="19"/>
      <c r="N225" s="19"/>
      <c r="O225" s="19"/>
      <c r="P225" s="19"/>
      <c r="Q225" s="33"/>
      <c r="R225" s="19"/>
      <c r="S225" s="19"/>
      <c r="T225" s="19"/>
      <c r="U225" s="19"/>
    </row>
    <row r="226" spans="1:21" x14ac:dyDescent="0.25">
      <c r="A226" s="19"/>
      <c r="B226" s="19"/>
      <c r="C226" s="19"/>
      <c r="D226" s="27"/>
      <c r="E226" s="19"/>
      <c r="F226" s="34"/>
      <c r="G226" s="19"/>
      <c r="H226" s="19"/>
      <c r="I226" s="19"/>
      <c r="J226" s="34"/>
      <c r="K226" s="19"/>
      <c r="L226" s="19"/>
      <c r="M226" s="19"/>
      <c r="N226" s="19"/>
      <c r="O226" s="19"/>
      <c r="P226" s="19"/>
      <c r="Q226" s="33"/>
      <c r="R226" s="19"/>
      <c r="S226" s="19"/>
      <c r="T226" s="19"/>
      <c r="U226" s="19"/>
    </row>
    <row r="227" spans="1:21" x14ac:dyDescent="0.25">
      <c r="A227" s="19"/>
      <c r="B227" s="19"/>
      <c r="C227" s="19"/>
      <c r="D227" s="27"/>
      <c r="E227" s="19"/>
      <c r="F227" s="34"/>
      <c r="G227" s="19"/>
      <c r="H227" s="19"/>
      <c r="I227" s="19"/>
      <c r="J227" s="34"/>
      <c r="K227" s="19"/>
      <c r="L227" s="19"/>
      <c r="M227" s="19"/>
      <c r="N227" s="19"/>
      <c r="O227" s="19"/>
      <c r="P227" s="19"/>
      <c r="Q227" s="33"/>
      <c r="R227" s="19"/>
      <c r="S227" s="19"/>
      <c r="T227" s="19"/>
      <c r="U227" s="19"/>
    </row>
    <row r="228" spans="1:21" x14ac:dyDescent="0.25">
      <c r="A228" s="19"/>
      <c r="B228" s="19"/>
      <c r="C228" s="19"/>
      <c r="D228" s="27"/>
      <c r="E228" s="19"/>
      <c r="F228" s="34"/>
      <c r="G228" s="19"/>
      <c r="H228" s="19"/>
      <c r="I228" s="19"/>
      <c r="J228" s="34"/>
      <c r="K228" s="19"/>
      <c r="L228" s="19"/>
      <c r="M228" s="19"/>
      <c r="N228" s="19"/>
      <c r="O228" s="19"/>
      <c r="P228" s="19"/>
      <c r="Q228" s="33"/>
      <c r="R228" s="19"/>
      <c r="S228" s="19"/>
      <c r="T228" s="19"/>
      <c r="U228" s="19"/>
    </row>
    <row r="229" spans="1:21" x14ac:dyDescent="0.25">
      <c r="A229" s="19"/>
      <c r="B229" s="19"/>
      <c r="C229" s="19"/>
      <c r="D229" s="27"/>
      <c r="E229" s="19"/>
      <c r="F229" s="34"/>
      <c r="G229" s="19"/>
      <c r="H229" s="19"/>
      <c r="I229" s="19"/>
      <c r="J229" s="34"/>
      <c r="K229" s="19"/>
      <c r="L229" s="19"/>
      <c r="M229" s="19"/>
      <c r="N229" s="19"/>
      <c r="O229" s="19"/>
      <c r="P229" s="19"/>
      <c r="Q229" s="33"/>
      <c r="R229" s="19"/>
      <c r="S229" s="19"/>
      <c r="T229" s="19"/>
      <c r="U229" s="19"/>
    </row>
    <row r="230" spans="1:21" x14ac:dyDescent="0.25">
      <c r="A230" s="19"/>
      <c r="B230" s="19"/>
      <c r="C230" s="19"/>
      <c r="D230" s="27"/>
      <c r="E230" s="19"/>
      <c r="F230" s="34"/>
      <c r="G230" s="19"/>
      <c r="H230" s="19"/>
      <c r="I230" s="19"/>
      <c r="J230" s="34"/>
      <c r="K230" s="19"/>
      <c r="L230" s="19"/>
      <c r="M230" s="19"/>
      <c r="N230" s="19"/>
      <c r="O230" s="19"/>
      <c r="P230" s="19"/>
      <c r="Q230" s="33"/>
      <c r="R230" s="19"/>
      <c r="S230" s="19"/>
      <c r="T230" s="19"/>
      <c r="U230" s="19"/>
    </row>
    <row r="231" spans="1:21" x14ac:dyDescent="0.25">
      <c r="A231" s="19"/>
      <c r="B231" s="19"/>
      <c r="C231" s="19"/>
      <c r="D231" s="27"/>
      <c r="E231" s="19"/>
      <c r="F231" s="34"/>
      <c r="G231" s="19"/>
      <c r="H231" s="19"/>
      <c r="I231" s="19"/>
      <c r="J231" s="34"/>
      <c r="K231" s="19"/>
      <c r="L231" s="19"/>
      <c r="M231" s="19"/>
      <c r="N231" s="19"/>
      <c r="O231" s="19"/>
      <c r="P231" s="19"/>
      <c r="Q231" s="33"/>
      <c r="R231" s="19"/>
      <c r="S231" s="19"/>
      <c r="T231" s="19"/>
      <c r="U231" s="19"/>
    </row>
    <row r="232" spans="1:21" x14ac:dyDescent="0.25">
      <c r="A232" s="19"/>
      <c r="B232" s="19"/>
      <c r="C232" s="19"/>
      <c r="D232" s="27"/>
      <c r="E232" s="19"/>
      <c r="F232" s="34"/>
      <c r="G232" s="19"/>
      <c r="H232" s="19"/>
      <c r="I232" s="19"/>
      <c r="J232" s="34"/>
      <c r="K232" s="19"/>
      <c r="L232" s="19"/>
      <c r="M232" s="19"/>
      <c r="N232" s="19"/>
      <c r="O232" s="19"/>
      <c r="P232" s="19"/>
      <c r="Q232" s="33"/>
      <c r="R232" s="19"/>
      <c r="S232" s="19"/>
      <c r="T232" s="19"/>
      <c r="U232" s="19"/>
    </row>
    <row r="233" spans="1:21" x14ac:dyDescent="0.25">
      <c r="A233" s="19"/>
      <c r="B233" s="19"/>
      <c r="C233" s="19"/>
      <c r="D233" s="27"/>
      <c r="E233" s="19"/>
      <c r="F233" s="34"/>
      <c r="G233" s="19"/>
      <c r="H233" s="19"/>
      <c r="I233" s="19"/>
      <c r="J233" s="34"/>
      <c r="K233" s="19"/>
      <c r="L233" s="19"/>
      <c r="M233" s="19"/>
      <c r="N233" s="19"/>
      <c r="O233" s="19"/>
      <c r="P233" s="19"/>
      <c r="Q233" s="33"/>
      <c r="R233" s="19"/>
      <c r="S233" s="19"/>
      <c r="T233" s="19"/>
      <c r="U233" s="19"/>
    </row>
    <row r="234" spans="1:21" x14ac:dyDescent="0.25">
      <c r="A234" s="19"/>
      <c r="B234" s="19"/>
      <c r="C234" s="19"/>
      <c r="D234" s="27"/>
      <c r="E234" s="19"/>
      <c r="F234" s="34"/>
      <c r="G234" s="19"/>
      <c r="H234" s="19"/>
      <c r="I234" s="19"/>
      <c r="J234" s="34"/>
      <c r="K234" s="19"/>
      <c r="L234" s="19"/>
      <c r="M234" s="19"/>
      <c r="N234" s="19"/>
      <c r="O234" s="19"/>
      <c r="P234" s="19"/>
      <c r="Q234" s="33"/>
      <c r="R234" s="19"/>
      <c r="S234" s="19"/>
      <c r="T234" s="19"/>
      <c r="U234" s="19"/>
    </row>
    <row r="235" spans="1:21" x14ac:dyDescent="0.25">
      <c r="A235" s="19"/>
      <c r="B235" s="19"/>
      <c r="C235" s="19"/>
      <c r="D235" s="27"/>
      <c r="E235" s="19"/>
      <c r="F235" s="34"/>
      <c r="G235" s="19"/>
      <c r="H235" s="19"/>
      <c r="I235" s="19"/>
      <c r="J235" s="34"/>
      <c r="K235" s="19"/>
      <c r="L235" s="19"/>
      <c r="M235" s="19"/>
      <c r="N235" s="19"/>
      <c r="O235" s="19"/>
      <c r="P235" s="19"/>
      <c r="Q235" s="33"/>
      <c r="R235" s="19"/>
      <c r="S235" s="19"/>
      <c r="T235" s="19"/>
      <c r="U235" s="19"/>
    </row>
    <row r="236" spans="1:21" x14ac:dyDescent="0.25">
      <c r="A236" s="19"/>
      <c r="B236" s="19"/>
      <c r="C236" s="19"/>
      <c r="D236" s="27"/>
      <c r="E236" s="19"/>
      <c r="F236" s="34"/>
      <c r="G236" s="19"/>
      <c r="H236" s="19"/>
      <c r="I236" s="19"/>
      <c r="J236" s="34"/>
      <c r="K236" s="19"/>
      <c r="L236" s="19"/>
      <c r="M236" s="19"/>
      <c r="N236" s="19"/>
      <c r="O236" s="19"/>
      <c r="P236" s="19"/>
      <c r="Q236" s="33"/>
      <c r="R236" s="19"/>
      <c r="S236" s="19"/>
      <c r="T236" s="19"/>
      <c r="U236" s="19"/>
    </row>
    <row r="237" spans="1:21" x14ac:dyDescent="0.25">
      <c r="A237" s="19"/>
      <c r="B237" s="19"/>
      <c r="C237" s="19"/>
      <c r="D237" s="27"/>
      <c r="E237" s="19"/>
      <c r="F237" s="34"/>
      <c r="G237" s="19"/>
      <c r="H237" s="19"/>
      <c r="I237" s="19"/>
      <c r="J237" s="34"/>
      <c r="K237" s="19"/>
      <c r="L237" s="19"/>
      <c r="M237" s="19"/>
      <c r="N237" s="19"/>
      <c r="O237" s="19"/>
      <c r="P237" s="19"/>
      <c r="Q237" s="33"/>
      <c r="R237" s="19"/>
      <c r="S237" s="19"/>
      <c r="T237" s="19"/>
      <c r="U237" s="19"/>
    </row>
    <row r="238" spans="1:21" x14ac:dyDescent="0.25">
      <c r="A238" s="19"/>
      <c r="B238" s="19"/>
      <c r="C238" s="19"/>
      <c r="D238" s="27"/>
      <c r="E238" s="19"/>
      <c r="F238" s="34"/>
      <c r="G238" s="19"/>
      <c r="H238" s="19"/>
      <c r="I238" s="19"/>
      <c r="J238" s="34"/>
      <c r="K238" s="19"/>
      <c r="L238" s="19"/>
      <c r="M238" s="19"/>
      <c r="N238" s="19"/>
      <c r="O238" s="19"/>
      <c r="P238" s="19"/>
      <c r="Q238" s="33"/>
      <c r="R238" s="19"/>
      <c r="S238" s="19"/>
      <c r="T238" s="19"/>
      <c r="U238" s="19"/>
    </row>
    <row r="239" spans="1:21" x14ac:dyDescent="0.25">
      <c r="A239" s="19"/>
      <c r="B239" s="19"/>
      <c r="C239" s="19"/>
      <c r="D239" s="27"/>
      <c r="E239" s="19"/>
      <c r="F239" s="34"/>
      <c r="G239" s="19"/>
      <c r="H239" s="19"/>
      <c r="I239" s="19"/>
      <c r="J239" s="34"/>
      <c r="K239" s="19"/>
      <c r="L239" s="19"/>
      <c r="M239" s="19"/>
      <c r="N239" s="19"/>
      <c r="O239" s="19"/>
      <c r="P239" s="19"/>
      <c r="Q239" s="33"/>
      <c r="R239" s="19"/>
      <c r="S239" s="19"/>
      <c r="T239" s="19"/>
      <c r="U239" s="19"/>
    </row>
    <row r="240" spans="1:21" x14ac:dyDescent="0.25">
      <c r="A240" s="19"/>
      <c r="B240" s="19"/>
      <c r="C240" s="19"/>
      <c r="D240" s="27"/>
      <c r="E240" s="19"/>
      <c r="F240" s="34"/>
      <c r="G240" s="19"/>
      <c r="H240" s="19"/>
      <c r="I240" s="19"/>
      <c r="J240" s="34"/>
      <c r="K240" s="19"/>
      <c r="L240" s="19"/>
      <c r="M240" s="19"/>
      <c r="N240" s="19"/>
      <c r="O240" s="19"/>
      <c r="P240" s="19"/>
      <c r="Q240" s="33"/>
      <c r="R240" s="19"/>
      <c r="S240" s="19"/>
      <c r="T240" s="19"/>
      <c r="U240" s="19"/>
    </row>
    <row r="241" spans="1:21" x14ac:dyDescent="0.25">
      <c r="A241" s="19"/>
      <c r="B241" s="19"/>
      <c r="C241" s="19"/>
      <c r="D241" s="27"/>
      <c r="E241" s="19"/>
      <c r="F241" s="34"/>
      <c r="G241" s="19"/>
      <c r="H241" s="19"/>
      <c r="I241" s="19"/>
      <c r="J241" s="34"/>
      <c r="K241" s="19"/>
      <c r="L241" s="19"/>
      <c r="M241" s="19"/>
      <c r="N241" s="19"/>
      <c r="O241" s="19"/>
      <c r="P241" s="19"/>
      <c r="Q241" s="33"/>
      <c r="R241" s="19"/>
      <c r="S241" s="19"/>
      <c r="T241" s="19"/>
      <c r="U241" s="19"/>
    </row>
    <row r="242" spans="1:21" x14ac:dyDescent="0.25">
      <c r="A242" s="19"/>
      <c r="B242" s="19"/>
      <c r="C242" s="19"/>
      <c r="D242" s="27"/>
      <c r="E242" s="19"/>
      <c r="F242" s="34"/>
      <c r="G242" s="19"/>
      <c r="H242" s="19"/>
      <c r="I242" s="19"/>
      <c r="J242" s="34"/>
      <c r="K242" s="19"/>
      <c r="L242" s="19"/>
      <c r="M242" s="19"/>
      <c r="N242" s="19"/>
      <c r="O242" s="19"/>
      <c r="P242" s="19"/>
      <c r="Q242" s="33"/>
      <c r="R242" s="19"/>
      <c r="S242" s="19"/>
      <c r="T242" s="19"/>
      <c r="U242" s="19"/>
    </row>
    <row r="243" spans="1:21" x14ac:dyDescent="0.25">
      <c r="A243" s="19"/>
      <c r="B243" s="19"/>
      <c r="C243" s="19"/>
      <c r="D243" s="27"/>
      <c r="E243" s="19"/>
      <c r="F243" s="34"/>
      <c r="G243" s="19"/>
      <c r="H243" s="19"/>
      <c r="I243" s="19"/>
      <c r="J243" s="34"/>
      <c r="K243" s="19"/>
      <c r="L243" s="19"/>
      <c r="M243" s="19"/>
      <c r="N243" s="19"/>
      <c r="O243" s="19"/>
      <c r="P243" s="19"/>
      <c r="Q243" s="33"/>
      <c r="R243" s="19"/>
      <c r="S243" s="19"/>
      <c r="T243" s="19"/>
      <c r="U243" s="19"/>
    </row>
    <row r="244" spans="1:21" x14ac:dyDescent="0.25">
      <c r="A244" s="19"/>
      <c r="B244" s="19"/>
      <c r="C244" s="19"/>
      <c r="D244" s="27"/>
      <c r="E244" s="19"/>
      <c r="F244" s="34"/>
      <c r="G244" s="19"/>
      <c r="H244" s="19"/>
      <c r="I244" s="19"/>
      <c r="J244" s="34"/>
      <c r="K244" s="19"/>
      <c r="L244" s="19"/>
      <c r="M244" s="19"/>
      <c r="N244" s="19"/>
      <c r="O244" s="19"/>
      <c r="P244" s="19"/>
      <c r="Q244" s="33"/>
      <c r="R244" s="19"/>
      <c r="S244" s="19"/>
      <c r="T244" s="19"/>
      <c r="U244" s="19"/>
    </row>
    <row r="245" spans="1:21" x14ac:dyDescent="0.25">
      <c r="A245" s="19"/>
      <c r="B245" s="19"/>
      <c r="C245" s="19"/>
      <c r="D245" s="27"/>
      <c r="E245" s="19"/>
      <c r="F245" s="34"/>
      <c r="G245" s="19"/>
      <c r="H245" s="19"/>
      <c r="I245" s="19"/>
      <c r="J245" s="34"/>
      <c r="K245" s="19"/>
      <c r="L245" s="19"/>
      <c r="M245" s="19"/>
      <c r="N245" s="19"/>
      <c r="O245" s="19"/>
      <c r="P245" s="19"/>
      <c r="Q245" s="33"/>
      <c r="R245" s="19"/>
      <c r="S245" s="19"/>
      <c r="T245" s="19"/>
      <c r="U245" s="19"/>
    </row>
    <row r="246" spans="1:21" x14ac:dyDescent="0.25">
      <c r="A246" s="19"/>
      <c r="B246" s="19"/>
      <c r="C246" s="19"/>
      <c r="D246" s="27"/>
      <c r="E246" s="19"/>
      <c r="F246" s="34"/>
      <c r="G246" s="19"/>
      <c r="H246" s="19"/>
      <c r="I246" s="19"/>
      <c r="J246" s="34"/>
      <c r="K246" s="19"/>
      <c r="L246" s="19"/>
      <c r="M246" s="19"/>
      <c r="N246" s="19"/>
      <c r="O246" s="19"/>
      <c r="P246" s="19"/>
      <c r="Q246" s="33"/>
      <c r="R246" s="19"/>
      <c r="S246" s="19"/>
      <c r="T246" s="19"/>
      <c r="U246" s="19"/>
    </row>
    <row r="247" spans="1:21" x14ac:dyDescent="0.25">
      <c r="A247" s="19"/>
      <c r="B247" s="19"/>
      <c r="C247" s="19"/>
      <c r="D247" s="27"/>
      <c r="E247" s="19"/>
      <c r="F247" s="34"/>
      <c r="G247" s="19"/>
      <c r="H247" s="19"/>
      <c r="I247" s="19"/>
      <c r="J247" s="34"/>
      <c r="K247" s="19"/>
      <c r="L247" s="19"/>
      <c r="M247" s="19"/>
      <c r="N247" s="19"/>
      <c r="O247" s="19"/>
      <c r="P247" s="19"/>
      <c r="Q247" s="33"/>
      <c r="R247" s="19"/>
      <c r="S247" s="19"/>
      <c r="T247" s="19"/>
      <c r="U247" s="19"/>
    </row>
    <row r="248" spans="1:21" x14ac:dyDescent="0.25">
      <c r="A248" s="19"/>
      <c r="B248" s="19"/>
      <c r="C248" s="19"/>
      <c r="D248" s="27"/>
      <c r="E248" s="19"/>
      <c r="F248" s="34"/>
      <c r="G248" s="19"/>
      <c r="H248" s="19"/>
      <c r="I248" s="19"/>
      <c r="J248" s="34"/>
      <c r="K248" s="19"/>
      <c r="L248" s="19"/>
      <c r="M248" s="19"/>
      <c r="N248" s="19"/>
      <c r="O248" s="19"/>
      <c r="P248" s="19"/>
      <c r="Q248" s="33"/>
      <c r="R248" s="19"/>
      <c r="S248" s="19"/>
      <c r="T248" s="19"/>
      <c r="U248" s="19"/>
    </row>
    <row r="249" spans="1:21" x14ac:dyDescent="0.25">
      <c r="A249" s="19"/>
      <c r="B249" s="19"/>
      <c r="C249" s="19"/>
      <c r="D249" s="27"/>
      <c r="E249" s="19"/>
      <c r="F249" s="34"/>
      <c r="G249" s="19"/>
      <c r="H249" s="19"/>
      <c r="I249" s="19"/>
      <c r="J249" s="34"/>
      <c r="K249" s="19"/>
      <c r="L249" s="19"/>
      <c r="M249" s="19"/>
      <c r="N249" s="19"/>
      <c r="O249" s="19"/>
      <c r="P249" s="19"/>
      <c r="Q249" s="33"/>
      <c r="R249" s="19"/>
      <c r="S249" s="19"/>
      <c r="T249" s="19"/>
      <c r="U249" s="19"/>
    </row>
    <row r="250" spans="1:21" x14ac:dyDescent="0.25">
      <c r="A250" s="19"/>
      <c r="B250" s="19"/>
      <c r="C250" s="19"/>
      <c r="D250" s="27"/>
      <c r="E250" s="19"/>
      <c r="F250" s="34"/>
      <c r="G250" s="19"/>
      <c r="H250" s="19"/>
      <c r="I250" s="19"/>
      <c r="J250" s="34"/>
      <c r="K250" s="19"/>
      <c r="L250" s="19"/>
      <c r="M250" s="19"/>
      <c r="N250" s="19"/>
      <c r="O250" s="19"/>
      <c r="P250" s="19"/>
      <c r="Q250" s="33"/>
      <c r="R250" s="19"/>
      <c r="S250" s="19"/>
      <c r="T250" s="19"/>
      <c r="U250" s="19"/>
    </row>
    <row r="251" spans="1:21" x14ac:dyDescent="0.25">
      <c r="A251" s="19"/>
      <c r="B251" s="19"/>
      <c r="C251" s="19"/>
      <c r="D251" s="27"/>
      <c r="E251" s="19"/>
      <c r="F251" s="34"/>
      <c r="G251" s="19"/>
      <c r="H251" s="19"/>
      <c r="I251" s="19"/>
      <c r="J251" s="34"/>
      <c r="K251" s="19"/>
      <c r="L251" s="19"/>
      <c r="M251" s="19"/>
      <c r="N251" s="19"/>
      <c r="O251" s="19"/>
      <c r="P251" s="19"/>
      <c r="Q251" s="33"/>
      <c r="R251" s="19"/>
      <c r="S251" s="19"/>
      <c r="T251" s="19"/>
      <c r="U251" s="19"/>
    </row>
    <row r="252" spans="1:21" x14ac:dyDescent="0.25">
      <c r="A252" s="19"/>
      <c r="B252" s="19"/>
      <c r="C252" s="19"/>
      <c r="D252" s="27"/>
      <c r="E252" s="19"/>
      <c r="F252" s="34"/>
      <c r="G252" s="19"/>
      <c r="H252" s="19"/>
      <c r="I252" s="19"/>
      <c r="J252" s="34"/>
      <c r="K252" s="19"/>
      <c r="L252" s="19"/>
      <c r="M252" s="19"/>
      <c r="N252" s="19"/>
      <c r="O252" s="19"/>
      <c r="P252" s="19"/>
      <c r="Q252" s="33"/>
      <c r="R252" s="19"/>
      <c r="S252" s="19"/>
      <c r="T252" s="19"/>
      <c r="U252" s="19"/>
    </row>
    <row r="253" spans="1:21" x14ac:dyDescent="0.25">
      <c r="A253" s="19"/>
      <c r="B253" s="19"/>
      <c r="C253" s="19"/>
      <c r="D253" s="27"/>
      <c r="E253" s="19"/>
      <c r="F253" s="34"/>
      <c r="G253" s="19"/>
      <c r="H253" s="19"/>
      <c r="I253" s="19"/>
      <c r="J253" s="34"/>
      <c r="K253" s="19"/>
      <c r="L253" s="19"/>
      <c r="M253" s="19"/>
      <c r="N253" s="19"/>
      <c r="O253" s="19"/>
      <c r="P253" s="19"/>
      <c r="Q253" s="33"/>
      <c r="R253" s="19"/>
      <c r="S253" s="19"/>
      <c r="T253" s="19"/>
      <c r="U253" s="19"/>
    </row>
    <row r="254" spans="1:21" x14ac:dyDescent="0.25">
      <c r="A254" s="19"/>
      <c r="B254" s="19"/>
      <c r="C254" s="19"/>
      <c r="D254" s="27"/>
      <c r="E254" s="19"/>
      <c r="F254" s="34"/>
      <c r="G254" s="19"/>
      <c r="H254" s="19"/>
      <c r="I254" s="19"/>
      <c r="J254" s="34"/>
      <c r="K254" s="19"/>
      <c r="L254" s="19"/>
      <c r="M254" s="19"/>
      <c r="N254" s="19"/>
      <c r="O254" s="19"/>
      <c r="P254" s="19"/>
      <c r="Q254" s="33"/>
      <c r="R254" s="19"/>
      <c r="S254" s="19"/>
      <c r="T254" s="19"/>
      <c r="U254" s="19"/>
    </row>
    <row r="255" spans="1:21" x14ac:dyDescent="0.25">
      <c r="A255" s="19"/>
      <c r="B255" s="19"/>
      <c r="C255" s="19"/>
      <c r="D255" s="27"/>
      <c r="E255" s="19"/>
      <c r="F255" s="34"/>
      <c r="G255" s="19"/>
      <c r="H255" s="19"/>
      <c r="I255" s="19"/>
      <c r="J255" s="34"/>
      <c r="K255" s="19"/>
      <c r="L255" s="19"/>
      <c r="M255" s="19"/>
      <c r="N255" s="19"/>
      <c r="O255" s="19"/>
      <c r="P255" s="19"/>
      <c r="Q255" s="33"/>
      <c r="R255" s="19"/>
      <c r="S255" s="19"/>
      <c r="T255" s="19"/>
      <c r="U255" s="19"/>
    </row>
    <row r="256" spans="1:21" x14ac:dyDescent="0.25">
      <c r="A256" s="19"/>
      <c r="B256" s="19"/>
      <c r="C256" s="19"/>
      <c r="D256" s="27"/>
      <c r="E256" s="19"/>
      <c r="F256" s="34"/>
      <c r="G256" s="19"/>
      <c r="H256" s="19"/>
      <c r="I256" s="19"/>
      <c r="J256" s="34"/>
      <c r="K256" s="19"/>
      <c r="L256" s="19"/>
      <c r="M256" s="19"/>
      <c r="N256" s="19"/>
      <c r="O256" s="19"/>
      <c r="P256" s="19"/>
      <c r="Q256" s="33"/>
      <c r="R256" s="19"/>
      <c r="S256" s="19"/>
      <c r="T256" s="19"/>
      <c r="U256" s="19"/>
    </row>
    <row r="257" spans="1:21" x14ac:dyDescent="0.25">
      <c r="A257" s="19"/>
      <c r="B257" s="19"/>
      <c r="C257" s="19"/>
      <c r="D257" s="27"/>
      <c r="E257" s="19"/>
      <c r="F257" s="34"/>
      <c r="G257" s="19"/>
      <c r="H257" s="19"/>
      <c r="I257" s="19"/>
      <c r="J257" s="34"/>
      <c r="K257" s="19"/>
      <c r="L257" s="19"/>
      <c r="M257" s="19"/>
      <c r="N257" s="19"/>
      <c r="O257" s="19"/>
      <c r="P257" s="19"/>
      <c r="Q257" s="33"/>
      <c r="R257" s="19"/>
      <c r="S257" s="19"/>
      <c r="T257" s="19"/>
      <c r="U257" s="19"/>
    </row>
    <row r="258" spans="1:21" x14ac:dyDescent="0.25">
      <c r="A258" s="19"/>
      <c r="B258" s="19"/>
      <c r="C258" s="19"/>
      <c r="D258" s="27"/>
      <c r="E258" s="19"/>
      <c r="F258" s="34"/>
      <c r="G258" s="19"/>
      <c r="H258" s="19"/>
      <c r="I258" s="19"/>
      <c r="J258" s="34"/>
      <c r="K258" s="19"/>
      <c r="L258" s="19"/>
      <c r="M258" s="19"/>
      <c r="N258" s="19"/>
      <c r="O258" s="19"/>
      <c r="P258" s="19"/>
      <c r="Q258" s="33"/>
      <c r="R258" s="19"/>
      <c r="S258" s="19"/>
      <c r="T258" s="19"/>
      <c r="U258" s="19"/>
    </row>
    <row r="259" spans="1:21" x14ac:dyDescent="0.25">
      <c r="A259" s="19"/>
      <c r="B259" s="19"/>
      <c r="C259" s="19"/>
      <c r="D259" s="27"/>
      <c r="E259" s="19"/>
      <c r="F259" s="34"/>
      <c r="G259" s="19"/>
      <c r="H259" s="19"/>
      <c r="I259" s="19"/>
      <c r="J259" s="34"/>
      <c r="K259" s="19"/>
      <c r="L259" s="19"/>
      <c r="M259" s="19"/>
      <c r="N259" s="19"/>
      <c r="O259" s="19"/>
      <c r="P259" s="19"/>
      <c r="Q259" s="33"/>
      <c r="R259" s="19"/>
      <c r="S259" s="19"/>
      <c r="T259" s="19"/>
      <c r="U259" s="19"/>
    </row>
    <row r="260" spans="1:21" x14ac:dyDescent="0.25">
      <c r="A260" s="19"/>
      <c r="B260" s="19"/>
      <c r="C260" s="19"/>
      <c r="D260" s="27"/>
      <c r="E260" s="19"/>
      <c r="F260" s="34"/>
      <c r="G260" s="19"/>
      <c r="H260" s="19"/>
      <c r="I260" s="19"/>
      <c r="J260" s="34"/>
      <c r="K260" s="19"/>
      <c r="L260" s="19"/>
      <c r="M260" s="19"/>
      <c r="N260" s="19"/>
      <c r="O260" s="19"/>
      <c r="P260" s="19"/>
      <c r="Q260" s="33"/>
      <c r="R260" s="19"/>
      <c r="S260" s="19"/>
      <c r="T260" s="19"/>
      <c r="U260" s="19"/>
    </row>
    <row r="261" spans="1:21" x14ac:dyDescent="0.25">
      <c r="A261" s="19"/>
      <c r="B261" s="19"/>
      <c r="C261" s="19"/>
      <c r="D261" s="27"/>
      <c r="E261" s="19"/>
      <c r="F261" s="34"/>
      <c r="G261" s="19"/>
      <c r="H261" s="19"/>
      <c r="I261" s="19"/>
      <c r="J261" s="34"/>
      <c r="K261" s="19"/>
      <c r="L261" s="19"/>
      <c r="M261" s="19"/>
      <c r="N261" s="19"/>
      <c r="O261" s="19"/>
      <c r="P261" s="19"/>
      <c r="Q261" s="33"/>
      <c r="R261" s="19"/>
      <c r="S261" s="19"/>
      <c r="T261" s="19"/>
      <c r="U261" s="19"/>
    </row>
    <row r="262" spans="1:21" x14ac:dyDescent="0.25">
      <c r="A262" s="19"/>
      <c r="B262" s="19"/>
      <c r="C262" s="19"/>
      <c r="D262" s="27"/>
      <c r="E262" s="19"/>
      <c r="F262" s="34"/>
      <c r="G262" s="19"/>
      <c r="H262" s="19"/>
      <c r="I262" s="19"/>
      <c r="J262" s="34"/>
      <c r="K262" s="19"/>
      <c r="L262" s="19"/>
      <c r="M262" s="19"/>
      <c r="N262" s="19"/>
      <c r="O262" s="19"/>
      <c r="P262" s="19"/>
      <c r="Q262" s="33"/>
      <c r="R262" s="19"/>
      <c r="S262" s="19"/>
      <c r="T262" s="19"/>
      <c r="U262" s="19"/>
    </row>
    <row r="263" spans="1:21" x14ac:dyDescent="0.25">
      <c r="A263" s="19"/>
      <c r="B263" s="19"/>
      <c r="C263" s="19"/>
      <c r="D263" s="27"/>
      <c r="E263" s="19"/>
      <c r="F263" s="34"/>
      <c r="G263" s="19"/>
      <c r="H263" s="19"/>
      <c r="I263" s="19"/>
      <c r="J263" s="34"/>
      <c r="K263" s="19"/>
      <c r="L263" s="19"/>
      <c r="M263" s="19"/>
      <c r="N263" s="19"/>
      <c r="O263" s="19"/>
      <c r="P263" s="19"/>
      <c r="Q263" s="33"/>
      <c r="R263" s="19"/>
      <c r="S263" s="19"/>
      <c r="T263" s="19"/>
      <c r="U263" s="19"/>
    </row>
    <row r="264" spans="1:21" x14ac:dyDescent="0.25">
      <c r="A264" s="19"/>
      <c r="B264" s="19"/>
      <c r="C264" s="19"/>
      <c r="D264" s="27"/>
      <c r="E264" s="19"/>
      <c r="F264" s="34"/>
      <c r="G264" s="19"/>
      <c r="H264" s="19"/>
      <c r="I264" s="19"/>
      <c r="J264" s="34"/>
      <c r="K264" s="19"/>
      <c r="L264" s="19"/>
      <c r="M264" s="19"/>
      <c r="N264" s="19"/>
      <c r="O264" s="19"/>
      <c r="P264" s="19"/>
      <c r="Q264" s="33"/>
      <c r="R264" s="19"/>
      <c r="S264" s="19"/>
      <c r="T264" s="19"/>
      <c r="U264" s="19"/>
    </row>
    <row r="265" spans="1:21" x14ac:dyDescent="0.25">
      <c r="A265" s="19"/>
      <c r="B265" s="19"/>
      <c r="C265" s="19"/>
      <c r="D265" s="27"/>
      <c r="E265" s="19"/>
      <c r="F265" s="34"/>
      <c r="G265" s="19"/>
      <c r="H265" s="19"/>
      <c r="I265" s="19"/>
      <c r="J265" s="34"/>
      <c r="K265" s="19"/>
      <c r="L265" s="19"/>
      <c r="M265" s="19"/>
      <c r="N265" s="19"/>
      <c r="O265" s="19"/>
      <c r="P265" s="19"/>
      <c r="Q265" s="33"/>
      <c r="R265" s="19"/>
      <c r="S265" s="19"/>
      <c r="T265" s="19"/>
      <c r="U265" s="19"/>
    </row>
    <row r="266" spans="1:21" x14ac:dyDescent="0.25">
      <c r="A266" s="19"/>
      <c r="B266" s="19"/>
      <c r="C266" s="19"/>
      <c r="D266" s="27"/>
      <c r="E266" s="19"/>
      <c r="F266" s="34"/>
      <c r="G266" s="19"/>
      <c r="H266" s="19"/>
      <c r="I266" s="19"/>
      <c r="J266" s="34"/>
      <c r="K266" s="19"/>
      <c r="L266" s="19"/>
      <c r="M266" s="19"/>
      <c r="N266" s="19"/>
      <c r="O266" s="19"/>
      <c r="P266" s="19"/>
      <c r="Q266" s="33"/>
      <c r="R266" s="19"/>
      <c r="S266" s="19"/>
      <c r="T266" s="19"/>
      <c r="U266" s="19"/>
    </row>
    <row r="267" spans="1:21" x14ac:dyDescent="0.25">
      <c r="A267" s="19"/>
      <c r="B267" s="19"/>
      <c r="C267" s="19"/>
      <c r="D267" s="27"/>
      <c r="E267" s="19"/>
      <c r="F267" s="34"/>
      <c r="G267" s="19"/>
      <c r="H267" s="19"/>
      <c r="I267" s="19"/>
      <c r="J267" s="34"/>
      <c r="K267" s="19"/>
      <c r="L267" s="19"/>
      <c r="M267" s="19"/>
      <c r="N267" s="19"/>
      <c r="O267" s="19"/>
      <c r="P267" s="19"/>
      <c r="Q267" s="33"/>
      <c r="R267" s="19"/>
      <c r="S267" s="19"/>
      <c r="T267" s="19"/>
      <c r="U267" s="19"/>
    </row>
    <row r="268" spans="1:21" x14ac:dyDescent="0.25">
      <c r="A268" s="19"/>
      <c r="B268" s="19"/>
      <c r="C268" s="19"/>
      <c r="D268" s="27"/>
      <c r="E268" s="19"/>
      <c r="F268" s="34"/>
      <c r="G268" s="19"/>
      <c r="H268" s="19"/>
      <c r="I268" s="19"/>
      <c r="J268" s="34"/>
      <c r="K268" s="19"/>
      <c r="L268" s="19"/>
      <c r="M268" s="19"/>
      <c r="N268" s="19"/>
      <c r="O268" s="19"/>
      <c r="P268" s="19"/>
      <c r="Q268" s="33"/>
      <c r="R268" s="19"/>
      <c r="S268" s="19"/>
      <c r="T268" s="19"/>
      <c r="U268" s="19"/>
    </row>
    <row r="269" spans="1:21" x14ac:dyDescent="0.25">
      <c r="A269" s="19"/>
      <c r="B269" s="19"/>
      <c r="C269" s="19"/>
      <c r="D269" s="27"/>
      <c r="E269" s="19"/>
      <c r="F269" s="34"/>
      <c r="G269" s="19"/>
      <c r="H269" s="19"/>
      <c r="I269" s="19"/>
      <c r="J269" s="34"/>
      <c r="K269" s="19"/>
      <c r="L269" s="19"/>
      <c r="M269" s="19"/>
      <c r="N269" s="19"/>
      <c r="O269" s="19"/>
      <c r="P269" s="19"/>
      <c r="Q269" s="33"/>
      <c r="R269" s="19"/>
      <c r="S269" s="19"/>
      <c r="T269" s="19"/>
      <c r="U269" s="19"/>
    </row>
    <row r="270" spans="1:21" x14ac:dyDescent="0.25">
      <c r="A270" s="19"/>
      <c r="B270" s="19"/>
      <c r="C270" s="19"/>
      <c r="D270" s="27"/>
      <c r="E270" s="19"/>
      <c r="F270" s="34"/>
      <c r="G270" s="19"/>
      <c r="H270" s="19"/>
      <c r="I270" s="19"/>
      <c r="J270" s="34"/>
      <c r="K270" s="19"/>
      <c r="L270" s="19"/>
      <c r="M270" s="19"/>
      <c r="N270" s="19"/>
      <c r="O270" s="19"/>
      <c r="P270" s="19"/>
      <c r="Q270" s="33"/>
      <c r="R270" s="19"/>
      <c r="S270" s="19"/>
      <c r="T270" s="19"/>
      <c r="U270" s="19"/>
    </row>
    <row r="271" spans="1:21" x14ac:dyDescent="0.25">
      <c r="A271" s="19"/>
      <c r="B271" s="19"/>
      <c r="C271" s="19"/>
      <c r="D271" s="27"/>
      <c r="E271" s="19"/>
      <c r="F271" s="34"/>
      <c r="G271" s="19"/>
      <c r="H271" s="19"/>
      <c r="I271" s="19"/>
      <c r="J271" s="34"/>
      <c r="K271" s="19"/>
      <c r="L271" s="19"/>
      <c r="M271" s="19"/>
      <c r="N271" s="19"/>
      <c r="O271" s="19"/>
      <c r="P271" s="19"/>
      <c r="Q271" s="33"/>
      <c r="R271" s="19"/>
      <c r="S271" s="19"/>
      <c r="T271" s="19"/>
      <c r="U271" s="19"/>
    </row>
    <row r="272" spans="1:21" x14ac:dyDescent="0.25">
      <c r="A272" s="19"/>
      <c r="B272" s="19"/>
      <c r="C272" s="19"/>
      <c r="D272" s="27"/>
      <c r="E272" s="19"/>
      <c r="F272" s="34"/>
      <c r="G272" s="19"/>
      <c r="H272" s="19"/>
      <c r="I272" s="19"/>
      <c r="J272" s="34"/>
      <c r="K272" s="19"/>
      <c r="L272" s="19"/>
      <c r="M272" s="19"/>
      <c r="N272" s="19"/>
      <c r="O272" s="19"/>
      <c r="P272" s="19"/>
      <c r="Q272" s="33"/>
      <c r="R272" s="19"/>
      <c r="S272" s="19"/>
      <c r="T272" s="19"/>
      <c r="U272" s="19"/>
    </row>
    <row r="273" spans="1:21" x14ac:dyDescent="0.25">
      <c r="A273" s="19"/>
      <c r="B273" s="19"/>
      <c r="C273" s="19"/>
      <c r="D273" s="27"/>
      <c r="E273" s="19"/>
      <c r="F273" s="34"/>
      <c r="G273" s="19"/>
      <c r="H273" s="19"/>
      <c r="I273" s="19"/>
      <c r="J273" s="34"/>
      <c r="K273" s="19"/>
      <c r="L273" s="19"/>
      <c r="M273" s="19"/>
      <c r="N273" s="19"/>
      <c r="O273" s="19"/>
      <c r="P273" s="19"/>
      <c r="Q273" s="33"/>
      <c r="R273" s="19"/>
      <c r="S273" s="19"/>
      <c r="T273" s="19"/>
      <c r="U273" s="19"/>
    </row>
    <row r="274" spans="1:21" x14ac:dyDescent="0.25">
      <c r="A274" s="19"/>
      <c r="B274" s="19"/>
      <c r="C274" s="19"/>
      <c r="D274" s="27"/>
      <c r="E274" s="19"/>
      <c r="F274" s="34"/>
      <c r="G274" s="19"/>
      <c r="H274" s="19"/>
      <c r="I274" s="19"/>
      <c r="J274" s="34"/>
      <c r="K274" s="19"/>
      <c r="L274" s="19"/>
      <c r="M274" s="19"/>
      <c r="N274" s="19"/>
      <c r="O274" s="19"/>
      <c r="P274" s="19"/>
      <c r="Q274" s="33"/>
      <c r="R274" s="19"/>
      <c r="S274" s="19"/>
      <c r="T274" s="19"/>
      <c r="U274" s="19"/>
    </row>
    <row r="275" spans="1:21" x14ac:dyDescent="0.25">
      <c r="A275" s="19"/>
      <c r="B275" s="19"/>
      <c r="C275" s="19"/>
      <c r="D275" s="27"/>
      <c r="E275" s="19"/>
      <c r="F275" s="34"/>
      <c r="G275" s="19"/>
      <c r="H275" s="19"/>
      <c r="I275" s="19"/>
      <c r="J275" s="34"/>
      <c r="K275" s="19"/>
      <c r="L275" s="19"/>
      <c r="M275" s="19"/>
      <c r="N275" s="19"/>
      <c r="O275" s="19"/>
      <c r="P275" s="19"/>
      <c r="Q275" s="33"/>
      <c r="R275" s="19"/>
      <c r="S275" s="19"/>
      <c r="T275" s="19"/>
      <c r="U275" s="19"/>
    </row>
    <row r="276" spans="1:21" x14ac:dyDescent="0.25">
      <c r="A276" s="19"/>
      <c r="B276" s="19"/>
      <c r="C276" s="19"/>
      <c r="D276" s="27"/>
      <c r="E276" s="19"/>
      <c r="F276" s="34"/>
      <c r="G276" s="19"/>
      <c r="H276" s="19"/>
      <c r="I276" s="19"/>
      <c r="J276" s="34"/>
      <c r="K276" s="19"/>
      <c r="L276" s="19"/>
      <c r="M276" s="19"/>
      <c r="N276" s="19"/>
      <c r="O276" s="19"/>
      <c r="P276" s="19"/>
      <c r="Q276" s="33"/>
      <c r="R276" s="19"/>
      <c r="S276" s="19"/>
      <c r="T276" s="19"/>
      <c r="U276" s="19"/>
    </row>
    <row r="277" spans="1:21" x14ac:dyDescent="0.25">
      <c r="A277" s="19"/>
      <c r="B277" s="19"/>
      <c r="C277" s="19"/>
      <c r="D277" s="27"/>
      <c r="E277" s="19"/>
      <c r="F277" s="34"/>
      <c r="G277" s="19"/>
      <c r="H277" s="19"/>
      <c r="I277" s="19"/>
      <c r="J277" s="34"/>
      <c r="K277" s="19"/>
      <c r="L277" s="19"/>
      <c r="M277" s="19"/>
      <c r="N277" s="19"/>
      <c r="O277" s="19"/>
      <c r="P277" s="19"/>
      <c r="Q277" s="33"/>
      <c r="R277" s="19"/>
      <c r="S277" s="19"/>
      <c r="T277" s="19"/>
      <c r="U277" s="19"/>
    </row>
    <row r="278" spans="1:21" x14ac:dyDescent="0.25">
      <c r="A278" s="19"/>
      <c r="B278" s="19"/>
      <c r="C278" s="19"/>
      <c r="D278" s="27"/>
      <c r="E278" s="19"/>
      <c r="F278" s="34"/>
      <c r="G278" s="19"/>
      <c r="H278" s="19"/>
      <c r="I278" s="19"/>
      <c r="J278" s="34"/>
      <c r="K278" s="19"/>
      <c r="L278" s="19"/>
      <c r="M278" s="19"/>
      <c r="N278" s="19"/>
      <c r="O278" s="19"/>
      <c r="P278" s="19"/>
      <c r="Q278" s="33"/>
      <c r="R278" s="19"/>
      <c r="S278" s="19"/>
      <c r="T278" s="19"/>
      <c r="U278" s="19"/>
    </row>
    <row r="279" spans="1:21" x14ac:dyDescent="0.25">
      <c r="A279" s="19"/>
      <c r="B279" s="19"/>
      <c r="C279" s="19"/>
      <c r="D279" s="27"/>
      <c r="E279" s="19"/>
      <c r="F279" s="34"/>
      <c r="G279" s="19"/>
      <c r="H279" s="19"/>
      <c r="I279" s="19"/>
      <c r="J279" s="34"/>
      <c r="K279" s="19"/>
      <c r="L279" s="19"/>
      <c r="M279" s="19"/>
      <c r="N279" s="19"/>
      <c r="O279" s="19"/>
      <c r="P279" s="19"/>
      <c r="Q279" s="33"/>
      <c r="R279" s="19"/>
      <c r="S279" s="19"/>
      <c r="T279" s="19"/>
      <c r="U279" s="19"/>
    </row>
    <row r="280" spans="1:21" x14ac:dyDescent="0.25">
      <c r="A280" s="19"/>
      <c r="B280" s="19"/>
      <c r="C280" s="19"/>
      <c r="D280" s="27"/>
      <c r="E280" s="19"/>
      <c r="F280" s="34"/>
      <c r="G280" s="19"/>
      <c r="H280" s="19"/>
      <c r="I280" s="19"/>
      <c r="J280" s="34"/>
      <c r="K280" s="19"/>
      <c r="L280" s="19"/>
      <c r="M280" s="19"/>
      <c r="N280" s="19"/>
      <c r="O280" s="19"/>
      <c r="P280" s="19"/>
      <c r="Q280" s="33"/>
      <c r="R280" s="19"/>
      <c r="S280" s="19"/>
      <c r="T280" s="19"/>
      <c r="U280" s="19"/>
    </row>
    <row r="281" spans="1:21" x14ac:dyDescent="0.25">
      <c r="A281" s="19"/>
      <c r="B281" s="19"/>
      <c r="C281" s="19"/>
      <c r="D281" s="27"/>
      <c r="E281" s="19"/>
      <c r="F281" s="34"/>
      <c r="G281" s="19"/>
      <c r="H281" s="19"/>
      <c r="I281" s="19"/>
      <c r="J281" s="34"/>
      <c r="K281" s="19"/>
      <c r="L281" s="19"/>
      <c r="M281" s="19"/>
      <c r="N281" s="19"/>
      <c r="O281" s="19"/>
      <c r="P281" s="19"/>
      <c r="Q281" s="33"/>
      <c r="R281" s="19"/>
      <c r="S281" s="19"/>
      <c r="T281" s="19"/>
      <c r="U281" s="19"/>
    </row>
    <row r="282" spans="1:21" x14ac:dyDescent="0.25">
      <c r="A282" s="19"/>
      <c r="B282" s="19"/>
      <c r="C282" s="19"/>
      <c r="D282" s="27"/>
      <c r="E282" s="19"/>
      <c r="F282" s="34"/>
      <c r="G282" s="19"/>
      <c r="H282" s="19"/>
      <c r="I282" s="19"/>
      <c r="J282" s="34"/>
      <c r="K282" s="19"/>
      <c r="L282" s="19"/>
      <c r="M282" s="19"/>
      <c r="N282" s="19"/>
      <c r="O282" s="19"/>
      <c r="P282" s="19"/>
      <c r="Q282" s="33"/>
      <c r="R282" s="19"/>
      <c r="S282" s="19"/>
      <c r="T282" s="19"/>
      <c r="U282" s="19"/>
    </row>
    <row r="283" spans="1:21" x14ac:dyDescent="0.25">
      <c r="A283" s="19"/>
      <c r="B283" s="19"/>
      <c r="C283" s="19"/>
      <c r="D283" s="27"/>
      <c r="E283" s="19"/>
      <c r="F283" s="34"/>
      <c r="G283" s="19"/>
      <c r="H283" s="19"/>
      <c r="I283" s="19"/>
      <c r="J283" s="34"/>
      <c r="K283" s="19"/>
      <c r="L283" s="19"/>
      <c r="M283" s="19"/>
      <c r="N283" s="19"/>
      <c r="O283" s="19"/>
      <c r="P283" s="19"/>
      <c r="Q283" s="33"/>
      <c r="R283" s="19"/>
      <c r="S283" s="19"/>
      <c r="T283" s="19"/>
      <c r="U283" s="19"/>
    </row>
    <row r="284" spans="1:21" x14ac:dyDescent="0.25">
      <c r="A284" s="19"/>
      <c r="B284" s="19"/>
      <c r="C284" s="19"/>
      <c r="D284" s="27"/>
      <c r="E284" s="19"/>
      <c r="F284" s="34"/>
      <c r="G284" s="19"/>
      <c r="H284" s="19"/>
      <c r="I284" s="19"/>
      <c r="J284" s="34"/>
      <c r="K284" s="19"/>
      <c r="L284" s="19"/>
      <c r="M284" s="19"/>
      <c r="N284" s="19"/>
      <c r="O284" s="19"/>
      <c r="P284" s="19"/>
      <c r="Q284" s="33"/>
      <c r="R284" s="19"/>
      <c r="S284" s="19"/>
      <c r="T284" s="19"/>
      <c r="U284" s="19"/>
    </row>
    <row r="285" spans="1:21" x14ac:dyDescent="0.25">
      <c r="A285" s="19"/>
      <c r="B285" s="19"/>
      <c r="C285" s="19"/>
      <c r="D285" s="27"/>
      <c r="E285" s="19"/>
      <c r="F285" s="34"/>
      <c r="G285" s="19"/>
      <c r="H285" s="19"/>
      <c r="I285" s="19"/>
      <c r="J285" s="34"/>
      <c r="K285" s="19"/>
      <c r="L285" s="19"/>
      <c r="M285" s="19"/>
      <c r="N285" s="19"/>
      <c r="O285" s="19"/>
      <c r="P285" s="19"/>
      <c r="Q285" s="33"/>
      <c r="R285" s="19"/>
      <c r="S285" s="19"/>
      <c r="T285" s="19"/>
      <c r="U285" s="19"/>
    </row>
    <row r="286" spans="1:21" x14ac:dyDescent="0.25">
      <c r="A286" s="19"/>
      <c r="B286" s="19"/>
      <c r="C286" s="19"/>
      <c r="D286" s="27"/>
      <c r="E286" s="19"/>
      <c r="F286" s="34"/>
      <c r="G286" s="19"/>
      <c r="H286" s="19"/>
      <c r="I286" s="19"/>
      <c r="J286" s="34"/>
      <c r="K286" s="19"/>
      <c r="L286" s="19"/>
      <c r="M286" s="19"/>
      <c r="N286" s="19"/>
      <c r="O286" s="19"/>
      <c r="P286" s="19"/>
      <c r="Q286" s="33"/>
      <c r="R286" s="19"/>
      <c r="S286" s="19"/>
      <c r="T286" s="19"/>
      <c r="U286" s="19"/>
    </row>
    <row r="287" spans="1:21" x14ac:dyDescent="0.25">
      <c r="A287" s="19"/>
      <c r="B287" s="19"/>
      <c r="C287" s="19"/>
      <c r="D287" s="27"/>
      <c r="E287" s="19"/>
      <c r="F287" s="34"/>
      <c r="G287" s="19"/>
      <c r="H287" s="19"/>
      <c r="I287" s="19"/>
      <c r="J287" s="34"/>
      <c r="K287" s="19"/>
      <c r="L287" s="19"/>
      <c r="M287" s="19"/>
      <c r="N287" s="19"/>
      <c r="O287" s="19"/>
      <c r="P287" s="19"/>
      <c r="Q287" s="33"/>
      <c r="R287" s="19"/>
      <c r="S287" s="19"/>
      <c r="T287" s="19"/>
      <c r="U287" s="19"/>
    </row>
    <row r="288" spans="1:21" x14ac:dyDescent="0.25">
      <c r="A288" s="19"/>
      <c r="B288" s="19"/>
      <c r="C288" s="19"/>
      <c r="D288" s="27"/>
      <c r="E288" s="19"/>
      <c r="F288" s="34"/>
      <c r="G288" s="19"/>
      <c r="H288" s="19"/>
      <c r="I288" s="19"/>
      <c r="J288" s="34"/>
      <c r="K288" s="19"/>
      <c r="L288" s="19"/>
      <c r="M288" s="19"/>
      <c r="N288" s="19"/>
      <c r="O288" s="19"/>
      <c r="P288" s="19"/>
      <c r="Q288" s="33"/>
      <c r="R288" s="19"/>
      <c r="S288" s="19"/>
      <c r="T288" s="19"/>
      <c r="U288" s="19"/>
    </row>
    <row r="289" spans="1:21" x14ac:dyDescent="0.25">
      <c r="A289" s="19"/>
      <c r="B289" s="19"/>
      <c r="C289" s="19"/>
      <c r="D289" s="27"/>
      <c r="E289" s="19"/>
      <c r="F289" s="34"/>
      <c r="G289" s="19"/>
      <c r="H289" s="19"/>
      <c r="I289" s="19"/>
      <c r="J289" s="34"/>
      <c r="K289" s="19"/>
      <c r="L289" s="19"/>
      <c r="M289" s="19"/>
      <c r="N289" s="19"/>
      <c r="O289" s="19"/>
      <c r="P289" s="19"/>
      <c r="Q289" s="33"/>
      <c r="R289" s="19"/>
      <c r="S289" s="19"/>
      <c r="T289" s="19"/>
      <c r="U289" s="19"/>
    </row>
    <row r="290" spans="1:21" x14ac:dyDescent="0.25">
      <c r="A290" s="19"/>
      <c r="B290" s="19"/>
      <c r="C290" s="19"/>
      <c r="D290" s="27"/>
      <c r="E290" s="19"/>
      <c r="F290" s="34"/>
      <c r="G290" s="19"/>
      <c r="H290" s="19"/>
      <c r="I290" s="19"/>
      <c r="J290" s="34"/>
      <c r="K290" s="19"/>
      <c r="L290" s="19"/>
      <c r="M290" s="19"/>
      <c r="N290" s="19"/>
      <c r="O290" s="19"/>
      <c r="P290" s="19"/>
      <c r="Q290" s="33"/>
      <c r="R290" s="19"/>
      <c r="S290" s="19"/>
      <c r="T290" s="19"/>
      <c r="U290" s="19"/>
    </row>
    <row r="291" spans="1:21" x14ac:dyDescent="0.25">
      <c r="A291" s="19"/>
      <c r="B291" s="19"/>
      <c r="C291" s="19"/>
      <c r="D291" s="27"/>
      <c r="E291" s="19"/>
      <c r="F291" s="34"/>
      <c r="G291" s="19"/>
      <c r="H291" s="19"/>
      <c r="I291" s="19"/>
      <c r="J291" s="34"/>
      <c r="K291" s="19"/>
      <c r="L291" s="19"/>
      <c r="M291" s="19"/>
      <c r="N291" s="19"/>
      <c r="O291" s="19"/>
      <c r="P291" s="19"/>
      <c r="Q291" s="33"/>
      <c r="R291" s="19"/>
      <c r="S291" s="19"/>
      <c r="T291" s="19"/>
      <c r="U291" s="19"/>
    </row>
    <row r="292" spans="1:21" x14ac:dyDescent="0.25">
      <c r="A292" s="19"/>
      <c r="B292" s="19"/>
      <c r="C292" s="19"/>
      <c r="D292" s="27"/>
      <c r="E292" s="19"/>
      <c r="F292" s="34"/>
      <c r="G292" s="19"/>
      <c r="H292" s="19"/>
      <c r="I292" s="19"/>
      <c r="J292" s="34"/>
      <c r="K292" s="19"/>
      <c r="L292" s="19"/>
      <c r="M292" s="19"/>
      <c r="N292" s="19"/>
      <c r="O292" s="19"/>
      <c r="P292" s="19"/>
      <c r="Q292" s="33"/>
      <c r="R292" s="19"/>
      <c r="S292" s="19"/>
      <c r="T292" s="19"/>
      <c r="U292" s="19"/>
    </row>
    <row r="293" spans="1:21" x14ac:dyDescent="0.25">
      <c r="A293" s="19"/>
      <c r="B293" s="19"/>
      <c r="C293" s="19"/>
      <c r="D293" s="27"/>
      <c r="E293" s="19"/>
      <c r="F293" s="34"/>
      <c r="G293" s="19"/>
      <c r="H293" s="19"/>
      <c r="I293" s="19"/>
      <c r="J293" s="34"/>
      <c r="K293" s="19"/>
      <c r="L293" s="19"/>
      <c r="M293" s="19"/>
      <c r="N293" s="19"/>
      <c r="O293" s="19"/>
      <c r="P293" s="19"/>
      <c r="Q293" s="33"/>
      <c r="R293" s="19"/>
      <c r="S293" s="19"/>
      <c r="T293" s="19"/>
      <c r="U293" s="19"/>
    </row>
    <row r="294" spans="1:21" x14ac:dyDescent="0.25">
      <c r="A294" s="19"/>
      <c r="B294" s="19"/>
      <c r="C294" s="19"/>
      <c r="D294" s="27"/>
      <c r="E294" s="19"/>
      <c r="F294" s="34"/>
      <c r="G294" s="19"/>
      <c r="H294" s="19"/>
      <c r="I294" s="19"/>
      <c r="J294" s="34"/>
      <c r="K294" s="19"/>
      <c r="L294" s="19"/>
      <c r="M294" s="19"/>
      <c r="N294" s="19"/>
      <c r="O294" s="19"/>
      <c r="P294" s="19"/>
      <c r="Q294" s="33"/>
      <c r="R294" s="19"/>
      <c r="S294" s="19"/>
      <c r="T294" s="19"/>
      <c r="U294" s="19"/>
    </row>
    <row r="295" spans="1:21" x14ac:dyDescent="0.25">
      <c r="A295" s="19"/>
      <c r="B295" s="19"/>
      <c r="C295" s="19"/>
      <c r="D295" s="27"/>
      <c r="E295" s="19"/>
      <c r="F295" s="34"/>
      <c r="G295" s="19"/>
      <c r="H295" s="19"/>
      <c r="I295" s="19"/>
      <c r="J295" s="34"/>
      <c r="K295" s="19"/>
      <c r="L295" s="19"/>
      <c r="M295" s="19"/>
      <c r="N295" s="19"/>
      <c r="O295" s="19"/>
      <c r="P295" s="19"/>
      <c r="Q295" s="33"/>
      <c r="R295" s="19"/>
      <c r="S295" s="19"/>
      <c r="T295" s="19"/>
      <c r="U295" s="19"/>
    </row>
  </sheetData>
  <mergeCells count="92">
    <mergeCell ref="B2:E2"/>
    <mergeCell ref="H12:I12"/>
    <mergeCell ref="N12:O12"/>
    <mergeCell ref="AK4:AL4"/>
    <mergeCell ref="H5:I5"/>
    <mergeCell ref="N5:O5"/>
    <mergeCell ref="H6:I6"/>
    <mergeCell ref="N6:O6"/>
    <mergeCell ref="H7:I7"/>
    <mergeCell ref="N7:R7"/>
    <mergeCell ref="H11:I11"/>
    <mergeCell ref="N11:R11"/>
    <mergeCell ref="N9:O9"/>
    <mergeCell ref="H10:I10"/>
    <mergeCell ref="N10:O10"/>
    <mergeCell ref="H8:I8"/>
    <mergeCell ref="N8:O8"/>
    <mergeCell ref="H9:I9"/>
    <mergeCell ref="H2:L2"/>
    <mergeCell ref="N2:R2"/>
    <mergeCell ref="H3:I3"/>
    <mergeCell ref="N3:R3"/>
    <mergeCell ref="H4:I4"/>
    <mergeCell ref="N4:O4"/>
    <mergeCell ref="H19:I19"/>
    <mergeCell ref="H13:I13"/>
    <mergeCell ref="N13:O13"/>
    <mergeCell ref="H14:I14"/>
    <mergeCell ref="N14:O14"/>
    <mergeCell ref="H15:I15"/>
    <mergeCell ref="N15:R15"/>
    <mergeCell ref="N16:O16"/>
    <mergeCell ref="H17:L17"/>
    <mergeCell ref="N17:O17"/>
    <mergeCell ref="H18:I18"/>
    <mergeCell ref="N18:O18"/>
    <mergeCell ref="A24:U24"/>
    <mergeCell ref="A91:U91"/>
    <mergeCell ref="F93:H93"/>
    <mergeCell ref="N93:P93"/>
    <mergeCell ref="Q93:R93"/>
    <mergeCell ref="S93:T93"/>
    <mergeCell ref="N27:R28"/>
    <mergeCell ref="N29:R31"/>
    <mergeCell ref="N34:O34"/>
    <mergeCell ref="A43:U43"/>
    <mergeCell ref="A71:U71"/>
    <mergeCell ref="A67:J67"/>
    <mergeCell ref="H20:I20"/>
    <mergeCell ref="N20:O20"/>
    <mergeCell ref="H21:I21"/>
    <mergeCell ref="N21:O21"/>
    <mergeCell ref="H22:I22"/>
    <mergeCell ref="N22:O22"/>
    <mergeCell ref="S101:T101"/>
    <mergeCell ref="F102:H102"/>
    <mergeCell ref="N102:O102"/>
    <mergeCell ref="A124:U124"/>
    <mergeCell ref="N103:O103"/>
    <mergeCell ref="N104:O104"/>
    <mergeCell ref="N105:O105"/>
    <mergeCell ref="N107:O107"/>
    <mergeCell ref="N108:O108"/>
    <mergeCell ref="N109:O109"/>
    <mergeCell ref="N110:O110"/>
    <mergeCell ref="N111:O111"/>
    <mergeCell ref="E113:F113"/>
    <mergeCell ref="H113:I113"/>
    <mergeCell ref="O114:P114"/>
    <mergeCell ref="N101:P101"/>
    <mergeCell ref="D206:F206"/>
    <mergeCell ref="G206:M206"/>
    <mergeCell ref="B126:D126"/>
    <mergeCell ref="A154:U154"/>
    <mergeCell ref="B161:D161"/>
    <mergeCell ref="A184:U184"/>
    <mergeCell ref="A186:U186"/>
    <mergeCell ref="A203:U203"/>
    <mergeCell ref="O73:R73"/>
    <mergeCell ref="O74:P74"/>
    <mergeCell ref="Q74:R74"/>
    <mergeCell ref="K73:M73"/>
    <mergeCell ref="B205:M205"/>
    <mergeCell ref="N95:O95"/>
    <mergeCell ref="N96:O96"/>
    <mergeCell ref="N97:O97"/>
    <mergeCell ref="N98:O98"/>
    <mergeCell ref="B99:D99"/>
    <mergeCell ref="N99:O99"/>
    <mergeCell ref="N100:O100"/>
    <mergeCell ref="Q101:R101"/>
    <mergeCell ref="N94:O94"/>
  </mergeCells>
  <dataValidations disablePrompts="1" count="2">
    <dataValidation type="list" allowBlank="1" showInputMessage="1" showErrorMessage="1" sqref="P108" xr:uid="{ABB68A54-5F21-49CE-98DD-C7A226DC0EBE}">
      <formula1>$R$107:$R$109</formula1>
    </dataValidation>
    <dataValidation type="list" allowBlank="1" showInputMessage="1" showErrorMessage="1" sqref="S96" xr:uid="{F31B3FFD-6AF8-4EC7-9CAC-50B5C6B0B013}">
      <formula1>$AG$5:$AK$5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YE_2">
                <anchor moveWithCells="1" sizeWithCells="1">
                  <from>
                    <xdr:col>14</xdr:col>
                    <xdr:colOff>95250</xdr:colOff>
                    <xdr:row>179</xdr:row>
                    <xdr:rowOff>19050</xdr:rowOff>
                  </from>
                  <to>
                    <xdr:col>16</xdr:col>
                    <xdr:colOff>57150</xdr:colOff>
                    <xdr:row>181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BB4A-BEE7-48F9-B6D5-70A36A774556}">
  <sheetPr codeName="Hoja1"/>
  <dimension ref="A1:AB95"/>
  <sheetViews>
    <sheetView topLeftCell="G1" zoomScale="85" zoomScaleNormal="85" workbookViewId="0">
      <selection activeCell="M11" sqref="M11"/>
    </sheetView>
  </sheetViews>
  <sheetFormatPr baseColWidth="10" defaultRowHeight="15" x14ac:dyDescent="0.25"/>
  <cols>
    <col min="1" max="1" width="13.140625" bestFit="1" customWidth="1"/>
    <col min="2" max="2" width="6" bestFit="1" customWidth="1"/>
    <col min="3" max="3" width="13.140625" bestFit="1" customWidth="1"/>
    <col min="4" max="4" width="73.140625" customWidth="1"/>
    <col min="5" max="5" width="17.5703125" customWidth="1"/>
    <col min="6" max="6" width="13" bestFit="1" customWidth="1"/>
    <col min="7" max="7" width="4.7109375" style="547" bestFit="1" customWidth="1"/>
    <col min="8" max="8" width="13.140625" bestFit="1" customWidth="1"/>
    <col min="11" max="11" width="32.28515625" bestFit="1" customWidth="1"/>
    <col min="12" max="12" width="15.28515625" bestFit="1" customWidth="1"/>
    <col min="19" max="21" width="11.42578125" customWidth="1"/>
    <col min="22" max="22" width="14.140625" bestFit="1" customWidth="1"/>
    <col min="23" max="24" width="11.42578125" customWidth="1"/>
  </cols>
  <sheetData>
    <row r="1" spans="2:28" ht="15.75" thickBot="1" x14ac:dyDescent="0.3"/>
    <row r="2" spans="2:28" ht="15.75" thickBot="1" x14ac:dyDescent="0.3">
      <c r="B2" s="873" t="s">
        <v>674</v>
      </c>
      <c r="C2" s="874"/>
      <c r="D2" s="874"/>
      <c r="E2" s="874"/>
      <c r="F2" s="875"/>
      <c r="K2" s="872" t="s">
        <v>678</v>
      </c>
      <c r="L2" s="571">
        <v>0</v>
      </c>
      <c r="M2" s="571">
        <v>1</v>
      </c>
      <c r="N2" s="571">
        <v>2</v>
      </c>
      <c r="O2" s="571">
        <v>3</v>
      </c>
      <c r="P2" s="571">
        <v>4</v>
      </c>
      <c r="Q2" s="571">
        <v>5</v>
      </c>
      <c r="R2" s="571">
        <v>6</v>
      </c>
      <c r="S2" s="571">
        <v>7</v>
      </c>
      <c r="T2" s="571">
        <v>8</v>
      </c>
      <c r="U2" s="571">
        <v>9</v>
      </c>
      <c r="V2" s="571">
        <v>10</v>
      </c>
      <c r="W2" s="571">
        <v>11</v>
      </c>
      <c r="X2" s="571">
        <v>12</v>
      </c>
      <c r="Y2" s="571">
        <v>13</v>
      </c>
      <c r="Z2" s="571">
        <v>14</v>
      </c>
      <c r="AA2" s="571">
        <v>15</v>
      </c>
    </row>
    <row r="3" spans="2:28" x14ac:dyDescent="0.25">
      <c r="B3" s="873" t="s">
        <v>643</v>
      </c>
      <c r="C3" s="874"/>
      <c r="D3" s="874"/>
      <c r="E3" s="874"/>
      <c r="F3" s="875"/>
      <c r="K3" s="872"/>
      <c r="L3" s="571">
        <v>2019</v>
      </c>
      <c r="M3" s="571">
        <v>2020</v>
      </c>
      <c r="N3" s="571">
        <v>2021</v>
      </c>
      <c r="O3" s="571">
        <v>2022</v>
      </c>
      <c r="P3" s="571">
        <v>2023</v>
      </c>
      <c r="Q3" s="571">
        <v>2024</v>
      </c>
      <c r="R3" s="571">
        <v>2025</v>
      </c>
      <c r="S3" s="571">
        <v>2026</v>
      </c>
      <c r="T3" s="571">
        <v>2027</v>
      </c>
      <c r="U3" s="571">
        <v>2028</v>
      </c>
      <c r="V3" s="571">
        <v>2029</v>
      </c>
      <c r="W3" s="571">
        <v>2030</v>
      </c>
      <c r="X3" s="571">
        <v>2031</v>
      </c>
      <c r="Y3" s="571">
        <v>2032</v>
      </c>
      <c r="Z3" s="571">
        <v>2033</v>
      </c>
      <c r="AA3" s="571">
        <v>2034</v>
      </c>
    </row>
    <row r="4" spans="2:28" x14ac:dyDescent="0.25">
      <c r="B4" s="553" t="s">
        <v>625</v>
      </c>
      <c r="C4" s="554" t="s">
        <v>626</v>
      </c>
      <c r="D4" s="554" t="s">
        <v>627</v>
      </c>
      <c r="E4" s="554" t="s">
        <v>617</v>
      </c>
      <c r="F4" s="555" t="s">
        <v>409</v>
      </c>
      <c r="K4" s="571" t="s">
        <v>679</v>
      </c>
      <c r="L4" s="572">
        <v>56389919.6184</v>
      </c>
      <c r="M4" s="572">
        <v>0</v>
      </c>
      <c r="N4" s="572">
        <v>0</v>
      </c>
      <c r="O4" s="572">
        <v>0</v>
      </c>
      <c r="P4" s="572">
        <v>0</v>
      </c>
      <c r="Q4" s="572">
        <v>0</v>
      </c>
      <c r="R4" s="572">
        <v>0</v>
      </c>
      <c r="S4" s="572">
        <v>0</v>
      </c>
      <c r="T4" s="572">
        <v>0</v>
      </c>
      <c r="U4" s="572">
        <v>0</v>
      </c>
      <c r="V4" s="572">
        <v>0</v>
      </c>
      <c r="W4" s="572">
        <v>0</v>
      </c>
      <c r="X4" s="572">
        <v>0</v>
      </c>
      <c r="Y4" s="572">
        <v>0</v>
      </c>
      <c r="Z4" s="572">
        <v>0</v>
      </c>
      <c r="AA4" s="572">
        <v>0</v>
      </c>
    </row>
    <row r="5" spans="2:28" x14ac:dyDescent="0.25">
      <c r="B5" s="553">
        <v>1</v>
      </c>
      <c r="C5" s="554">
        <v>1</v>
      </c>
      <c r="D5" s="554" t="s">
        <v>642</v>
      </c>
      <c r="E5" s="556">
        <v>6500000</v>
      </c>
      <c r="F5" s="557">
        <f>+E5*C5</f>
        <v>6500000</v>
      </c>
      <c r="K5" s="571" t="s">
        <v>680</v>
      </c>
      <c r="L5" s="572">
        <v>20723295</v>
      </c>
      <c r="M5" s="572">
        <v>0</v>
      </c>
      <c r="N5" s="572">
        <v>0</v>
      </c>
      <c r="O5" s="572">
        <v>0</v>
      </c>
      <c r="P5" s="572">
        <v>0</v>
      </c>
      <c r="Q5" s="572">
        <v>0</v>
      </c>
      <c r="R5" s="572">
        <v>0</v>
      </c>
      <c r="S5" s="572">
        <v>0</v>
      </c>
      <c r="T5" s="572">
        <v>0</v>
      </c>
      <c r="U5" s="572">
        <v>0</v>
      </c>
      <c r="V5" s="572">
        <v>0</v>
      </c>
      <c r="W5" s="572">
        <v>0</v>
      </c>
      <c r="X5" s="572">
        <v>0</v>
      </c>
      <c r="Y5" s="572">
        <v>0</v>
      </c>
      <c r="Z5" s="572">
        <v>0</v>
      </c>
      <c r="AA5" s="572">
        <v>0</v>
      </c>
    </row>
    <row r="6" spans="2:28" x14ac:dyDescent="0.25">
      <c r="B6" s="553">
        <v>2</v>
      </c>
      <c r="C6" s="554">
        <v>1</v>
      </c>
      <c r="D6" s="554" t="s">
        <v>667</v>
      </c>
      <c r="E6" s="556">
        <v>190000</v>
      </c>
      <c r="F6" s="557">
        <f>+E6*C6</f>
        <v>190000</v>
      </c>
      <c r="K6" s="571" t="s">
        <v>681</v>
      </c>
      <c r="L6" s="572">
        <f>+L4+L5</f>
        <v>77113214.618400007</v>
      </c>
      <c r="M6" s="572">
        <v>0</v>
      </c>
      <c r="N6" s="572">
        <v>0</v>
      </c>
      <c r="O6" s="572">
        <v>0</v>
      </c>
      <c r="P6" s="572">
        <v>0</v>
      </c>
      <c r="Q6" s="572">
        <v>0</v>
      </c>
      <c r="R6" s="572">
        <v>0</v>
      </c>
      <c r="S6" s="572">
        <v>0</v>
      </c>
      <c r="T6" s="572">
        <v>0</v>
      </c>
      <c r="U6" s="572">
        <v>0</v>
      </c>
      <c r="V6" s="572">
        <v>0</v>
      </c>
      <c r="W6" s="572">
        <v>0</v>
      </c>
      <c r="X6" s="572">
        <v>0</v>
      </c>
      <c r="Y6" s="572">
        <v>0</v>
      </c>
      <c r="Z6" s="572">
        <v>0</v>
      </c>
      <c r="AA6" s="572">
        <v>0</v>
      </c>
    </row>
    <row r="7" spans="2:28" ht="15.75" thickBot="1" x14ac:dyDescent="0.3">
      <c r="B7" s="865" t="s">
        <v>668</v>
      </c>
      <c r="C7" s="866"/>
      <c r="D7" s="866"/>
      <c r="E7" s="866"/>
      <c r="F7" s="563">
        <f>+SUM(F5:F6)</f>
        <v>6690000</v>
      </c>
      <c r="K7" s="571" t="s">
        <v>682</v>
      </c>
      <c r="L7" s="572">
        <v>0</v>
      </c>
      <c r="M7" s="572">
        <v>0</v>
      </c>
      <c r="N7" s="572">
        <v>0</v>
      </c>
      <c r="O7" s="572">
        <v>0</v>
      </c>
      <c r="P7" s="572">
        <v>0</v>
      </c>
      <c r="Q7" s="572">
        <v>0</v>
      </c>
      <c r="R7" s="572">
        <v>0</v>
      </c>
      <c r="S7" s="572">
        <v>0</v>
      </c>
      <c r="T7" s="572">
        <v>0</v>
      </c>
      <c r="U7" s="572">
        <v>0</v>
      </c>
      <c r="V7" s="572">
        <v>0</v>
      </c>
      <c r="W7" s="572">
        <v>0</v>
      </c>
      <c r="X7" s="572">
        <v>0</v>
      </c>
      <c r="Y7" s="572">
        <v>0</v>
      </c>
      <c r="Z7" s="572">
        <v>0</v>
      </c>
      <c r="AA7" s="572">
        <v>0</v>
      </c>
    </row>
    <row r="8" spans="2:28" x14ac:dyDescent="0.25">
      <c r="B8" s="868" t="s">
        <v>644</v>
      </c>
      <c r="C8" s="869"/>
      <c r="D8" s="869"/>
      <c r="E8" s="869"/>
      <c r="F8" s="870"/>
      <c r="K8" s="571" t="s">
        <v>683</v>
      </c>
      <c r="L8" s="572">
        <v>0</v>
      </c>
      <c r="M8" s="572">
        <v>3759327.97456</v>
      </c>
      <c r="N8" s="572">
        <v>3759327.97456</v>
      </c>
      <c r="O8" s="572">
        <v>3759327.97456</v>
      </c>
      <c r="P8" s="572">
        <v>3759327.97456</v>
      </c>
      <c r="Q8" s="572">
        <v>3759327.97456</v>
      </c>
      <c r="R8" s="572">
        <v>3759327.97456</v>
      </c>
      <c r="S8" s="572">
        <v>3759327.97456</v>
      </c>
      <c r="T8" s="572">
        <v>3759327.97456</v>
      </c>
      <c r="U8" s="572">
        <v>3759327.97456</v>
      </c>
      <c r="V8" s="572">
        <v>3759327.97456</v>
      </c>
      <c r="W8" s="572">
        <v>3759327.97456</v>
      </c>
      <c r="X8" s="572">
        <v>3759327.97456</v>
      </c>
      <c r="Y8" s="572">
        <v>3759327.97456</v>
      </c>
      <c r="Z8" s="572">
        <v>3759327.97456</v>
      </c>
      <c r="AA8" s="572">
        <v>3759327.97456</v>
      </c>
    </row>
    <row r="9" spans="2:28" x14ac:dyDescent="0.25">
      <c r="B9" s="553" t="s">
        <v>625</v>
      </c>
      <c r="C9" s="554" t="s">
        <v>626</v>
      </c>
      <c r="D9" s="554" t="s">
        <v>627</v>
      </c>
      <c r="E9" s="554" t="s">
        <v>628</v>
      </c>
      <c r="F9" s="555" t="s">
        <v>409</v>
      </c>
      <c r="K9" s="571" t="s">
        <v>684</v>
      </c>
      <c r="L9" s="572">
        <v>0</v>
      </c>
      <c r="M9" s="572">
        <v>36902857</v>
      </c>
      <c r="N9" s="572">
        <v>36902857</v>
      </c>
      <c r="O9" s="572">
        <v>36902857</v>
      </c>
      <c r="P9" s="572">
        <v>36902857</v>
      </c>
      <c r="Q9" s="572">
        <v>36902857</v>
      </c>
      <c r="R9" s="572">
        <v>36902857</v>
      </c>
      <c r="S9" s="572">
        <v>36902857</v>
      </c>
      <c r="T9" s="572">
        <v>36902857</v>
      </c>
      <c r="U9" s="572">
        <v>36902857</v>
      </c>
      <c r="V9" s="572">
        <v>36902857</v>
      </c>
      <c r="W9" s="572">
        <v>36902857</v>
      </c>
      <c r="X9" s="572">
        <v>36902857</v>
      </c>
      <c r="Y9" s="572">
        <v>36902857</v>
      </c>
      <c r="Z9" s="572">
        <v>36902857</v>
      </c>
      <c r="AA9" s="572">
        <v>36902857</v>
      </c>
    </row>
    <row r="10" spans="2:28" x14ac:dyDescent="0.25">
      <c r="B10" s="553">
        <v>1</v>
      </c>
      <c r="C10" s="554">
        <v>3</v>
      </c>
      <c r="D10" s="554" t="s">
        <v>635</v>
      </c>
      <c r="E10" s="556">
        <v>4000000</v>
      </c>
      <c r="F10" s="557">
        <f t="shared" ref="F10:F23" si="0">+C10*E10</f>
        <v>12000000</v>
      </c>
      <c r="K10" s="571" t="s">
        <v>689</v>
      </c>
      <c r="L10" s="572">
        <v>0</v>
      </c>
      <c r="M10" s="572">
        <v>88674676</v>
      </c>
      <c r="N10" s="572">
        <v>88674676</v>
      </c>
      <c r="O10" s="572">
        <v>88674676</v>
      </c>
      <c r="P10" s="572">
        <v>88674676</v>
      </c>
      <c r="Q10" s="572">
        <v>88674676</v>
      </c>
      <c r="R10" s="572">
        <v>88674676</v>
      </c>
      <c r="S10" s="572">
        <v>88674676</v>
      </c>
      <c r="T10" s="572">
        <v>88674676</v>
      </c>
      <c r="U10" s="572">
        <v>88674676</v>
      </c>
      <c r="V10" s="572">
        <v>88674676</v>
      </c>
      <c r="W10" s="572">
        <v>88674676</v>
      </c>
      <c r="X10" s="572">
        <v>88674676</v>
      </c>
      <c r="Y10" s="572">
        <v>88674676</v>
      </c>
      <c r="Z10" s="572">
        <v>88674676</v>
      </c>
      <c r="AA10" s="572">
        <v>88674676</v>
      </c>
    </row>
    <row r="11" spans="2:28" x14ac:dyDescent="0.25">
      <c r="B11" s="553">
        <v>2</v>
      </c>
      <c r="C11" s="554">
        <v>1</v>
      </c>
      <c r="D11" s="554" t="s">
        <v>636</v>
      </c>
      <c r="E11" s="556">
        <v>3000000</v>
      </c>
      <c r="F11" s="557">
        <f t="shared" si="0"/>
        <v>3000000</v>
      </c>
      <c r="K11" s="571" t="s">
        <v>685</v>
      </c>
      <c r="L11" s="572">
        <f>-(SUM(L4:L10))</f>
        <v>-154226429.23680001</v>
      </c>
      <c r="M11" s="572">
        <f>+M10-M9-M8</f>
        <v>48012491.02544</v>
      </c>
      <c r="N11" s="572">
        <f t="shared" ref="N11:AA11" si="1">+N10-N9-N8</f>
        <v>48012491.02544</v>
      </c>
      <c r="O11" s="572">
        <f t="shared" si="1"/>
        <v>48012491.02544</v>
      </c>
      <c r="P11" s="572">
        <f t="shared" si="1"/>
        <v>48012491.02544</v>
      </c>
      <c r="Q11" s="572">
        <f t="shared" si="1"/>
        <v>48012491.02544</v>
      </c>
      <c r="R11" s="572">
        <f t="shared" si="1"/>
        <v>48012491.02544</v>
      </c>
      <c r="S11" s="572">
        <f t="shared" si="1"/>
        <v>48012491.02544</v>
      </c>
      <c r="T11" s="572">
        <f t="shared" si="1"/>
        <v>48012491.02544</v>
      </c>
      <c r="U11" s="572">
        <f t="shared" si="1"/>
        <v>48012491.02544</v>
      </c>
      <c r="V11" s="572">
        <f t="shared" si="1"/>
        <v>48012491.02544</v>
      </c>
      <c r="W11" s="572">
        <f t="shared" si="1"/>
        <v>48012491.02544</v>
      </c>
      <c r="X11" s="572">
        <f t="shared" si="1"/>
        <v>48012491.02544</v>
      </c>
      <c r="Y11" s="572">
        <f t="shared" si="1"/>
        <v>48012491.02544</v>
      </c>
      <c r="Z11" s="572">
        <f t="shared" si="1"/>
        <v>48012491.02544</v>
      </c>
      <c r="AA11" s="572">
        <f t="shared" si="1"/>
        <v>48012491.02544</v>
      </c>
      <c r="AB11" s="569"/>
    </row>
    <row r="12" spans="2:28" x14ac:dyDescent="0.25">
      <c r="B12" s="553">
        <v>3</v>
      </c>
      <c r="C12" s="554">
        <v>1</v>
      </c>
      <c r="D12" s="554" t="s">
        <v>638</v>
      </c>
      <c r="E12" s="556">
        <v>500000</v>
      </c>
      <c r="F12" s="557">
        <f t="shared" si="0"/>
        <v>500000</v>
      </c>
    </row>
    <row r="13" spans="2:28" x14ac:dyDescent="0.25">
      <c r="B13" s="553">
        <v>4</v>
      </c>
      <c r="C13" s="554">
        <v>1</v>
      </c>
      <c r="D13" s="554" t="s">
        <v>639</v>
      </c>
      <c r="E13" s="556">
        <v>100000</v>
      </c>
      <c r="F13" s="557">
        <f t="shared" si="0"/>
        <v>100000</v>
      </c>
      <c r="K13" s="573" t="s">
        <v>688</v>
      </c>
      <c r="L13" s="574">
        <v>12</v>
      </c>
      <c r="M13" t="s">
        <v>6</v>
      </c>
    </row>
    <row r="14" spans="2:28" x14ac:dyDescent="0.25">
      <c r="B14" s="553">
        <v>5</v>
      </c>
      <c r="C14" s="554">
        <v>2600</v>
      </c>
      <c r="D14" s="554" t="s">
        <v>640</v>
      </c>
      <c r="E14" s="556">
        <v>2600</v>
      </c>
      <c r="F14" s="557">
        <f t="shared" si="0"/>
        <v>6760000</v>
      </c>
      <c r="K14" s="573" t="s">
        <v>687</v>
      </c>
      <c r="L14" s="576">
        <f>+NPV(L15,L10,M11:AA11)</f>
        <v>118125942.48452936</v>
      </c>
    </row>
    <row r="15" spans="2:28" x14ac:dyDescent="0.25">
      <c r="B15" s="553">
        <v>6</v>
      </c>
      <c r="C15" s="554">
        <v>13</v>
      </c>
      <c r="D15" s="554" t="s">
        <v>641</v>
      </c>
      <c r="E15" s="556">
        <v>80000</v>
      </c>
      <c r="F15" s="557">
        <f t="shared" si="0"/>
        <v>1040000</v>
      </c>
      <c r="K15" s="573" t="s">
        <v>686</v>
      </c>
      <c r="L15" s="575">
        <f>IRR(L11:AA11)</f>
        <v>0.30561014788939</v>
      </c>
      <c r="S15" s="550"/>
      <c r="T15" s="550"/>
      <c r="U15" s="550"/>
      <c r="V15" s="550"/>
      <c r="W15" s="550"/>
      <c r="X15" s="550"/>
    </row>
    <row r="16" spans="2:28" x14ac:dyDescent="0.25">
      <c r="B16" s="553">
        <v>7</v>
      </c>
      <c r="C16" s="554">
        <v>4</v>
      </c>
      <c r="D16" s="554" t="s">
        <v>629</v>
      </c>
      <c r="E16" s="556">
        <v>61880</v>
      </c>
      <c r="F16" s="557">
        <f t="shared" si="0"/>
        <v>247520</v>
      </c>
    </row>
    <row r="17" spans="2:24" x14ac:dyDescent="0.25">
      <c r="B17" s="553">
        <v>8</v>
      </c>
      <c r="C17" s="554">
        <v>9</v>
      </c>
      <c r="D17" s="554" t="s">
        <v>630</v>
      </c>
      <c r="E17" s="556">
        <v>32487</v>
      </c>
      <c r="F17" s="557">
        <f t="shared" si="0"/>
        <v>292383</v>
      </c>
    </row>
    <row r="18" spans="2:24" x14ac:dyDescent="0.25">
      <c r="B18" s="553">
        <v>9</v>
      </c>
      <c r="C18" s="554">
        <v>3</v>
      </c>
      <c r="D18" s="554" t="s">
        <v>631</v>
      </c>
      <c r="E18" s="556">
        <v>368900</v>
      </c>
      <c r="F18" s="557">
        <f t="shared" si="0"/>
        <v>1106700</v>
      </c>
    </row>
    <row r="19" spans="2:24" x14ac:dyDescent="0.25">
      <c r="B19" s="553">
        <v>10</v>
      </c>
      <c r="C19" s="554">
        <v>6</v>
      </c>
      <c r="D19" s="554" t="s">
        <v>632</v>
      </c>
      <c r="E19" s="556">
        <v>23205</v>
      </c>
      <c r="F19" s="557">
        <f t="shared" si="0"/>
        <v>139230</v>
      </c>
    </row>
    <row r="20" spans="2:24" x14ac:dyDescent="0.25">
      <c r="B20" s="553">
        <v>11</v>
      </c>
      <c r="C20" s="554">
        <v>6</v>
      </c>
      <c r="D20" s="554" t="s">
        <v>633</v>
      </c>
      <c r="E20" s="556">
        <v>29750</v>
      </c>
      <c r="F20" s="557">
        <f t="shared" si="0"/>
        <v>178500</v>
      </c>
    </row>
    <row r="21" spans="2:24" x14ac:dyDescent="0.25">
      <c r="B21" s="553">
        <v>12</v>
      </c>
      <c r="C21" s="554">
        <v>6</v>
      </c>
      <c r="D21" s="554" t="s">
        <v>634</v>
      </c>
      <c r="E21" s="556">
        <v>2618</v>
      </c>
      <c r="F21" s="557">
        <f t="shared" si="0"/>
        <v>15708</v>
      </c>
    </row>
    <row r="22" spans="2:24" x14ac:dyDescent="0.25">
      <c r="B22" s="553">
        <v>13</v>
      </c>
      <c r="C22" s="554">
        <v>1</v>
      </c>
      <c r="D22" s="554" t="s">
        <v>662</v>
      </c>
      <c r="E22" s="556">
        <v>400000</v>
      </c>
      <c r="F22" s="557">
        <f t="shared" si="0"/>
        <v>400000</v>
      </c>
      <c r="S22" t="s">
        <v>688</v>
      </c>
      <c r="T22" s="577">
        <v>0.12</v>
      </c>
      <c r="U22" t="s">
        <v>687</v>
      </c>
      <c r="V22" s="549">
        <v>118125942.48452936</v>
      </c>
      <c r="W22" t="s">
        <v>686</v>
      </c>
      <c r="X22" s="577">
        <v>0.30561014788939</v>
      </c>
    </row>
    <row r="23" spans="2:24" x14ac:dyDescent="0.25">
      <c r="B23" s="553">
        <v>14</v>
      </c>
      <c r="C23" s="554">
        <v>1</v>
      </c>
      <c r="D23" s="554" t="s">
        <v>663</v>
      </c>
      <c r="E23" s="556">
        <v>600000</v>
      </c>
      <c r="F23" s="557">
        <f t="shared" si="0"/>
        <v>600000</v>
      </c>
    </row>
    <row r="24" spans="2:24" ht="15.75" thickBot="1" x14ac:dyDescent="0.3">
      <c r="B24" s="865" t="s">
        <v>637</v>
      </c>
      <c r="C24" s="866"/>
      <c r="D24" s="866"/>
      <c r="E24" s="866"/>
      <c r="F24" s="564">
        <f>+SUM(F10:F23)</f>
        <v>26380041</v>
      </c>
    </row>
    <row r="25" spans="2:24" x14ac:dyDescent="0.25">
      <c r="B25" s="868" t="s">
        <v>648</v>
      </c>
      <c r="C25" s="869"/>
      <c r="D25" s="869"/>
      <c r="E25" s="869"/>
      <c r="F25" s="870"/>
      <c r="O25">
        <v>28.5</v>
      </c>
      <c r="S25" s="867"/>
      <c r="T25" s="867"/>
    </row>
    <row r="26" spans="2:24" x14ac:dyDescent="0.25">
      <c r="B26" s="553" t="s">
        <v>625</v>
      </c>
      <c r="C26" s="554" t="s">
        <v>626</v>
      </c>
      <c r="D26" s="554" t="s">
        <v>627</v>
      </c>
      <c r="E26" s="554" t="s">
        <v>628</v>
      </c>
      <c r="F26" s="555" t="s">
        <v>409</v>
      </c>
    </row>
    <row r="27" spans="2:24" x14ac:dyDescent="0.25">
      <c r="B27" s="553">
        <v>1</v>
      </c>
      <c r="C27" s="554">
        <v>596</v>
      </c>
      <c r="D27" s="554" t="s">
        <v>649</v>
      </c>
      <c r="E27" s="556">
        <v>2200</v>
      </c>
      <c r="F27" s="557">
        <f t="shared" ref="F27:F41" si="2">+E27*C27</f>
        <v>1311200</v>
      </c>
      <c r="T27" s="548"/>
    </row>
    <row r="28" spans="2:24" x14ac:dyDescent="0.25">
      <c r="B28" s="553">
        <v>2</v>
      </c>
      <c r="C28" s="554">
        <v>5</v>
      </c>
      <c r="D28" s="554" t="s">
        <v>650</v>
      </c>
      <c r="E28" s="556">
        <v>21800</v>
      </c>
      <c r="F28" s="557">
        <f t="shared" si="2"/>
        <v>109000</v>
      </c>
      <c r="T28" s="548"/>
    </row>
    <row r="29" spans="2:24" x14ac:dyDescent="0.25">
      <c r="B29" s="553">
        <v>3</v>
      </c>
      <c r="C29" s="554">
        <v>2</v>
      </c>
      <c r="D29" s="554" t="s">
        <v>651</v>
      </c>
      <c r="E29" s="556">
        <v>60000</v>
      </c>
      <c r="F29" s="557">
        <f t="shared" si="2"/>
        <v>120000</v>
      </c>
      <c r="K29" s="570">
        <v>3702857</v>
      </c>
      <c r="T29" s="548"/>
    </row>
    <row r="30" spans="2:24" x14ac:dyDescent="0.25">
      <c r="B30" s="553">
        <v>4</v>
      </c>
      <c r="C30" s="554">
        <v>1</v>
      </c>
      <c r="D30" s="554" t="s">
        <v>652</v>
      </c>
      <c r="E30" s="556">
        <v>770100</v>
      </c>
      <c r="F30" s="557">
        <f t="shared" si="2"/>
        <v>770100</v>
      </c>
      <c r="K30" s="570">
        <v>30800000</v>
      </c>
      <c r="T30" s="548"/>
    </row>
    <row r="31" spans="2:24" x14ac:dyDescent="0.25">
      <c r="B31" s="553">
        <v>5</v>
      </c>
      <c r="C31" s="554">
        <v>24</v>
      </c>
      <c r="D31" s="554" t="s">
        <v>653</v>
      </c>
      <c r="E31" s="556">
        <v>47850</v>
      </c>
      <c r="F31" s="557">
        <f t="shared" si="2"/>
        <v>1148400</v>
      </c>
      <c r="I31">
        <f>+C14/200</f>
        <v>13</v>
      </c>
      <c r="K31" s="569">
        <v>2400000</v>
      </c>
      <c r="T31" s="548"/>
    </row>
    <row r="32" spans="2:24" x14ac:dyDescent="0.25">
      <c r="B32" s="553">
        <v>6</v>
      </c>
      <c r="C32" s="554">
        <v>10</v>
      </c>
      <c r="D32" s="554" t="s">
        <v>654</v>
      </c>
      <c r="E32" s="556">
        <v>35000</v>
      </c>
      <c r="F32" s="557">
        <f t="shared" si="2"/>
        <v>350000</v>
      </c>
      <c r="K32" s="569">
        <f>+SUM(K29:K31)</f>
        <v>36902857</v>
      </c>
      <c r="T32" s="548"/>
    </row>
    <row r="33" spans="2:20" x14ac:dyDescent="0.25">
      <c r="B33" s="553">
        <v>7</v>
      </c>
      <c r="C33" s="554">
        <v>44</v>
      </c>
      <c r="D33" s="554" t="s">
        <v>655</v>
      </c>
      <c r="E33" s="556">
        <v>11900</v>
      </c>
      <c r="F33" s="557">
        <f t="shared" si="2"/>
        <v>523600</v>
      </c>
      <c r="T33" s="548"/>
    </row>
    <row r="34" spans="2:20" x14ac:dyDescent="0.25">
      <c r="B34" s="553">
        <v>8</v>
      </c>
      <c r="C34" s="554">
        <v>1</v>
      </c>
      <c r="D34" s="554" t="s">
        <v>656</v>
      </c>
      <c r="E34" s="556">
        <v>909900</v>
      </c>
      <c r="F34" s="557">
        <f t="shared" si="2"/>
        <v>909900</v>
      </c>
      <c r="T34" s="548"/>
    </row>
    <row r="35" spans="2:20" x14ac:dyDescent="0.25">
      <c r="B35" s="553">
        <v>9</v>
      </c>
      <c r="C35" s="554">
        <v>8</v>
      </c>
      <c r="D35" s="554" t="s">
        <v>659</v>
      </c>
      <c r="E35" s="556">
        <v>92000</v>
      </c>
      <c r="F35" s="557">
        <f t="shared" si="2"/>
        <v>736000</v>
      </c>
      <c r="T35" s="548"/>
    </row>
    <row r="36" spans="2:20" x14ac:dyDescent="0.25">
      <c r="B36" s="553">
        <v>10</v>
      </c>
      <c r="C36" s="554">
        <v>27</v>
      </c>
      <c r="D36" s="554" t="s">
        <v>657</v>
      </c>
      <c r="E36" s="556">
        <v>23850</v>
      </c>
      <c r="F36" s="557">
        <f t="shared" si="2"/>
        <v>643950</v>
      </c>
      <c r="T36" s="548"/>
    </row>
    <row r="37" spans="2:20" x14ac:dyDescent="0.25">
      <c r="B37" s="553">
        <v>11</v>
      </c>
      <c r="C37" s="554">
        <v>32</v>
      </c>
      <c r="D37" s="554" t="s">
        <v>658</v>
      </c>
      <c r="E37" s="552">
        <v>31950</v>
      </c>
      <c r="F37" s="557">
        <f t="shared" si="2"/>
        <v>1022400</v>
      </c>
      <c r="T37" s="548"/>
    </row>
    <row r="38" spans="2:20" x14ac:dyDescent="0.25">
      <c r="B38" s="553">
        <v>12</v>
      </c>
      <c r="C38" s="554">
        <v>15</v>
      </c>
      <c r="D38" s="554" t="s">
        <v>660</v>
      </c>
      <c r="E38" s="552">
        <v>95000</v>
      </c>
      <c r="F38" s="557">
        <f t="shared" si="2"/>
        <v>1425000</v>
      </c>
      <c r="M38">
        <f>195-333</f>
        <v>-138</v>
      </c>
    </row>
    <row r="39" spans="2:20" x14ac:dyDescent="0.25">
      <c r="B39" s="553">
        <v>13</v>
      </c>
      <c r="C39" s="554">
        <v>4</v>
      </c>
      <c r="D39" s="554" t="s">
        <v>664</v>
      </c>
      <c r="E39" s="552">
        <v>208000</v>
      </c>
      <c r="F39" s="557">
        <f t="shared" si="2"/>
        <v>832000</v>
      </c>
      <c r="G39" s="565"/>
    </row>
    <row r="40" spans="2:20" x14ac:dyDescent="0.25">
      <c r="B40" s="553">
        <v>14</v>
      </c>
      <c r="C40" s="554">
        <v>5</v>
      </c>
      <c r="D40" s="554" t="s">
        <v>665</v>
      </c>
      <c r="E40" s="552">
        <v>21000</v>
      </c>
      <c r="F40" s="557">
        <f t="shared" si="2"/>
        <v>105000</v>
      </c>
    </row>
    <row r="41" spans="2:20" x14ac:dyDescent="0.25">
      <c r="B41" s="553">
        <v>15</v>
      </c>
      <c r="C41" s="554">
        <v>10</v>
      </c>
      <c r="D41" s="554" t="s">
        <v>669</v>
      </c>
      <c r="E41" s="552">
        <v>15000</v>
      </c>
      <c r="F41" s="557">
        <f t="shared" si="2"/>
        <v>150000</v>
      </c>
    </row>
    <row r="42" spans="2:20" x14ac:dyDescent="0.25">
      <c r="B42" s="871" t="s">
        <v>666</v>
      </c>
      <c r="C42" s="872"/>
      <c r="D42" s="872"/>
      <c r="E42" s="872"/>
      <c r="F42" s="558">
        <f>+SUM(F27:F41)</f>
        <v>10156550</v>
      </c>
      <c r="H42" s="550"/>
    </row>
    <row r="43" spans="2:20" ht="15.75" thickBot="1" x14ac:dyDescent="0.3">
      <c r="B43" s="865" t="s">
        <v>675</v>
      </c>
      <c r="C43" s="866"/>
      <c r="D43" s="866"/>
      <c r="E43" s="866"/>
      <c r="F43" s="563">
        <f>+SUM(F7,F24,F42)</f>
        <v>43226591</v>
      </c>
      <c r="H43" s="550"/>
    </row>
    <row r="44" spans="2:20" x14ac:dyDescent="0.25">
      <c r="B44" s="868" t="s">
        <v>647</v>
      </c>
      <c r="C44" s="869"/>
      <c r="D44" s="869"/>
      <c r="E44" s="869"/>
      <c r="F44" s="870"/>
    </row>
    <row r="45" spans="2:20" x14ac:dyDescent="0.25">
      <c r="B45" s="553" t="s">
        <v>619</v>
      </c>
      <c r="C45" s="554" t="s">
        <v>616</v>
      </c>
      <c r="D45" s="554" t="s">
        <v>620</v>
      </c>
      <c r="E45" s="554" t="s">
        <v>617</v>
      </c>
      <c r="F45" s="555" t="s">
        <v>618</v>
      </c>
    </row>
    <row r="46" spans="2:20" x14ac:dyDescent="0.25">
      <c r="B46" s="553">
        <v>1</v>
      </c>
      <c r="C46" s="554">
        <v>1</v>
      </c>
      <c r="D46" s="554" t="s">
        <v>621</v>
      </c>
      <c r="E46" s="559">
        <v>2829696</v>
      </c>
      <c r="F46" s="560">
        <f>+E46*C46</f>
        <v>2829696</v>
      </c>
    </row>
    <row r="47" spans="2:20" x14ac:dyDescent="0.25">
      <c r="B47" s="553">
        <v>2</v>
      </c>
      <c r="C47" s="554">
        <v>1</v>
      </c>
      <c r="D47" s="554" t="s">
        <v>646</v>
      </c>
      <c r="E47" s="559">
        <v>1886400</v>
      </c>
      <c r="F47" s="560">
        <f>+E47*C47</f>
        <v>1886400</v>
      </c>
    </row>
    <row r="48" spans="2:20" x14ac:dyDescent="0.25">
      <c r="B48" s="553">
        <v>3</v>
      </c>
      <c r="C48" s="554">
        <v>1</v>
      </c>
      <c r="D48" s="554" t="s">
        <v>661</v>
      </c>
      <c r="E48" s="559">
        <f>828116*1.62</f>
        <v>1341547.9200000002</v>
      </c>
      <c r="F48" s="560">
        <f>+E48*C48</f>
        <v>1341547.9200000002</v>
      </c>
    </row>
    <row r="49" spans="1:22" ht="15.75" thickBot="1" x14ac:dyDescent="0.3">
      <c r="B49" s="865" t="s">
        <v>645</v>
      </c>
      <c r="C49" s="866"/>
      <c r="D49" s="866"/>
      <c r="E49" s="866"/>
      <c r="F49" s="562">
        <f>+SUM(F46:F48)</f>
        <v>6057643.9199999999</v>
      </c>
    </row>
    <row r="50" spans="1:22" x14ac:dyDescent="0.25">
      <c r="B50" s="871" t="s">
        <v>670</v>
      </c>
      <c r="C50" s="872"/>
      <c r="D50" s="872"/>
      <c r="E50" s="872"/>
      <c r="F50" s="561">
        <f>+SUM(F7+F24+F42+F49)</f>
        <v>49284234.920000002</v>
      </c>
    </row>
    <row r="51" spans="1:22" x14ac:dyDescent="0.25">
      <c r="B51" s="871" t="s">
        <v>671</v>
      </c>
      <c r="C51" s="872"/>
      <c r="D51" s="872"/>
      <c r="E51" s="872"/>
      <c r="F51" s="561">
        <v>6000000</v>
      </c>
    </row>
    <row r="52" spans="1:22" x14ac:dyDescent="0.25">
      <c r="B52" s="871" t="s">
        <v>672</v>
      </c>
      <c r="C52" s="872"/>
      <c r="D52" s="872"/>
      <c r="E52" s="872"/>
      <c r="F52" s="561">
        <f>2%*(F50+F51)</f>
        <v>1105684.6984000001</v>
      </c>
    </row>
    <row r="53" spans="1:22" ht="15.75" thickBot="1" x14ac:dyDescent="0.3">
      <c r="B53" s="865" t="s">
        <v>673</v>
      </c>
      <c r="C53" s="866"/>
      <c r="D53" s="866"/>
      <c r="E53" s="866"/>
      <c r="F53" s="562">
        <f>+SUM(F50:F52)</f>
        <v>56389919.6184</v>
      </c>
    </row>
    <row r="56" spans="1:22" x14ac:dyDescent="0.25">
      <c r="B56" s="566" t="s">
        <v>676</v>
      </c>
      <c r="C56" s="567" t="s">
        <v>677</v>
      </c>
    </row>
    <row r="57" spans="1:22" x14ac:dyDescent="0.25">
      <c r="A57" s="551">
        <f>+F53</f>
        <v>56389919.6184</v>
      </c>
      <c r="B57" s="566">
        <v>0</v>
      </c>
      <c r="C57" s="568">
        <f>+A57</f>
        <v>56389919.6184</v>
      </c>
    </row>
    <row r="58" spans="1:22" x14ac:dyDescent="0.25">
      <c r="A58" s="549">
        <f>+A57/15</f>
        <v>3759327.97456</v>
      </c>
      <c r="B58" s="566">
        <v>1</v>
      </c>
      <c r="C58" s="568">
        <f t="shared" ref="C58:C72" si="3">+C57-$A$58</f>
        <v>52630591.64384</v>
      </c>
      <c r="R58" s="550"/>
      <c r="S58" s="550"/>
      <c r="T58" s="550"/>
      <c r="U58" s="550"/>
      <c r="V58" s="550"/>
    </row>
    <row r="59" spans="1:22" x14ac:dyDescent="0.25">
      <c r="A59" s="549"/>
      <c r="B59" s="566">
        <v>2</v>
      </c>
      <c r="C59" s="568">
        <f t="shared" si="3"/>
        <v>48871263.66928</v>
      </c>
      <c r="R59" s="550"/>
      <c r="S59" s="550"/>
      <c r="T59" s="550"/>
      <c r="U59" s="550"/>
      <c r="V59" s="550"/>
    </row>
    <row r="60" spans="1:22" x14ac:dyDescent="0.25">
      <c r="B60" s="566">
        <v>3</v>
      </c>
      <c r="C60" s="568">
        <f t="shared" si="3"/>
        <v>45111935.69472</v>
      </c>
      <c r="R60" s="550"/>
      <c r="S60" s="550"/>
      <c r="T60" s="550"/>
      <c r="U60" s="550"/>
      <c r="V60" s="550"/>
    </row>
    <row r="61" spans="1:22" x14ac:dyDescent="0.25">
      <c r="B61" s="566">
        <v>4</v>
      </c>
      <c r="C61" s="568">
        <f t="shared" si="3"/>
        <v>41352607.72016</v>
      </c>
      <c r="D61" s="547"/>
      <c r="E61" s="547"/>
      <c r="R61" s="550"/>
      <c r="S61" s="550"/>
      <c r="T61" s="550"/>
      <c r="U61" s="550"/>
      <c r="V61" s="550"/>
    </row>
    <row r="62" spans="1:22" x14ac:dyDescent="0.25">
      <c r="B62" s="566">
        <v>5</v>
      </c>
      <c r="C62" s="568">
        <f t="shared" si="3"/>
        <v>37593279.7456</v>
      </c>
      <c r="R62" s="550"/>
      <c r="S62" s="550"/>
      <c r="T62" s="550"/>
      <c r="U62" s="550"/>
      <c r="V62" s="550"/>
    </row>
    <row r="63" spans="1:22" x14ac:dyDescent="0.25">
      <c r="B63" s="566">
        <v>6</v>
      </c>
      <c r="C63" s="568">
        <f t="shared" si="3"/>
        <v>33833951.77104</v>
      </c>
      <c r="R63" s="550"/>
      <c r="S63" s="550"/>
      <c r="T63" s="550"/>
      <c r="U63" s="550"/>
      <c r="V63" s="550"/>
    </row>
    <row r="64" spans="1:22" x14ac:dyDescent="0.25">
      <c r="B64" s="566">
        <v>7</v>
      </c>
      <c r="C64" s="568">
        <f t="shared" si="3"/>
        <v>30074623.79648</v>
      </c>
      <c r="R64" s="550"/>
      <c r="S64" s="550"/>
      <c r="T64" s="550"/>
      <c r="U64" s="550"/>
      <c r="V64" s="550"/>
    </row>
    <row r="65" spans="2:22" x14ac:dyDescent="0.25">
      <c r="B65" s="566">
        <v>8</v>
      </c>
      <c r="C65" s="568">
        <f t="shared" si="3"/>
        <v>26315295.82192</v>
      </c>
      <c r="R65" s="550"/>
      <c r="S65" s="550"/>
      <c r="T65" s="550"/>
      <c r="U65" s="550"/>
      <c r="V65" s="550"/>
    </row>
    <row r="66" spans="2:22" x14ac:dyDescent="0.25">
      <c r="B66" s="566">
        <v>9</v>
      </c>
      <c r="C66" s="568">
        <f t="shared" si="3"/>
        <v>22555967.84736</v>
      </c>
      <c r="R66" s="550"/>
      <c r="S66" s="550"/>
      <c r="T66" s="550"/>
      <c r="U66" s="550"/>
      <c r="V66" s="550"/>
    </row>
    <row r="67" spans="2:22" x14ac:dyDescent="0.25">
      <c r="B67" s="566">
        <v>10</v>
      </c>
      <c r="C67" s="568">
        <f t="shared" si="3"/>
        <v>18796639.8728</v>
      </c>
      <c r="R67" s="550"/>
      <c r="S67" s="550"/>
      <c r="T67" s="550"/>
      <c r="U67" s="550"/>
      <c r="V67" s="550"/>
    </row>
    <row r="68" spans="2:22" x14ac:dyDescent="0.25">
      <c r="B68" s="566">
        <v>11</v>
      </c>
      <c r="C68" s="568">
        <f t="shared" si="3"/>
        <v>15037311.89824</v>
      </c>
      <c r="R68" s="550"/>
      <c r="S68" s="550"/>
      <c r="T68" s="550"/>
      <c r="U68" s="550"/>
      <c r="V68" s="550"/>
    </row>
    <row r="69" spans="2:22" x14ac:dyDescent="0.25">
      <c r="B69" s="566">
        <v>12</v>
      </c>
      <c r="C69" s="568">
        <f t="shared" si="3"/>
        <v>11277983.92368</v>
      </c>
      <c r="R69" s="550"/>
      <c r="S69" s="550"/>
      <c r="T69" s="550"/>
      <c r="U69" s="550"/>
      <c r="V69" s="550"/>
    </row>
    <row r="70" spans="2:22" x14ac:dyDescent="0.25">
      <c r="B70" s="566">
        <v>13</v>
      </c>
      <c r="C70" s="568">
        <f t="shared" si="3"/>
        <v>7518655.94912</v>
      </c>
      <c r="R70" s="550"/>
      <c r="S70" s="550"/>
      <c r="T70" s="550"/>
      <c r="U70" s="550"/>
      <c r="V70" s="550"/>
    </row>
    <row r="71" spans="2:22" x14ac:dyDescent="0.25">
      <c r="B71" s="566">
        <v>14</v>
      </c>
      <c r="C71" s="568">
        <f t="shared" si="3"/>
        <v>3759327.97456</v>
      </c>
      <c r="R71" s="550"/>
      <c r="S71" s="550"/>
      <c r="T71" s="550"/>
      <c r="U71" s="550"/>
      <c r="V71" s="550"/>
    </row>
    <row r="72" spans="2:22" x14ac:dyDescent="0.25">
      <c r="B72" s="566">
        <v>15</v>
      </c>
      <c r="C72" s="568">
        <f t="shared" si="3"/>
        <v>0</v>
      </c>
      <c r="R72" s="550"/>
      <c r="S72" s="550"/>
      <c r="T72" s="550"/>
      <c r="U72" s="550"/>
      <c r="V72" s="550"/>
    </row>
    <row r="73" spans="2:22" x14ac:dyDescent="0.25">
      <c r="R73" s="550"/>
      <c r="S73" s="550"/>
      <c r="T73" s="550"/>
      <c r="U73" s="550"/>
      <c r="V73" s="550"/>
    </row>
    <row r="74" spans="2:22" x14ac:dyDescent="0.25">
      <c r="B74" s="867"/>
      <c r="C74" s="867"/>
      <c r="D74" s="867"/>
      <c r="E74" s="867"/>
    </row>
    <row r="75" spans="2:22" x14ac:dyDescent="0.25">
      <c r="K75" s="550"/>
      <c r="L75" s="550"/>
      <c r="M75" s="550"/>
      <c r="N75" s="550"/>
      <c r="O75" s="550"/>
      <c r="P75" s="550"/>
      <c r="Q75" s="550"/>
    </row>
    <row r="76" spans="2:22" x14ac:dyDescent="0.25">
      <c r="K76" s="550"/>
      <c r="L76" s="550"/>
      <c r="M76" s="550"/>
      <c r="N76" s="550"/>
      <c r="O76" s="550"/>
      <c r="P76" s="550"/>
      <c r="Q76" s="550"/>
    </row>
    <row r="77" spans="2:22" x14ac:dyDescent="0.25">
      <c r="K77" s="550"/>
      <c r="L77" s="550"/>
      <c r="M77" s="550"/>
      <c r="N77" s="550"/>
      <c r="O77" s="550"/>
      <c r="P77" s="550"/>
      <c r="Q77" s="550"/>
    </row>
    <row r="78" spans="2:22" x14ac:dyDescent="0.25">
      <c r="K78" s="550"/>
      <c r="L78" s="550"/>
      <c r="M78" s="550"/>
      <c r="N78" s="550"/>
      <c r="O78" s="550"/>
      <c r="P78" s="550"/>
      <c r="Q78" s="550"/>
    </row>
    <row r="79" spans="2:22" x14ac:dyDescent="0.25">
      <c r="K79" s="550"/>
      <c r="L79" s="550"/>
      <c r="M79" s="550"/>
      <c r="N79" s="550"/>
      <c r="O79" s="550"/>
      <c r="P79" s="550"/>
      <c r="Q79" s="550"/>
    </row>
    <row r="80" spans="2:22" x14ac:dyDescent="0.25">
      <c r="K80" s="550"/>
      <c r="L80" s="550"/>
      <c r="M80" s="550"/>
      <c r="N80" s="550"/>
      <c r="O80" s="550"/>
      <c r="P80" s="550"/>
      <c r="Q80" s="550"/>
    </row>
    <row r="81" spans="4:17" x14ac:dyDescent="0.25">
      <c r="K81" s="550"/>
      <c r="L81" s="550"/>
      <c r="M81" s="550"/>
      <c r="N81" s="550"/>
      <c r="O81" s="550"/>
      <c r="P81" s="550"/>
      <c r="Q81" s="550"/>
    </row>
    <row r="82" spans="4:17" x14ac:dyDescent="0.25">
      <c r="K82" s="550"/>
      <c r="L82" s="550"/>
      <c r="M82" s="550"/>
      <c r="N82" s="550"/>
      <c r="O82" s="550"/>
      <c r="P82" s="550"/>
      <c r="Q82" s="550"/>
    </row>
    <row r="83" spans="4:17" x14ac:dyDescent="0.25">
      <c r="K83" s="550"/>
      <c r="L83" s="550"/>
      <c r="M83" s="550"/>
      <c r="N83" s="550"/>
      <c r="O83" s="550"/>
      <c r="P83" s="550"/>
      <c r="Q83" s="550"/>
    </row>
    <row r="86" spans="4:17" x14ac:dyDescent="0.25">
      <c r="D86" t="s">
        <v>623</v>
      </c>
      <c r="E86" t="s">
        <v>624</v>
      </c>
    </row>
    <row r="87" spans="4:17" x14ac:dyDescent="0.25">
      <c r="D87">
        <f>60/1000</f>
        <v>0.06</v>
      </c>
    </row>
    <row r="88" spans="4:17" x14ac:dyDescent="0.25">
      <c r="D88">
        <f>120/1000</f>
        <v>0.12</v>
      </c>
    </row>
    <row r="89" spans="4:17" x14ac:dyDescent="0.25">
      <c r="D89">
        <f>240/1000</f>
        <v>0.24</v>
      </c>
    </row>
    <row r="90" spans="4:17" x14ac:dyDescent="0.25">
      <c r="D90">
        <f>+D87*D88*D89</f>
        <v>1.7279999999999999E-3</v>
      </c>
      <c r="H90" t="s">
        <v>385</v>
      </c>
    </row>
    <row r="91" spans="4:17" x14ac:dyDescent="0.25">
      <c r="D91" t="s">
        <v>622</v>
      </c>
    </row>
    <row r="93" spans="4:17" x14ac:dyDescent="0.25">
      <c r="D93">
        <v>4.4499170559319996</v>
      </c>
    </row>
    <row r="95" spans="4:17" x14ac:dyDescent="0.25">
      <c r="D95">
        <f>+D93/D90</f>
        <v>2575.1834814421295</v>
      </c>
    </row>
  </sheetData>
  <mergeCells count="17">
    <mergeCell ref="K2:K3"/>
    <mergeCell ref="S25:T25"/>
    <mergeCell ref="B24:E24"/>
    <mergeCell ref="B8:F8"/>
    <mergeCell ref="B7:E7"/>
    <mergeCell ref="B2:F2"/>
    <mergeCell ref="B3:F3"/>
    <mergeCell ref="B43:E43"/>
    <mergeCell ref="B74:E74"/>
    <mergeCell ref="B25:F25"/>
    <mergeCell ref="B44:F44"/>
    <mergeCell ref="B49:E49"/>
    <mergeCell ref="B42:E42"/>
    <mergeCell ref="B50:E50"/>
    <mergeCell ref="B51:E51"/>
    <mergeCell ref="B52:E52"/>
    <mergeCell ref="B53:E5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D_Inicial</vt:lpstr>
      <vt:lpstr>D_Energetico_A</vt:lpstr>
      <vt:lpstr>Diseño Economico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2019-12-05T21:22:51Z</dcterms:modified>
</cp:coreProperties>
</file>